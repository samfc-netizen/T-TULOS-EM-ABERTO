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DASHBOARDs\INDIMPLÊNCIA\"/>
    </mc:Choice>
  </mc:AlternateContent>
  <xr:revisionPtr revIDLastSave="0" documentId="13_ncr:1_{3BAF5F3B-96AF-4295-9720-CF248CA0E028}" xr6:coauthVersionLast="47" xr6:coauthVersionMax="47" xr10:uidLastSave="{00000000-0000-0000-0000-000000000000}"/>
  <bookViews>
    <workbookView xWindow="-108" yWindow="-108" windowWidth="23256" windowHeight="12456" xr2:uid="{30D1D1A2-3F84-4280-8D0C-0F2D30298A9A}"/>
  </bookViews>
  <sheets>
    <sheet name="Indicador de Inadimplência" sheetId="1" r:id="rId1"/>
  </sheets>
  <externalReferences>
    <externalReference r:id="rId2"/>
  </externalReferences>
  <definedNames>
    <definedName name="_xlnm._FilterDatabase" localSheetId="0" hidden="1">'Indicador de Inadimplência'!$A$1:$V$2387</definedName>
  </definedNames>
  <calcPr calcId="181029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</calcChain>
</file>

<file path=xl/sharedStrings.xml><?xml version="1.0" encoding="utf-8"?>
<sst xmlns="http://schemas.openxmlformats.org/spreadsheetml/2006/main" count="16726" uniqueCount="6237">
  <si>
    <t>CLIENTE</t>
  </si>
  <si>
    <t>VENCTO</t>
  </si>
  <si>
    <t>ATR</t>
  </si>
  <si>
    <t>DUPLICATA</t>
  </si>
  <si>
    <t>LOJ</t>
  </si>
  <si>
    <t>PORT.D</t>
  </si>
  <si>
    <t>NOSSO NR</t>
  </si>
  <si>
    <t>HISTORICO</t>
  </si>
  <si>
    <t>DTA.CAD</t>
  </si>
  <si>
    <t>V.ORIGI</t>
  </si>
  <si>
    <t>V.LIQUI</t>
  </si>
  <si>
    <t>11005589-3 COAT TINTAS LTDA</t>
  </si>
  <si>
    <t xml:space="preserve">TELEFONE(S):  (61)93608-1834 </t>
  </si>
  <si>
    <t>LIM.CRÉDITO: 0,00</t>
  </si>
  <si>
    <t>TOT.DÉBITO: -5,02</t>
  </si>
  <si>
    <t>0.00</t>
  </si>
  <si>
    <t>000000000154A-CC</t>
  </si>
  <si>
    <t>REF. LANC. CREDITO - CLIENTE: 11005589-3 COAT TINTAS LTDA</t>
  </si>
  <si>
    <t>11005471-36.057.454 ALEXANDRE SANTOS DE FARIAS</t>
  </si>
  <si>
    <t>TELEFONE(S):  (61)99924-0179 (61)99608-7008</t>
  </si>
  <si>
    <t>TOT.DÉBITO: -1.113,04</t>
  </si>
  <si>
    <t>000000010225A-CC</t>
  </si>
  <si>
    <t>CREDITO GERADO REFERENTE A ADESIVOS COLOCADOS NO SOF NORTE. - PAGTO.PARCIAL - DTA. REC.: 26/11/2025 - VR. ORIGINAL: -2.000,00 - VR. PAGO: -296,48 - PAGTO.PARCIAL - DTA. REC.: 21/01/2026 - VR. ORIGINAL: -1.703,52 - VR. PAGO: -590,48</t>
  </si>
  <si>
    <t>11005650-43.458.837 MUHAMMED RIZWAN AHMAD</t>
  </si>
  <si>
    <t xml:space="preserve">TELEFONE(S):  (61)98194-8220 </t>
  </si>
  <si>
    <t>TOT.DÉBITO: -5,98</t>
  </si>
  <si>
    <t>000000000013A-CC</t>
  </si>
  <si>
    <t>REF. LANC. CREDITO - CLIENTE: 11005650-43.458.837 MUHAMMED RIZWAN AHMAD</t>
  </si>
  <si>
    <t>80006346-49.208.346 WILMAR PEREIRA DE SOUZA</t>
  </si>
  <si>
    <t>TELEFONE(S):   (61)98402-1249</t>
  </si>
  <si>
    <t>LIM.CRÉDITO: 5.000,00</t>
  </si>
  <si>
    <t>11005268-52806610 ADELMO COSTA RODRIGUES</t>
  </si>
  <si>
    <t xml:space="preserve">TELEFONE(S):   </t>
  </si>
  <si>
    <t>TOT.DÉBITO: -0,72</t>
  </si>
  <si>
    <t>000000000124A-CC</t>
  </si>
  <si>
    <t>REF. LANC. CREDITO - CLIENTE: 11005268-52806610 ADELMO COSTA RODRIGUES</t>
  </si>
  <si>
    <t>11005980-58.326.145 DANIEL DA SILVA FAER</t>
  </si>
  <si>
    <t>TELEFONE(S):   (61)98128-2231</t>
  </si>
  <si>
    <t>TOT.DÉBITO: -0,42</t>
  </si>
  <si>
    <t>000000000053A-CC</t>
  </si>
  <si>
    <t>REF. LANC. CREDITO - CLIENTE: 11005980-58.326.145 DANIEL DA SILVA FAER</t>
  </si>
  <si>
    <t>04000340-A C S LTDA</t>
  </si>
  <si>
    <t xml:space="preserve">TELEFONE(S): (61)98153-6179  </t>
  </si>
  <si>
    <t>LIM.CRÉDITO: 1.000,00</t>
  </si>
  <si>
    <t>TOT.DÉBITO: 240,00</t>
  </si>
  <si>
    <t>000000028093B-NF</t>
  </si>
  <si>
    <t>REFERENTE A FATURAMENTO - PARC. 2/2&lt;&lt;csq&gt;&gt;</t>
  </si>
  <si>
    <t>11005204-ABC FERRAGENS LTDA</t>
  </si>
  <si>
    <t>TELEFONE(S):   (61)99992-2578</t>
  </si>
  <si>
    <t>TOT.DÉBITO: 2.437,51</t>
  </si>
  <si>
    <t>000000018138A-NF</t>
  </si>
  <si>
    <t>REFERENTE A FATURAMENTO - PARC. 1/3&lt;&lt;csq&gt;&gt;</t>
  </si>
  <si>
    <t>000000018138B-NF</t>
  </si>
  <si>
    <t>REFERENTE A FATURAMENTO - PARC. 2/3&lt;&lt;csq&gt;&gt;</t>
  </si>
  <si>
    <t>000000018138C-NF</t>
  </si>
  <si>
    <t>REFERENTE A FATURAMENTO - PARC. 3/3&lt;&lt;csq&gt;&gt;</t>
  </si>
  <si>
    <t>80006117-ABEL DE CARVALHO SOARES</t>
  </si>
  <si>
    <t>TELEFONE(S):   (61)98144-0533</t>
  </si>
  <si>
    <t>TOT.DÉBITO: -0,92</t>
  </si>
  <si>
    <t>000000001100A-CC</t>
  </si>
  <si>
    <t>REF. LANC. CREDITO - CLIENTE: 80006117-ABEL DE CARVALHO SOARES</t>
  </si>
  <si>
    <t>000000001265A-CC</t>
  </si>
  <si>
    <t>80006525-ABILIO SOUZA MARQUES NETO</t>
  </si>
  <si>
    <t>TELEFONE(S):   (61)99212-7159</t>
  </si>
  <si>
    <t>TOT.DÉBITO: -5,00</t>
  </si>
  <si>
    <t>000000002539A-CC</t>
  </si>
  <si>
    <t>REF. LANC. CREDITO - CLIENTE: 80006525-ABILIO SOUZA MARQUES NETO</t>
  </si>
  <si>
    <t>02001650-ACENDE LUZ ELT E HIDR EIRELI - ME</t>
  </si>
  <si>
    <t>TELEFONE(S):   (61)99663-4620</t>
  </si>
  <si>
    <t>TOT.DÉBITO: -45,08</t>
  </si>
  <si>
    <t>000000000604A-CC</t>
  </si>
  <si>
    <t>REF. LANC. CREDITO - CLIENTE: 02001650-ACENDE LUZ ELT E HIDR EIRELI - ME</t>
  </si>
  <si>
    <t>000000000089A-DV</t>
  </si>
  <si>
    <t>REF.DEV.: 000000000089-DV REF.DOC.: 000000009301-FF-014-13/04/2024 - PARC. 1/1&lt;&lt;csq&gt;&gt;</t>
  </si>
  <si>
    <t>01000077-AD AUTOMOTIVE LTDA</t>
  </si>
  <si>
    <t xml:space="preserve">TELEFONE(S): (61) 3465-2243  </t>
  </si>
  <si>
    <t>TOT.DÉBITO: -21,76</t>
  </si>
  <si>
    <t>000000102528A-CC</t>
  </si>
  <si>
    <t>LANC. CRED. REF. A  - PAGTO.PARCIAL - DTA. REC.: 30/05/2023 - VR. ORIGINAL: -77,00 - VR. PAGO: -56,04</t>
  </si>
  <si>
    <t>000000102677A-CC</t>
  </si>
  <si>
    <t>LANC. CRED. REF. A  - PAGTO.PARCIAL - DTA. REC.: 19/07/2023 - VR. ORIGINAL: -801,15 - VR. PAGO: -801,00</t>
  </si>
  <si>
    <t>000000002626A-CC</t>
  </si>
  <si>
    <t>REF. LANC. CREDITO - CLIENTE: 01000077-AD AUTOMOTIVE LTDA</t>
  </si>
  <si>
    <t>04000092-ADAILTON BARROSO ATAÍDES</t>
  </si>
  <si>
    <t>TELEFONE(S):   (61)98502-2746</t>
  </si>
  <si>
    <t>TOT.DÉBITO: 28,14</t>
  </si>
  <si>
    <t>000000019100A-NF</t>
  </si>
  <si>
    <t>REFERENTE A FATURAMENTO - PARC. 1/1&lt;&lt;csq&gt;&gt;</t>
  </si>
  <si>
    <t>00001888-ADAO MIRANDA GUIMARAES</t>
  </si>
  <si>
    <t>TELEFONE(S):   (61)98350-4047</t>
  </si>
  <si>
    <t>TOT.DÉBITO: 100,44</t>
  </si>
  <si>
    <t>000000040288A-IF</t>
  </si>
  <si>
    <t>05000190-ADELSON DE ARAUJO VALVERDE</t>
  </si>
  <si>
    <t xml:space="preserve">TELEFONE(S):  (61)99217-2402 </t>
  </si>
  <si>
    <t>TOT.DÉBITO: -4,92</t>
  </si>
  <si>
    <t>000000001650A-CC</t>
  </si>
  <si>
    <t>REF. LANC. CREDITO - CLIENTE: 05000190-ADELSON DE ARAUJO VALVERDE</t>
  </si>
  <si>
    <t>05000630-ADONAI TRANSPORTE LTDA</t>
  </si>
  <si>
    <t>TOT.DÉBITO: -2,00</t>
  </si>
  <si>
    <t>000000008725A-NF</t>
  </si>
  <si>
    <t>REF.DEV.: 000000008725-NF REF.DOC.: 000000040383-IF-013-24/09/2025 - PARC. 1/1&lt;&lt;csq&gt;&gt; - PAGTO.PARCIAL - DTA. REC.: 26/09/2025 - VR. ORIGINAL: -24,90 - VR. PAGO: -22,90</t>
  </si>
  <si>
    <t>04000266-AED DOUGLAS BORGES HILARIO RIBEIRO</t>
  </si>
  <si>
    <t xml:space="preserve">TELEFONE(S): (61)99586-0881  </t>
  </si>
  <si>
    <t>TOT.DÉBITO: -8,17</t>
  </si>
  <si>
    <t>000000401706A-CC</t>
  </si>
  <si>
    <t>REF. LANC. CREDITO - CLIENTE: 04000266-AED DOUGLAS BORGES HILARIO RIBEIRO</t>
  </si>
  <si>
    <t>11005340-AFONSO TINTAS LTDA</t>
  </si>
  <si>
    <t xml:space="preserve">TELEFONE(S): (61)99452-3446 (61)99452-3446 </t>
  </si>
  <si>
    <t>TOT.DÉBITO: -70,00</t>
  </si>
  <si>
    <t>000000000131A-CC</t>
  </si>
  <si>
    <t xml:space="preserve">LANC. CRED. REF. A </t>
  </si>
  <si>
    <t>00000819-AGNALDO DE CARVALHO CARDOSO</t>
  </si>
  <si>
    <t>TELEFONE(S):   (61) 8493-7007</t>
  </si>
  <si>
    <t>TOT.DÉBITO: -4,10</t>
  </si>
  <si>
    <t>02000921-AGNALDO TADEU DE ARAUJO</t>
  </si>
  <si>
    <t xml:space="preserve">TELEFONE(S): (61)99121-3210  </t>
  </si>
  <si>
    <t>TOT.DÉBITO: -0,58</t>
  </si>
  <si>
    <t>000000000927A-CC</t>
  </si>
  <si>
    <t>LANC. CRED. REF. A  - PAGTO.PARCIAL - DTA. REC.: 29/12/2022 - VR. ORIGINAL: -148,00 - VR. PAGO: -147,42</t>
  </si>
  <si>
    <t>11005324-AGR ENGENHARIA E INCORPORADORA</t>
  </si>
  <si>
    <t>TELEFONE(S):  (62) 3099-3796 (62) 3703-7728</t>
  </si>
  <si>
    <t>TOT.DÉBITO: 2.326,01</t>
  </si>
  <si>
    <t>000000028710A-NF</t>
  </si>
  <si>
    <t>000000028710B-NF</t>
  </si>
  <si>
    <t>000000028710C-NF</t>
  </si>
  <si>
    <t>80006024-ALAN JUNIOR LIMA RODRIGUES</t>
  </si>
  <si>
    <t>TELEFONE(S):   (61) 9367-8996</t>
  </si>
  <si>
    <t>TOT.DÉBITO: -1,41</t>
  </si>
  <si>
    <t>000000001197A-CC</t>
  </si>
  <si>
    <t>REF. LANC. CREDITO - CLIENTE: 80006024-ALAN JUNIOR LIMA RODRIGUES - PAGTO.PARCIAL - DTA. REC.: 15/10/2025 - VR. ORIGINAL: -167,50 - VR. PAGO: -62,80 - PAGTO.PARCIAL - DTA. REC.: 15/10/2025 - VR. ORIGINAL: -104,70 - VR. PAGO: -45,00 - PAGTO.PARCIAL - DTA. REC.: 21/10/2025 - VR. ORIGINAL: -59,70 - VR. PAGO: -58,39</t>
  </si>
  <si>
    <t>000000001205A-CC</t>
  </si>
  <si>
    <t>REF. LANC. CREDITO - CLIENTE: 80006024-ALAN JUNIOR LIMA RODRIGUES - PAGTO.PARCIAL - DTA. REC.: 22/10/2025 - VR. ORIGINAL: -1.038,70 - VR. PAGO: -7,90 - PAGTO.PARCIAL - DTA. REC.: 22/10/2025 - VR. ORIGINAL: -1.030,80 - VR. PAGO: -110,00 - PAGTO.PARCIAL - DTA. REC.: 23/10/2025 - VR. ORIGINAL: -920,80 - VR. PAGO: -176,90 - PAGTO.PARCIAL - DTA. REC.: 24/10/2025 - VR. ORIGINAL: -743,90 - VR. PAGO: -67,00 - PAGTO.PARCIAL - DTA. REC.: 24/10/2025 - VR. ORIGINAL: -676,90 - VR. PAGO: -200,90 - PAGTO.PARCIAL - DTA. REC.: 27/10/2025 - VR. ORIGINAL: -476,00 - VR. PAGO: -163,70 - PAGTO.PARCIAL - DTA. REC.: 28/10/2025 - VR. ORIGINAL: -312,30 - VR. PAGO: -62,80 - PAGTO.PARCIAL - DTA. REC.: 28/10/2025 - VR. ORIGINAL: -249,50 - VR. PAGO: -105,00 - PAGTO.PARCIAL - DTA. REC.: 28/10/2025 - VR. ORIGINAL: -144,50 - VR. PAGO: -29,90 - PAGTO.PARCIAL - DTA. REC.: 28/10/2025 - VR. ORIGINAL: -114,60 - VR. PAGO: -50,00 - PAGTO.PARCIAL - DTA. REC.: 29/10/2025 - VR. ORIGINAL: -64,60 - VR. PAGO: -64,50</t>
  </si>
  <si>
    <t>80005495-ALAN NUNES LACERDA</t>
  </si>
  <si>
    <t>TELEFONE(S):   (61)99572-8784</t>
  </si>
  <si>
    <t>TOT.DÉBITO: -1,10</t>
  </si>
  <si>
    <t>000000000774A-CC</t>
  </si>
  <si>
    <t>REF. LANC. CREDITO - CLIENTE: 80005495-ALAN NUNES LACERDA</t>
  </si>
  <si>
    <t>TOT.DÉBITO: -0,10</t>
  </si>
  <si>
    <t>00003159-ALEMÃO DAS RODAS LTDA-ME</t>
  </si>
  <si>
    <t xml:space="preserve">TELEFONE(S): (61) 3233-5495 (61)98168-0108 </t>
  </si>
  <si>
    <t>LIM.CRÉDITO: 30.000,00</t>
  </si>
  <si>
    <t>000000200149A-CC</t>
  </si>
  <si>
    <t>REF. LANC. CREDITO</t>
  </si>
  <si>
    <t>03000091-ALESSANDRO QUEIROZ BRASIL</t>
  </si>
  <si>
    <t xml:space="preserve">TELEFONE(S): (61) 3622-8538 (61) 3601-1675 </t>
  </si>
  <si>
    <t>TOT.DÉBITO: 1.404,57</t>
  </si>
  <si>
    <t>000000000438003-AG</t>
  </si>
  <si>
    <t>REF. AGRUPAMENTO Nro. 000000000438 - PARC. 3 / 5 - DOC(S): 000000000156A</t>
  </si>
  <si>
    <t>000000000438002-AG</t>
  </si>
  <si>
    <t>REF. AGRUPAMENTO Nro. 000000000438 - PARC. 2 / 5 - DOC(S): 000000000156A_x000D_Em 19/09/2022, ocorreu prorrogação do vencimento. Operador: 020_x000D_Vencimento Original: 16/09/2022 - Vr.Original: 351,14_x000D_Novo Vencimento    : 31/10/2022 - Novo Valor : 351,14_x000D_Juros alterado de 0,00 para 0,00 por motivo de prorrogação do vencimento._x000D_</t>
  </si>
  <si>
    <t>000000000438004-AG</t>
  </si>
  <si>
    <t>REF. AGRUPAMENTO Nro. 000000000438 - PARC. 4 / 5 - DOC(S): 000000000156A</t>
  </si>
  <si>
    <t>000000000438005-AG</t>
  </si>
  <si>
    <t>REF. AGRUPAMENTO Nro. 000000000438 - PARC. 5 / 5 - DOC(S): 000000000156A</t>
  </si>
  <si>
    <t>80005962-ALESSANDRO SANTOS BARBOSA</t>
  </si>
  <si>
    <t>TOT.DÉBITO: -54,20</t>
  </si>
  <si>
    <t>000000003030A-CC</t>
  </si>
  <si>
    <t>REF. LANC. CREDITO - CLIENTE: 80005962-ALESSANDRO SANTOS BARBOSA - PAGTO.PARCIAL - DTA. REC.: 11/06/2025 - VR. ORIGINAL: -172,00 - VR. PAGO: -163,80</t>
  </si>
  <si>
    <t>000000000237A-CC</t>
  </si>
  <si>
    <t>REF. LANC. CREDITO - CLIENTE: 80005962-ALESSANDRO SANTOS BARBOSA</t>
  </si>
  <si>
    <t>000000000364A-CC</t>
  </si>
  <si>
    <t>00000398-ALEX ANTONIO DA SILVA</t>
  </si>
  <si>
    <t xml:space="preserve">TELEFONE(S): (61) 3561-0447  </t>
  </si>
  <si>
    <t>TOT.DÉBITO: 321,80</t>
  </si>
  <si>
    <t>000000401299A-CC</t>
  </si>
  <si>
    <t>LANC. CRED. REF. A  - DINHEIRO E DEBITO - PAGTO.PARCIAL - DTA. REC.: 12/04/2022 - VR. ORIGINAL: -152,00 - VR. PAGO: -119,00 - PAGTO.PARCIAL - DTA. REC.: 25/09/2023 - VR. ORIGINAL: -33,00 - VR. PAGO: -6,40 - PAGTO.PARCIAL - DTA. REC.: 22/02/2024 - VR. ORIGINAL: -26,60 - VR. PAGO: -0,50</t>
  </si>
  <si>
    <t>000000402406A-CC</t>
  </si>
  <si>
    <t>REF. LANC. CREDITO - CLIENTE: 00000398-ALEX ANTONIO DA SILVA</t>
  </si>
  <si>
    <t>03000063-ALEX LIDER</t>
  </si>
  <si>
    <t>TELEFONE(S):   (61)99654-0112</t>
  </si>
  <si>
    <t>TOT.DÉBITO: -9,20</t>
  </si>
  <si>
    <t>000000000617A-CC</t>
  </si>
  <si>
    <t>LANC. CRED. REF. A  - PAGTO.PARCIAL - DTA. REC.: 09/02/2022 - VR. ORIGINAL: -1.543,99 - VR. PAGO: -1.534,99</t>
  </si>
  <si>
    <t>000000000966A-CC</t>
  </si>
  <si>
    <t>LANC. CRED. REF. A  - PAGTO.PARCIAL - DTA. REC.: 20/01/2023 - VR. ORIGINAL: -1.269,20 - VR. PAGO: -1.269,00</t>
  </si>
  <si>
    <t>05000550-ALEX PEREIRA DOS SANTOS</t>
  </si>
  <si>
    <t xml:space="preserve">TELEFONE(S):  (61)99315-3325 </t>
  </si>
  <si>
    <t>TOT.DÉBITO: -18,08</t>
  </si>
  <si>
    <t>000000000804A-CC</t>
  </si>
  <si>
    <t>CARTAO 4X - PAGTO.PARCIAL - DTA. REC.: 08/11/2022 - VR. ORIGINAL: -1.000,00 - VR. PAGO: -727,16 - PAGTO.PARCIAL - DTA. REC.: 08/11/2022 - VR. ORIGINAL: -272,84 - VR. PAGO: -47,71 - PAGTO.PARCIAL - DTA. REC.: 14/11/2022 - VR. ORIGINAL: -225,13 - VR. PAGO: -50,00 - PAGTO.PARCIAL - DTA. REC.: 23/11/2022 - VR. ORIGINAL: -175,13 - VR. PAGO: -157,05</t>
  </si>
  <si>
    <t>06000026-ALEXANDER TEIXEIRA CHAGAS (ALEX)</t>
  </si>
  <si>
    <t xml:space="preserve">TELEFONE(S):  (61)99848-5525 </t>
  </si>
  <si>
    <t>TOT.DÉBITO: -2,71</t>
  </si>
  <si>
    <t>000000601138A-CC</t>
  </si>
  <si>
    <t>REF. LANC. CREDITO - CLIENTE: 06000026-ALEXANDER TEIXEIRA CHAGAS (ALEX) - PAGTO.PARCIAL - DTA. REC.: 18/11/2024 - VR. ORIGINAL: -38,00 - VR. PAGO: -28,00 - PAGTO.PARCIAL - DTA. REC.: 29/11/2024 - VR. ORIGINAL: -10,00 - VR. PAGO: -9,99</t>
  </si>
  <si>
    <t>000000601226A-CC</t>
  </si>
  <si>
    <t>REF. LANC. CREDITO - CLIENTE: 06000026-ALEXANDER TEIXEIRA CHAGAS (ALEX)</t>
  </si>
  <si>
    <t>02002473-ALEXANDRE CAIRO</t>
  </si>
  <si>
    <t>TELEFONE(S): (61)99985-0868  (61)99985-0868</t>
  </si>
  <si>
    <t>TOT.DÉBITO: -0,50</t>
  </si>
  <si>
    <t>000000023349A-NF</t>
  </si>
  <si>
    <t>REF.DEV.: 000000023349-NF REF.DOC.: 000000023080-NF-014-13/09/2025 - PARC. 1/1&lt;&lt;csq&gt;&gt; - PAGTO.PARCIAL - DTA. REC.: 03/10/2025 - VR. ORIGINAL: -346,50 - VR. PAGO: -209,00 - PAGTO.PARCIAL - DTA. REC.: 03/10/2025 - VR. ORIGINAL: -137,50 - VR. PAGO: -137,00</t>
  </si>
  <si>
    <t>80006526-ALEXANDRE PEREIRA DA SILVA</t>
  </si>
  <si>
    <t>TELEFONE(S): (61)99299-2096  (61)99299-2096</t>
  </si>
  <si>
    <t>TOT.DÉBITO: -0,30</t>
  </si>
  <si>
    <t>000000000505A-CC</t>
  </si>
  <si>
    <t>REF. LANC. CREDITO - CLIENTE: 80006526-ALEXANDRE PEREIRA DA SILVA</t>
  </si>
  <si>
    <t>80005549-ALEXSANDER  SOARES DA CONCEICAO</t>
  </si>
  <si>
    <t>TOT.DÉBITO: -77,31</t>
  </si>
  <si>
    <t>000000002861A-CC</t>
  </si>
  <si>
    <t>LANC. CRED. REF. A  - PAGTO.PARCIAL - DTA. REC.: 02/05/2025 - VR. ORIGINAL: -540,00 - VR. PAGO: -462,69</t>
  </si>
  <si>
    <t>02001519-ALIA COM E SERV DE SIN LTDA</t>
  </si>
  <si>
    <t xml:space="preserve">TELEFONE(S): (61) 3256-0000  </t>
  </si>
  <si>
    <t>TOT.DÉBITO: -0,59</t>
  </si>
  <si>
    <t>000000000458A-CC</t>
  </si>
  <si>
    <t>REF. LANC. CREDITO - CLIENTE: 02001519-ALIA COM E SERV DE SIN LTDA</t>
  </si>
  <si>
    <t>80006384-ALPHA FUNILARIA AUTOMOTIVA</t>
  </si>
  <si>
    <t>LIM.CRÉDITO: 10.000,00</t>
  </si>
  <si>
    <t>000000000793A-CC</t>
  </si>
  <si>
    <t>LANC. CRED. REF. A  - PAGTO.PARCIAL - DTA. REC.: 15/01/2026 - VR. ORIGINAL: -106,00 - VR. PAGO: -102,00</t>
  </si>
  <si>
    <t>00000266-ALTERNATIVA  AUTO CENTRO</t>
  </si>
  <si>
    <t>TELEFONE(S): (61) 3234-2913  (61)98561-6975</t>
  </si>
  <si>
    <t>TOT.DÉBITO: 134,50</t>
  </si>
  <si>
    <t>000000000732A-CC</t>
  </si>
  <si>
    <t>REF. LANC. CREDITO - CLIENTE: 00000266-ALTERNATIVA  AUTO CENTRO</t>
  </si>
  <si>
    <t>000000000922A-CC</t>
  </si>
  <si>
    <t>000000000999A-CC</t>
  </si>
  <si>
    <t>REF. LANC. CREDITO - CLIENTE: 00000266-ALTERNATIVA  AUTO CENTRO - PAGTO.PARCIAL - DTA. REC.: 28/08/2025 - VR. ORIGINAL: -2,30 - VR. PAGO: -2,00</t>
  </si>
  <si>
    <t>000000001120A-CC</t>
  </si>
  <si>
    <t>00004650-ALVARO HENRIQUE CRUZ DINIZ EIRELI ME</t>
  </si>
  <si>
    <t xml:space="preserve">TELEFONE(S): (61) 3361-1488  </t>
  </si>
  <si>
    <t>TOT.DÉBITO: -27,00</t>
  </si>
  <si>
    <t>000000008621A-NF</t>
  </si>
  <si>
    <t>REF.DEV.: 000000008621-NF REF.DOC.: 000000008619-NF-014-29/11/2022 - PARC. 1/1&lt;&lt;csq&gt;&gt; - PAGTO.PARCIAL - DTA. REC.: 29/11/2022 - VR. ORIGINAL: -58,90 - VR. PAGO: -31,90</t>
  </si>
  <si>
    <t>11005383-AMERICAN SOLUCOES PORTAS LTDA</t>
  </si>
  <si>
    <t>TELEFONE(S):   (61)98415-9929</t>
  </si>
  <si>
    <t>LIM.CRÉDITO: 2.000,00</t>
  </si>
  <si>
    <t>000000000158A-CC</t>
  </si>
  <si>
    <t>00003690-AMERICO SOUSA FIRMO</t>
  </si>
  <si>
    <t>TELEFONE(S): (61) 3623-7057  (61) 9277-7138</t>
  </si>
  <si>
    <t>000000000539A-CC</t>
  </si>
  <si>
    <t>REF. LANC. CREDITO - CLIENTE: 00003690-AMERICO SOUSA FIRMO</t>
  </si>
  <si>
    <t xml:space="preserve">TELEFONE(S):  (61)99999-9999 </t>
  </si>
  <si>
    <t>02001483-ANDRE ALVES DA SILVA</t>
  </si>
  <si>
    <t>TELEFONE(S):   (61)99382-8485</t>
  </si>
  <si>
    <t>000000001164A-CC</t>
  </si>
  <si>
    <t>00000271-ANDRE AVELINO DE SOUSA</t>
  </si>
  <si>
    <t>TELEFONE(S): (61) 3302-3786  (61) 8534-4772</t>
  </si>
  <si>
    <t>TOT.DÉBITO: -53,34</t>
  </si>
  <si>
    <t>000000017277A-NF</t>
  </si>
  <si>
    <t>REF.DEV.: 000000017277-NF REF.DOC.: 000000020542-IF-014-11/07/2024 - PARC. 1/1&lt;&lt;csq&gt;&gt; - PAGTO.PARCIAL - DTA. REC.: 06/08/2024 - VR. ORIGINAL: -108,43 - VR. PAGO: -55,09</t>
  </si>
  <si>
    <t>05000530-ANDRE DE MELO BRAGA</t>
  </si>
  <si>
    <t>TELEFONE(S):  (61)98373-5203 (61)98373-5203</t>
  </si>
  <si>
    <t>TOT.DÉBITO: -0,20</t>
  </si>
  <si>
    <t>000000003299A-CC</t>
  </si>
  <si>
    <t>REF. LANC. CREDITO - CLIENTE: 05000530-ANDRE DE MELO BRAGA</t>
  </si>
  <si>
    <t>02000912-ANDRE DELA PENNA</t>
  </si>
  <si>
    <t>TELEFONE(S):   (61)99977-7710</t>
  </si>
  <si>
    <t>TOT.DÉBITO: -28,19</t>
  </si>
  <si>
    <t>000000102614A-CC</t>
  </si>
  <si>
    <t>LANC. CRED. REF. A  - PAGTO.PARCIAL - DTA. REC.: 26/06/2023 - VR. ORIGINAL: -37,30 - VR. PAGO: -24,40</t>
  </si>
  <si>
    <t>000000020204A-NF</t>
  </si>
  <si>
    <t>REF.DEV.: 000000020204-NF REF.DOC.: 000000045344-IF-001-23/08/2023 - PARC. 1/1&lt;&lt;csq&gt;&gt; - PAGTO.PARCIAL - DTA. REC.: 31/08/2023 - VR. ORIGINAL: -57,29 - VR. PAGO: -42,00</t>
  </si>
  <si>
    <t>00004588-ANDRE LUIZ LEITE DE SOUZA</t>
  </si>
  <si>
    <t>TELEFONE(S): (61)99198-8266  (61) 9198-8266</t>
  </si>
  <si>
    <t>LIM.CRÉDITO: 2.500,00</t>
  </si>
  <si>
    <t>02000199-ANDRE MECHICA</t>
  </si>
  <si>
    <t>TELEFONE(S): (61)99872-2666 (61)99872-2666 (61)99872-2666</t>
  </si>
  <si>
    <t>TOT.DÉBITO: -18,34</t>
  </si>
  <si>
    <t>000000401487A-CC</t>
  </si>
  <si>
    <t>LANC. CRED. REF. A  - CREDITO - PAGTO.PARCIAL - DTA. REC.: 14/09/2022 - VR. ORIGINAL: -323,00 - VR. PAGO: -81,66 - PAGTO.PARCIAL - DTA. REC.: 14/09/2022 - VR. ORIGINAL: -241,34 - VR. PAGO: -223,00</t>
  </si>
  <si>
    <t>00004692-ANTONIA FRANCISCA GOMES DA SILVA</t>
  </si>
  <si>
    <t>TELEFONE(S): (61) 3355-4170  (61) 9232-1962</t>
  </si>
  <si>
    <t>LIM.CRÉDITO: 8.500,00</t>
  </si>
  <si>
    <t>000000002394A-CC</t>
  </si>
  <si>
    <t>REF. LANC. CREDITO - CLIENTE: 00004692-ANTONIA FRANCISCA GOMES DA SILVA</t>
  </si>
  <si>
    <t>80005189-ANTONIO  FELIPE DA COSTA</t>
  </si>
  <si>
    <t>TOT.DÉBITO: -4,94</t>
  </si>
  <si>
    <t>000000001328A-NF</t>
  </si>
  <si>
    <t>REF.DEV.: 000000001328-NF REF.DOC.: 000000015605-IF-016-17/04/2025 - PARC. 1/1&lt;&lt;csq&gt;&gt; - PAGTO.PARCIAL - DTA. REC.: 22/04/2025 - VR. ORIGINAL: -46,11 - VR. PAGO: -41,17</t>
  </si>
  <si>
    <t>01000006-ANTONIO / AN</t>
  </si>
  <si>
    <t>TOT.DÉBITO: -0,06</t>
  </si>
  <si>
    <t>000000102930A-CC</t>
  </si>
  <si>
    <t>LANC. CRED. REF. A  - PAGTO.PARCIAL - DTA. REC.: 23/10/2023 - VR. ORIGINAL: -0,25 - VR. PAGO: -0,19</t>
  </si>
  <si>
    <t>00003174-ANTONIO ALVES DE SOUSA FILHO</t>
  </si>
  <si>
    <t>TOT.DÉBITO: -2,60</t>
  </si>
  <si>
    <t>000000001219A-CC</t>
  </si>
  <si>
    <t>LANC. CRED. REF. A  - PIX - PAGTO.PARCIAL - DTA. REC.: 12/11/2025 - VR. ORIGINAL: -400,00 - VR. PAGO: -160,00 - PAGTO.PARCIAL - DTA. REC.: 01/12/2025 - VR. ORIGINAL: -240,00 - VR. PAGO: -237,40</t>
  </si>
  <si>
    <t>80004987-ANTONIO ALVINO DE OLIVEIRA SILVA</t>
  </si>
  <si>
    <t>TELEFONE(S):   (61)99902-7083</t>
  </si>
  <si>
    <t>TOT.DÉBITO: -1,00</t>
  </si>
  <si>
    <t>REF. LANC. CREDITO - CLIENTE: 80004987-ANTONIO ALVINO DE OLIVEIRA SILVA</t>
  </si>
  <si>
    <t>11004893-ANTONIO AUGUSTO FERREIRA MAIA</t>
  </si>
  <si>
    <t>TELEFONE(S):  (61) 3304-1856 (61)99636-9423</t>
  </si>
  <si>
    <t>TOT.DÉBITO: -6,20</t>
  </si>
  <si>
    <t>000000014753A-NF</t>
  </si>
  <si>
    <t>REF.DEV.: 000000014753-NF REF.DOC.: 000000014722-NF-001-19/05/2021 - PARC. 1/1&lt;&lt;csq&gt;&gt; - PAGTO.PARCIAL - DTA. REC.: 24/05/2021 - VR. ORIGINAL: -51,20 - VR. PAGO: -45,00</t>
  </si>
  <si>
    <t>11005004-ANTONIO CARLOS MARTINS 82249628653</t>
  </si>
  <si>
    <t xml:space="preserve">TELEFONE(S): (38)98827-6071  </t>
  </si>
  <si>
    <t>TOT.DÉBITO: -59,75</t>
  </si>
  <si>
    <t>000000000095A-CC</t>
  </si>
  <si>
    <t>REF. LANC. CREDITO - CLIENTE: 11005004-ANTONIO CARLOS MARTINS 82249628653</t>
  </si>
  <si>
    <t>00004718-ANTONIO DE PADUA SOUSA CARVALHO - ME</t>
  </si>
  <si>
    <t>LIM.CRÉDITO: 20.000,00</t>
  </si>
  <si>
    <t>000000009198A-NF</t>
  </si>
  <si>
    <t>REF.DEV.: 000000009198-NF REF.DOC.: 000000009058-NF-013-01/12/2025 - PARC. 1/1&lt;&lt;csq&gt;&gt; - PAGTO.PARCIAL - DTA. REC.: 06/01/2026 - VR. ORIGINAL: -807,00 - VR. PAGO: -804,71</t>
  </si>
  <si>
    <t>00002683-ANTONIO LOPES CALDAS</t>
  </si>
  <si>
    <t>LIM.CRÉDITO: 50.000,00</t>
  </si>
  <si>
    <t>04000014-ANTONIO LUIS CARVALHO DA SILVA</t>
  </si>
  <si>
    <t xml:space="preserve">TELEFONE(S): (61)99597-4871 (61)99597-4871 </t>
  </si>
  <si>
    <t>TOT.DÉBITO: -0,80</t>
  </si>
  <si>
    <t>000000402574A-CC</t>
  </si>
  <si>
    <t>REF. LANC. CREDITO - CLIENTE: 04000014-ANTONIO LUIS CARVALHO DA SILVA</t>
  </si>
  <si>
    <t>000000402649A-CC</t>
  </si>
  <si>
    <t>80004991-ANTONIO MARCIO MONTEIRO AMARAL</t>
  </si>
  <si>
    <t>TELEFONE(S):   (61)97401-0930</t>
  </si>
  <si>
    <t>TOT.DÉBITO: 6.991,58</t>
  </si>
  <si>
    <t>000000000092A-CC</t>
  </si>
  <si>
    <t>LANC. CRED. REF. A PAGAMENTO DO CLIENTE - PAGTO.PARCIAL - DTA. REC.: 10/06/2021 - VR. ORIGINAL: -6.000,00 - VR. PAGO: -4.801,78 - PAGTO.PARCIAL - DTA. REC.: 21/06/2021 - VR. ORIGINAL: -1.198,22 - VR. PAGO: -1.031,80 - PAGTO.PARCIAL - DTA. REC.: 28/06/2021 - VR. ORIGINAL: -166,42 - VR. PAGO: -76,00</t>
  </si>
  <si>
    <t>000000000318A-NF</t>
  </si>
  <si>
    <t>000000100232A-CH</t>
  </si>
  <si>
    <t>DTA.TIT: 09/06/2021, REF. A CHQ. No: 850017, AGE: 1051_x000D_ EMITENTE: GUILHERME PIRES MONTEIRO_x000D_ TELECHEQUE NÃO</t>
  </si>
  <si>
    <t>000000100240A-CH</t>
  </si>
  <si>
    <t>DTA.TIT: 09/06/2021, REF. A CHQ. No: 850018, AGE: 1051_x000D_ EMITENTE: GUILHERME PIRES MONTEIRO_x000D_ TELECHEQUE NÃO</t>
  </si>
  <si>
    <t>00003113-ANTONIO MARCOS MOTA FERNANDES</t>
  </si>
  <si>
    <t>TELEFONE(S): (61) 3039-2829  (61)99114-8273</t>
  </si>
  <si>
    <t>TOT.DÉBITO: -10,00</t>
  </si>
  <si>
    <t>00004381-ANTONIO MARTINS DE FARIAS JUNIOR</t>
  </si>
  <si>
    <t>TELEFONE(S): (61) 3435-1855  (61)98100-6010</t>
  </si>
  <si>
    <t>LIM.CRÉDITO: 25.000,00</t>
  </si>
  <si>
    <t>000000020921A-NF</t>
  </si>
  <si>
    <t>REFERENTE A FATURAMENTO - PARC. 1/1&lt;&lt;csq&gt;&gt; - PAGTO.PARCIAL - DTA. REC.: 02/09/2022 - VR. ORIGINAL: 7.500,00 - VR. PAGO: 1.354,61 &lt;&lt;csq&gt;&gt; - DUPLICATA ESTORNADA: 31/10/2022 000000020921A - SEQ: 1 - ESP: NF - EMP: 004 - DTA. REC.: 02/09/2022 - VR. REC.: 1.354,61</t>
  </si>
  <si>
    <t>02002553-ANTONIO NABOR AREIAS BULHOES</t>
  </si>
  <si>
    <t>TELEFONE(S): (61)99291-1968  (61)99291-1968</t>
  </si>
  <si>
    <t>LIM.CRÉDITO: 3.000,00</t>
  </si>
  <si>
    <t>TOT.DÉBITO: 129,00</t>
  </si>
  <si>
    <t>000000024677A-NF</t>
  </si>
  <si>
    <t>80004978-ANTONIO VANDEILTON DE SOUZA FREIRE</t>
  </si>
  <si>
    <t>TELEFONE(S):  (61)99806-1964 (61)99806-1964</t>
  </si>
  <si>
    <t>TOT.DÉBITO: 6.246,04</t>
  </si>
  <si>
    <t>000000000177A-CC</t>
  </si>
  <si>
    <t>LANC. CRED. REF. A  - PAGTO.PARCIAL - DTA. REC.: 25/01/2022 - VR. ORIGINAL: -548,00 - VR. PAGO: -547,27</t>
  </si>
  <si>
    <t>000000100341A-CH</t>
  </si>
  <si>
    <t>DTA.TIT: 23/11/2021, REF. A CHQ. No: 850002, AGE: 0941_x000D_ EMITENTE: ANTONIO VANDEILTON DE SOUZA FREIRE_x000D_ TELECHEQUE NÃO</t>
  </si>
  <si>
    <t>000000100345A-CH</t>
  </si>
  <si>
    <t>DTA.TIT: 26/10/2021, REF. A CHQ. No: 000294, AGE: 5162_x000D_ EMITENTE: ANTONIO VANDEILTON_x000D_ TELECHEQUE NÃO</t>
  </si>
  <si>
    <t>000000000314A-AG</t>
  </si>
  <si>
    <t>REF. AGRUPAMENTO Nro. 000000000314 - PARC. 1 / 1 - DOC(S): 000000003342A/000000003368A/000000003555A/000000003562A/000000003565A/000000003577A/000000003588A/000000003592A</t>
  </si>
  <si>
    <t>000000100362A-CH</t>
  </si>
  <si>
    <t>DTA.TIT: 23/11/2021, REF. A CHQ. No: 850003, AGE: 0941_x000D_ EMITENTE: ANTONIO VANDEILTON_x000D_ TELECHEQUE NÃO</t>
  </si>
  <si>
    <t>000000100363A-CH</t>
  </si>
  <si>
    <t>DTA.TIT: 25/01/2022, REF. A CHQ. No: SH-000490, AGE: 4396_x000D_ EMITENTE: ANTONIO VANDEILTON_x000D_ TELECHEQUE NÃO</t>
  </si>
  <si>
    <t>000000100361A-CH</t>
  </si>
  <si>
    <t>DTA.TIT: 26/10/2021, REF. A CHQ. No: 000295, AGE: 5162_x000D_ EMITENTE: ANTONIO VANDEILTON_x000D_ TELECHEQUE NÃO</t>
  </si>
  <si>
    <t>000000000042A-DV</t>
  </si>
  <si>
    <t>REF.DEV.: 000000000042-DV REF.DOC.: 000000003092-FF-008-25/11/2021 - PARC. 1/1&lt;&lt;csq&gt;&gt; - PAGTO.PARCIAL - DTA. REC.: 08/03/2022 - VR. ORIGINAL: -89,91 - VR. PAGO: -89,00</t>
  </si>
  <si>
    <t>000000000330A-AG</t>
  </si>
  <si>
    <t>REF. AGRUPAMENTO Nro. 000000000330 - PARC. 1 / 1 - DOC(S): 000000003632A</t>
  </si>
  <si>
    <t>000000000014A-CH</t>
  </si>
  <si>
    <t>DTA.TIT: 23/11/2021, REF. A CHQ. No: 850004, AGE: 0941_x000D_ EMITENTE: ANTONIO VANDEILTON DE SOUZA FREIRE_x000D_ TELECHEQUE NÃO</t>
  </si>
  <si>
    <t>00004331-AO CONSUMIDOR</t>
  </si>
  <si>
    <t>TELEFONE(S): (61)99999-9999  (61)99999-9999</t>
  </si>
  <si>
    <t>TOT.DÉBITO: 0,00</t>
  </si>
  <si>
    <t>000000000140A-IF</t>
  </si>
  <si>
    <t>000000003961A-IF</t>
  </si>
  <si>
    <t>000000008387A-IF</t>
  </si>
  <si>
    <t>000000103186A-CC</t>
  </si>
  <si>
    <t>LANC. CRED. REF. A  - PAGTO.PARCIAL - DTA. REC.: 29/12/2023 - VR. ORIGINAL: -33,00 - VR. PAGO: -28,08 - PAGTO.PARCIAL - DTA. REC.: 29/12/2023 - VR. ORIGINAL: -4,92 - VR. PAGO: -1,85</t>
  </si>
  <si>
    <t>000000022450A-IF</t>
  </si>
  <si>
    <t>000000022451A-IF</t>
  </si>
  <si>
    <t>000000010599A-IF</t>
  </si>
  <si>
    <t>000000001123A-CC</t>
  </si>
  <si>
    <t>REF. SALDO DE ADIANTAMENTO DO PEDIDO 000000041531-PD-014, TRANSFORMADO EM CRÉDITO.</t>
  </si>
  <si>
    <t>000000023403A-NF</t>
  </si>
  <si>
    <t>REF.DEV.: 000000023403-NF REF.DOC.: 000000025429-IF-014-22/05/2025 - PARC. 1/1&lt;&lt;csq&gt;&gt;</t>
  </si>
  <si>
    <t>000000028116A-IF</t>
  </si>
  <si>
    <t>REF. LANC. CREDITO - CLIENTE: 00004331-AO CONSUMIDOR</t>
  </si>
  <si>
    <t>000000601347A-CC</t>
  </si>
  <si>
    <t>000000028287A-IF</t>
  </si>
  <si>
    <t>000000001160A-CC</t>
  </si>
  <si>
    <t>REF. LANC. CREDITO - CLIENTE: 00004331-CHECK UP</t>
  </si>
  <si>
    <t>000000002231A-CC</t>
  </si>
  <si>
    <t>LANC. CRED. REF. A  - PAGTO.PARCIAL - DTA. REC.: 07/11/2025 - VR. ORIGINAL: -199,90 - VR. PAGO: -54,78 - PAGTO.PARCIAL - DTA. REC.: 17/11/2025 - VR. ORIGINAL: -145,12 - VR. PAGO: -7,86 - PAGTO.PARCIAL - DTA. REC.: 18/11/2025 - VR. ORIGINAL: -137,26 - VR. PAGO: -1,00 - PAGTO.PARCIAL - DTA. REC.: 18/11/2025 - VR. ORIGINAL: -136,26 - VR. PAGO: -0,11 - PAGTO.PARCIAL - DTA. REC.: 21/11/2025 - VR. ORIGINAL: -136,15 - VR. PAGO: -7,50 - PAGTO.PARCIAL - DTA. REC.: 21/11/2025 - VR. ORIGINAL: -128,65 - VR. PAGO: -0,30 - PAGTO.PARCIAL - DTA. REC.: 28/11/2025 - VR. ORIGINAL: -128,35 - VR. PAGO: -22,11 - PAGTO.PARCIAL - DTA. REC.: 16/01/2026 - VR. ORIGINAL: -106,24 - VR. PAGO: -12,08 - PAGTO.PARCIAL - DTA. REC.: 24/01/2026 - VR. ORIGINAL: -94,16 - VR. PAGO: -1,00</t>
  </si>
  <si>
    <t>000000000134A-DV</t>
  </si>
  <si>
    <t>REF.DEV.: 000000000134-DV REF.DOC.: 000000015952-FF-014-28/11/2025 - PARC. 1/1&lt;&lt;csq&gt;&gt;</t>
  </si>
  <si>
    <t>000000001178A-CC</t>
  </si>
  <si>
    <t>REF. LANC. CREDITO - CLIENTE: 00004331-RONE</t>
  </si>
  <si>
    <t>000000024541A-NF</t>
  </si>
  <si>
    <t>REF.DEV.: 000000024541-NF REF.DOC.: 000000028636-IF-014-11/12/2025 - PARC. 1/1&lt;&lt;csq&gt;&gt;</t>
  </si>
  <si>
    <t>000000028713A-IF</t>
  </si>
  <si>
    <t>000000055117A-IF</t>
  </si>
  <si>
    <t>000000000135A-DV</t>
  </si>
  <si>
    <t>REF.DEV.: 000000000135-DV REF.DOC.: 000000016195-FF-014-17/12/2025 - PARC. 1/1&lt;&lt;csq&gt;&gt; - PAGTO.PARCIAL - DTA. REC.: 06/01/2026 - VR. ORIGINAL: -351,87 - VR. PAGO: -350,00 - PAGTO.PARCIAL - DTA. REC.: 29/01/2026 - VR. ORIGINAL: -1,87 - VR. PAGO: -0,94</t>
  </si>
  <si>
    <t>000000001193A-CC</t>
  </si>
  <si>
    <t>REF. LANC. CREDITO - CLIENTE: 00004331-BRITO BIBI</t>
  </si>
  <si>
    <t>000000001195A-CC</t>
  </si>
  <si>
    <t>000000028864A-IF</t>
  </si>
  <si>
    <t>REFERENTE A FATURAMENTO - PARC. 1/1&lt;&lt;csq&gt;&gt; - PAGTO.PARCIAL - DTA. REC.: 29/01/2026 - VR. ORIGINAL: 29,90 - VR. PAGO: 25,03 - PAGTO.PARCIAL - DTA. REC.: 03/02/2026 - VR. ORIGINAL: 29,90 - VR. PAGO: 4,60</t>
  </si>
  <si>
    <t>000000029112A-IF</t>
  </si>
  <si>
    <t>000000029204A-IF</t>
  </si>
  <si>
    <t>000000029227A-IF</t>
  </si>
  <si>
    <t>00004973-AO CONSUMIDOR AGUAS LINDAS</t>
  </si>
  <si>
    <t>000000004970A-IF</t>
  </si>
  <si>
    <t>000000004975A-IF</t>
  </si>
  <si>
    <t>000000004976A-IF</t>
  </si>
  <si>
    <t>REF. LANC. CREDITO - CLIENTE: 00004973-GARAGEM 09</t>
  </si>
  <si>
    <t>000000000554A-CC</t>
  </si>
  <si>
    <t>REF. LANC. CREDITO - CLIENTE: 00004973-RAFAEL</t>
  </si>
  <si>
    <t>000000000564A-CC</t>
  </si>
  <si>
    <t>REF. LANC. CREDITO - CLIENTE: 00004973-CHAGAS</t>
  </si>
  <si>
    <t>000000000576A-CC</t>
  </si>
  <si>
    <t>REF. LANC. CREDITO - CLIENTE: 00004973-ALOISIO</t>
  </si>
  <si>
    <t>000000000600A-CC</t>
  </si>
  <si>
    <t xml:space="preserve">REF. LANC. CREDITO - CLIENTE: 00004973-LEANDRO </t>
  </si>
  <si>
    <t>000000000610A-CC</t>
  </si>
  <si>
    <t>REF. LANC. CREDITO - CLIENTE: 00004973-JOHN</t>
  </si>
  <si>
    <t>000000000634A-CC</t>
  </si>
  <si>
    <t>REF. LANC. CREDITO - CLIENTE: 00004973-JECSAN</t>
  </si>
  <si>
    <t>000000000625A-CC</t>
  </si>
  <si>
    <t>REF. LANC. CREDITO - CLIENTE: 00004973-JOHN - PAGTO.PARCIAL - DTA. REC.: 05/12/2024 - VR. ORIGINAL: -3,52 - VR. PAGO: -3,50</t>
  </si>
  <si>
    <t>000000000653A-CC</t>
  </si>
  <si>
    <t>REF. LANC. CREDITO - CLIENTE: 00004973-NILSON - PAGTO.PARCIAL - DTA. REC.: 06/12/2024 - VR. ORIGINAL: -271,68 - VR. PAGO: -271,62</t>
  </si>
  <si>
    <t>000000000654A-CC</t>
  </si>
  <si>
    <t>000000000724A-CC</t>
  </si>
  <si>
    <t>REF. LANC. CREDITO - CLIENTE: 00004973-V80 - PAGTO.PARCIAL - DTA. REC.: 23/01/2025 - VR. ORIGINAL: -8,90 - VR. PAGO: -8,52</t>
  </si>
  <si>
    <t>000000000739A-CC</t>
  </si>
  <si>
    <t>REF. LANC. CREDITO - CLIENTE: 00004973-INDIO</t>
  </si>
  <si>
    <t>000000000744A-CC</t>
  </si>
  <si>
    <t>REF. LANC. CREDITO - CLIENTE: 00004973-LUCIANO</t>
  </si>
  <si>
    <t>000000000757A-CC</t>
  </si>
  <si>
    <t xml:space="preserve">REF. LANC. CREDITO - CLIENTE: 00004973-LUIZ </t>
  </si>
  <si>
    <t>000000000765A-CC</t>
  </si>
  <si>
    <t>REF. LANC. CREDITO - CLIENTE: 00004973-MORAES</t>
  </si>
  <si>
    <t>000000000782A-CC</t>
  </si>
  <si>
    <t>REF. LANC. CREDITO - CLIENTE: 00004973-WAGNER</t>
  </si>
  <si>
    <t>000000000787A-CC</t>
  </si>
  <si>
    <t>REF. LANC. CREDITO - CLIENTE: 00004973-MARCIEL COCALZINHO</t>
  </si>
  <si>
    <t>000000000821A-CC</t>
  </si>
  <si>
    <t>REF. LANC. CREDITO - CLIENTE: 00004973-LUIZ</t>
  </si>
  <si>
    <t>000000000839A-CC</t>
  </si>
  <si>
    <t>REF. LANC. CREDITO - CLIENTE: 00004973-PAULO CESAR</t>
  </si>
  <si>
    <t>000000000854A-CC</t>
  </si>
  <si>
    <t>REF. LANC. CREDITO - CLIENTE: 00004973-LINDOMAR</t>
  </si>
  <si>
    <t>000000000860A-CC</t>
  </si>
  <si>
    <t>000000000864A-CC</t>
  </si>
  <si>
    <t>LANC. CRED. REF. A  - PIX - PAGTO.PARCIAL - DTA. REC.: 26/03/2025 - VR. ORIGINAL: -138,00 - VR. PAGO: -137,80</t>
  </si>
  <si>
    <t>000000000870A-CC</t>
  </si>
  <si>
    <t>000000000902A-CC</t>
  </si>
  <si>
    <t xml:space="preserve">REF. LANC. CREDITO - CLIENTE: 00004973-GABRIEL </t>
  </si>
  <si>
    <t>000000000916A-CC</t>
  </si>
  <si>
    <t>REF. LANC. CREDITO - CLIENTE: 00004973-JEFERSON</t>
  </si>
  <si>
    <t>000000000946A-CC</t>
  </si>
  <si>
    <t xml:space="preserve">REF. LANC. CREDITO - CLIENTE: 00004973-VALDECY </t>
  </si>
  <si>
    <t>000000000950A-CC</t>
  </si>
  <si>
    <t>REF. LANC. CREDITO - CLIENTE: 00004973-EDENILSON</t>
  </si>
  <si>
    <t>000000000954A-CC</t>
  </si>
  <si>
    <t>REF. LANC. CREDITO - CLIENTE: 00004973-MAX</t>
  </si>
  <si>
    <t>000000000962A-CC</t>
  </si>
  <si>
    <t>REF. LANC. CREDITO - CLIENTE: 00004973-CARLINHOS COCALZIM</t>
  </si>
  <si>
    <t>000000000964A-CC</t>
  </si>
  <si>
    <t>REF. LANC. CREDITO - CLIENTE: 00004973-RODRIGUES SANTO ANTONIO</t>
  </si>
  <si>
    <t>000000000974A-CC</t>
  </si>
  <si>
    <t>REF. LANC. CREDITO - CLIENTE: 00004973-EDINAN - EDILANDIA</t>
  </si>
  <si>
    <t>000000000982A-CC</t>
  </si>
  <si>
    <t>000000000994A-CC</t>
  </si>
  <si>
    <t>REF. LANC. CREDITO - CLIENTE: 00004973-INDIO - PAGTO.PARCIAL - DTA. REC.: 02/06/2025 - VR. ORIGINAL: -132,50 - VR. PAGO: -131,10</t>
  </si>
  <si>
    <t>000000001006A-CC</t>
  </si>
  <si>
    <t>REF. LANC. CREDITO - CLIENTE: 00004973-EDNAN EDILANDIA</t>
  </si>
  <si>
    <t>000000001008A-CC</t>
  </si>
  <si>
    <t>REF. LANC. CREDITO - CLIENTE: 00004973-ROBERTO</t>
  </si>
  <si>
    <t>000000001016A-CC</t>
  </si>
  <si>
    <t>000000001036A-CC</t>
  </si>
  <si>
    <t xml:space="preserve">REF. LANC. CREDITO - CLIENTE: 00004973-MARCIEL </t>
  </si>
  <si>
    <t>000000001042A-CC</t>
  </si>
  <si>
    <t>REF. LANC. CREDITO - CLIENTE: 00004973-LINDOMAR - PAGTO.PARCIAL - DTA. REC.: 04/07/2025 - VR. ORIGINAL: -28,00 - VR. PAGO: -4,00 - PAGTO.PARCIAL - DTA. REC.: 04/07/2025 - VR. ORIGINAL: -24,00 - VR. PAGO: -4,90 - PAGTO.PARCIAL - DTA. REC.: 15/07/2025 - VR. ORIGINAL: -19,10 - VR. PAGO: -11,70 - PAGTO.PARCIAL - DTA. REC.: 17/07/2025 - VR. ORIGINAL: -7,40 - VR. PAGO: -5,00 - PAGTO.PARCIAL - DTA. REC.: 05/08/2025 - VR. ORIGINAL: -2,40 - VR. PAGO: -0,93</t>
  </si>
  <si>
    <t>000000001115A-CC</t>
  </si>
  <si>
    <t>REF. LANC. CREDITO - CLIENTE: 00004973-AO CONSUMIDOR AGUAS LINDAS</t>
  </si>
  <si>
    <t>000000001116A-CC</t>
  </si>
  <si>
    <t>REF. LANC. CREDITO - CLIENTE: 00004973-JAIRO</t>
  </si>
  <si>
    <t>000000001133A-CC</t>
  </si>
  <si>
    <t>000000001146A-CC</t>
  </si>
  <si>
    <t>REF. LANC. CREDITO - CLIENTE: 00004973-ALISSON</t>
  </si>
  <si>
    <t>000000001151A-CC</t>
  </si>
  <si>
    <t>000000001158A-CC</t>
  </si>
  <si>
    <t xml:space="preserve">REF. LANC. CREDITO - CLIENTE: 00004973-ROBERTO - COCALZINHO </t>
  </si>
  <si>
    <t>000000001169A-CC</t>
  </si>
  <si>
    <t xml:space="preserve">REF. LANC. CREDITO - CLIENTE: 00004973-ALISSON </t>
  </si>
  <si>
    <t>000000001184A-CC</t>
  </si>
  <si>
    <t>REF. LANC. CREDITO - CLIENTE: 00004973-CICERO MATRIX</t>
  </si>
  <si>
    <t>000000001002A-CC</t>
  </si>
  <si>
    <t>REF. LANC. CREDITO - CLIENTE: 00004973-WAGNER - PAGTO.PARCIAL - DTA. REC.: 21/10/2025 - VR. ORIGINAL: -5,94 - VR. PAGO: -5,90</t>
  </si>
  <si>
    <t>000000001211A-CC</t>
  </si>
  <si>
    <t>000000001212A-CC</t>
  </si>
  <si>
    <t xml:space="preserve">REF. LANC. CREDITO - CLIENTE: 00004973-RAIMUNDO NONATO </t>
  </si>
  <si>
    <t>000000001267A-CC</t>
  </si>
  <si>
    <t>REF. LANC. CREDITO - CLIENTE: 00004973-ANDRE</t>
  </si>
  <si>
    <t>000000001276A-CC</t>
  </si>
  <si>
    <t>REF. LANC. CREDITO - CLIENTE: 00004973-LUIZ OURO VERDE</t>
  </si>
  <si>
    <t>000000001280A-CC</t>
  </si>
  <si>
    <t>REF. LANC. CREDITO - CLIENTE: 00004973-PAULÃO</t>
  </si>
  <si>
    <t>000000001281A-CC</t>
  </si>
  <si>
    <t>REF. LANC. CREDITO - CLIENTE: 00004973-GILMAR POLIMENTOS</t>
  </si>
  <si>
    <t>000000001295A-CC</t>
  </si>
  <si>
    <t>000000001300A-CC</t>
  </si>
  <si>
    <t>000000001302A-CC</t>
  </si>
  <si>
    <t>REF. LANC. CREDITO - CLIENTE: 00004973-VICTOR CAR</t>
  </si>
  <si>
    <t>000000001340A-CC</t>
  </si>
  <si>
    <t>REF. LANC. CREDITO - CLIENTE: 00004973-IRAN - GIRASSOL</t>
  </si>
  <si>
    <t>000000001344A-CC</t>
  </si>
  <si>
    <t>REF. LANC. CREDITO - CLIENTE: 00004973-MARCIO VIZINHO</t>
  </si>
  <si>
    <t>000000001348A-CC</t>
  </si>
  <si>
    <t>80004936-AO CONSUMIDOR LUZIANIA</t>
  </si>
  <si>
    <t>TELEFONE(S): (61) 3601-2326  (61)90000-0000</t>
  </si>
  <si>
    <t>000000002918A-IF</t>
  </si>
  <si>
    <t>REFERENTE A FATURAMENTO - PARC. 1/1&lt;&lt;csq&gt;&gt; - PAGTO.PARCIAL - DTA. REC.: 10/06/2021 - VR. ORIGINAL: 899,78 - VR. PAGO: 668,00 &lt;&lt;csq&gt;&gt; - DUPLICATA ESTORNADA: 23/06/2021 000000002918A - SEQ: 1 - ESP: IF - EMP: 008 - DTA. REC.: 10/06/2021 - VR. REC.: 668,00</t>
  </si>
  <si>
    <t>000000003085A-IF</t>
  </si>
  <si>
    <t>000000004620A-IF</t>
  </si>
  <si>
    <t>000000004621A-IF</t>
  </si>
  <si>
    <t>000000004646A-IF</t>
  </si>
  <si>
    <t>REFERENTE A FATURAMENTO - PARC. 1/1&lt;&lt;csq&gt;&gt; - PAGTO.PARCIAL - DTA. REC.: 29/04/2021 - VR. ORIGINAL: 557,81 - VR. PAGO: 400,00 &lt;&lt;csq&gt;&gt; - DUPLICATA ESTORNADA: 29/04/2021 000000004646A - SEQ: 1 - ESP: IF - EMP: 008 - DTA. REC.: 29/04/2021 - VR. REC.: 400,00 - PAGTO.PARCIAL - DTA. REC.: 20/05/2021 - VR. ORIGINAL: 557,81 - VR. PAGO: 484,00</t>
  </si>
  <si>
    <t>000000004727A-IF</t>
  </si>
  <si>
    <t>000000004768A-IF</t>
  </si>
  <si>
    <t>000000004500A-IF</t>
  </si>
  <si>
    <t>REFERENTE A FATURAMENTO - PARC. 1/1&lt;&lt;csq&gt;&gt; - PAGTO.PARCIAL - DTA. REC.: 29/04/2021 - VR. ORIGINAL: 573,50 - VR. PAGO: 400,00</t>
  </si>
  <si>
    <t>000000004971A-IF</t>
  </si>
  <si>
    <t>000000005049A-IF</t>
  </si>
  <si>
    <t>000000005076A-IF</t>
  </si>
  <si>
    <t>000000005668A-IF</t>
  </si>
  <si>
    <t>REFERENTE A FATURAMENTO - PARC. 1/1&lt;&lt;csq&gt;&gt; - PAGTO.PARCIAL - DTA. REC.: 19/07/2021 - VR. ORIGINAL: 858,90 - VR. PAGO: 711,50</t>
  </si>
  <si>
    <t>000000005027A-IF</t>
  </si>
  <si>
    <t>REFERENTE A FATURAMENTO - PARC. 1/1&lt;&lt;csq&gt;&gt; - PAGTO.PARCIAL - DTA. REC.: 11/06/2021 - VR. ORIGINAL: 936,04 - VR. PAGO: 400,00 - PAGTO.PARCIAL - DTA. REC.: 21/07/2021 - VR. ORIGINAL: 936,04 - VR. PAGO: 300,00</t>
  </si>
  <si>
    <t>000000006046A-IF</t>
  </si>
  <si>
    <t>REFERENTE A FATURAMENTO - PARC. 1/1&lt;&lt;csq&gt;&gt; - PAGTO.PARCIAL - DTA. REC.: 15/10/2021 - VR. ORIGINAL: 387,00 - VR. PAGO: 87,00</t>
  </si>
  <si>
    <t>000000100237A-CH</t>
  </si>
  <si>
    <t>DTA.TIT: 19/07/2021, REF. A CHQ. No: 900232, AGE: 3369_x000D_ EMITENTE: JOCELIA MOREIRA DA SILVA_x000D_ TELECHEQUE NÃO</t>
  </si>
  <si>
    <t>00002770-AO CONSUMIDOR UNAI</t>
  </si>
  <si>
    <t>000000000880A-CC</t>
  </si>
  <si>
    <t>000000000108A-DV</t>
  </si>
  <si>
    <t>REF.DEV.: 000000000108-DV REF.DOC.: 000000014213-FF-015-31/12/2025 - PARC. 1/1&lt;&lt;csq&gt;&gt; - PAGTO.PARCIAL - DTA. REC.: 06/01/2026 - VR. ORIGINAL: -55,65 - VR. PAGO: -47,91</t>
  </si>
  <si>
    <t>000000000838A-CC</t>
  </si>
  <si>
    <t>LANC. CRED. REF. A  - PAGTO.PARCIAL - DTA. REC.: 08/11/2025 - VR. ORIGINAL: -706,00 - VR. PAGO: -640,46 - PAGTO.PARCIAL - DTA. REC.: 19/11/2025 - VR. ORIGINAL: -65,54 - VR. PAGO: -10,00 - PAGTO.PARCIAL - DTA. REC.: 09/01/2026 - VR. ORIGINAL: -55,54 - VR. PAGO: -42,84</t>
  </si>
  <si>
    <t>00004747-APCB MARCIEL AUTO MECANICA ME</t>
  </si>
  <si>
    <t>TELEFONE(S): (61) 3447-2950  (61) 9132-2233</t>
  </si>
  <si>
    <t>TOT.DÉBITO: -0,11</t>
  </si>
  <si>
    <t>000000002560A-CC</t>
  </si>
  <si>
    <t>LANC. CRED. REF. A  - PAGTO.PARCIAL - DTA. REC.: 12/11/2025 - VR. ORIGINAL: -383,38 - VR. PAGO: -383,27</t>
  </si>
  <si>
    <t>04000239-AQUA BRASILIA TURISMO LTDA</t>
  </si>
  <si>
    <t>TELEFONE(S):   (61)99948-6064</t>
  </si>
  <si>
    <t>TOT.DÉBITO: -22,74</t>
  </si>
  <si>
    <t>000000000232A-CC</t>
  </si>
  <si>
    <t>LANC. CRED. REF. A  - PAGTO.PARCIAL - DTA. REC.: 16/09/2022 - VR. ORIGINAL: -195,00 - VR. PAGO: -172,26</t>
  </si>
  <si>
    <t>11004993-AQUILEU GOMES DE SOUSA</t>
  </si>
  <si>
    <t>TOT.DÉBITO: -78,40</t>
  </si>
  <si>
    <t>000000000034A-CC</t>
  </si>
  <si>
    <t>REF. LANC. CREDITO - CLIENTE: 11004993-AQUILEU GOMES DE SOUSA</t>
  </si>
  <si>
    <t>04000389-ARLEY NUNES DOS SANTOS</t>
  </si>
  <si>
    <t xml:space="preserve">TELEFONE(S): (61)99307-2900  </t>
  </si>
  <si>
    <t>TOT.DÉBITO: -4,67</t>
  </si>
  <si>
    <t>000000402496A-CC</t>
  </si>
  <si>
    <t xml:space="preserve">REF. LANC. CREDITO - CLIENTE: 04000389-ARLEY NUNES DOS SANTOS </t>
  </si>
  <si>
    <t>000000402657A-CC</t>
  </si>
  <si>
    <t>REF. LANC. CREDITO - CLIENTE: 04000389-ARLEY NUNES DOS SANTOS</t>
  </si>
  <si>
    <t>02002387-ARNALDO BATISTA</t>
  </si>
  <si>
    <t>TELEFONE(S): (61)98563-3466  (61)98563-3466</t>
  </si>
  <si>
    <t>TOT.DÉBITO: -8,00</t>
  </si>
  <si>
    <t>000000001032A-CC</t>
  </si>
  <si>
    <t>LANC. CRED. REF. A  - PAGTO.PARCIAL - DTA. REC.: 16/07/2025 - VR. ORIGINAL: -55,00 - VR. PAGO: -47,00</t>
  </si>
  <si>
    <t>00003342-ARQUIMEDES VAZ DA SILVA ME</t>
  </si>
  <si>
    <t>TELEFONE(S): (61) 3371-1708  (61) 8404-4056</t>
  </si>
  <si>
    <t>000000003307A-CC</t>
  </si>
  <si>
    <t>02001762-ARTHUR EMILIO FERNANDES</t>
  </si>
  <si>
    <t xml:space="preserve">TELEFONE(S): (61)99892-3448  </t>
  </si>
  <si>
    <t>TOT.DÉBITO: -18,59</t>
  </si>
  <si>
    <t>000000017127A-NF</t>
  </si>
  <si>
    <t>REF.DEV.: 000000017127-NF REF.DOC.: 000000017126-NF-014-26/07/2024 - PARC. 1/1&lt;&lt;csq&gt;&gt;</t>
  </si>
  <si>
    <t>00004294-ARTURO BUZZI</t>
  </si>
  <si>
    <t>TELEFONE(S): (61) 3248-0639  (61) 8127-4377</t>
  </si>
  <si>
    <t>LIM.CRÉDITO: 85,67</t>
  </si>
  <si>
    <t>TOT.DÉBITO: -23,69</t>
  </si>
  <si>
    <t>000000000850A-CC</t>
  </si>
  <si>
    <t>REF. LANC. CREDITO - CLIENTE: 00004294-ARTURO BUZZI</t>
  </si>
  <si>
    <t>000000024072A-NF</t>
  </si>
  <si>
    <t>REF.DEV.: 000000024072-NF REF.DOC.: 000000024033-NF-014-13/11/2025 - PARC. 1/1&lt;&lt;csq&gt;&gt; - PAGTO.PARCIAL - DTA. REC.: 17/11/2025 - VR. ORIGINAL: -191,60 - VR. PAGO: -168,00</t>
  </si>
  <si>
    <t>80005842-ASTROCAR CENTRO AUTOMOTIVO LTDA</t>
  </si>
  <si>
    <t xml:space="preserve">TELEFONE(S): (61)98595-6457  </t>
  </si>
  <si>
    <t>TOT.DÉBITO: -0,55</t>
  </si>
  <si>
    <t>000000002022A-CC</t>
  </si>
  <si>
    <t>LANC. CRED. REF. A  - PAGTO.PARCIAL - DTA. REC.: 24/10/2024 - VR. ORIGINAL: -139,80 - VR. PAGO: -139,25</t>
  </si>
  <si>
    <t>02001052-ATOS SINALI CORP AMB EIRELI</t>
  </si>
  <si>
    <t xml:space="preserve">TELEFONE(S): (61) 9367-1076  </t>
  </si>
  <si>
    <t>TOT.DÉBITO: -9,11</t>
  </si>
  <si>
    <t>000000000037A-CC</t>
  </si>
  <si>
    <t>LANC. CRED. REF. A  - PAGTO.PARCIAL - DTA. REC.: 06/08/2021 - VR. ORIGINAL: -814,00 - VR. PAGO: -807,00</t>
  </si>
  <si>
    <t>000000000148A-CC</t>
  </si>
  <si>
    <t>LANC. CRED. REF. A  - PAGTO.PARCIAL - DTA. REC.: 16/02/2022 - VR. ORIGINAL: -498,96 - VR. PAGO: -496,85</t>
  </si>
  <si>
    <t>04000318-ATUAL LANTERNAGEM E PINTURA LTDA 22002030</t>
  </si>
  <si>
    <t xml:space="preserve">TELEFONE(S): (61)98292-6337  </t>
  </si>
  <si>
    <t>04000137-ATUAL SOLUCOES AUTOMOTIVAS EIRELLI</t>
  </si>
  <si>
    <t xml:space="preserve">TELEFONE(S): (61)99829-2633 (61)98580-2154 </t>
  </si>
  <si>
    <t>TOT.DÉBITO: 382,14</t>
  </si>
  <si>
    <t>000000023889A-NF</t>
  </si>
  <si>
    <t>000000024830A-NF</t>
  </si>
  <si>
    <t>02001606-AUTK COMERCIO E SERVICO AUTOMOTIVO</t>
  </si>
  <si>
    <t>TELEFONE(S):   (61) 9995-7069</t>
  </si>
  <si>
    <t>TOT.DÉBITO: -2,54</t>
  </si>
  <si>
    <t>000000000896A-CC</t>
  </si>
  <si>
    <t>REF. LANC. CREDITO - CLIENTE: 02001606-AUTK COMERCIO E SERVICO AUTOMOTIVO</t>
  </si>
  <si>
    <t>01000185-AUTO BRASILIA LTDA</t>
  </si>
  <si>
    <t xml:space="preserve">TELEFONE(S): (61)98100-7527  </t>
  </si>
  <si>
    <t>000000102426A-CC</t>
  </si>
  <si>
    <t>LANC. CRED. REF. A  - PAGTO.PARCIAL - DTA. REC.: 26/04/2023 - VR. ORIGINAL: -180,74 - VR. PAGO: -180,00</t>
  </si>
  <si>
    <t>00004778-AUTO GIRO RECUPERADORA DE VEICULOS LTDA - ME</t>
  </si>
  <si>
    <t>TELEFONE(S):   (61)99318-3827</t>
  </si>
  <si>
    <t>TOT.DÉBITO: 96.244,54</t>
  </si>
  <si>
    <t>000000000189A-CH</t>
  </si>
  <si>
    <t>DTA.TIT: 04/08/2023, REF. A CHQ. No: 000157, AGE: 5162_x000D_ EMITENTE: AUTO GIRO RECUPERADORA DE VEICULOS LTDA_x000D_ TELECHEQUE NÃO - PAGTO.PARCIAL - DTA. REC.: 14/06/2024 - VR. ORIGINAL: 3.280,00 - VR. PAGO: 1.323,00 - PAGTO.PARCIAL - DTA. REC.: 14/06/2024 - VR. ORIGINAL: 1.957,00 - VR. PAGO: 100,00 - PAGTO.PARCIAL - DTA. REC.: 14/10/2024 - VR. ORIGINAL: 1.857,00 - VR. PAGO: 1.100,00</t>
  </si>
  <si>
    <t>000000000195A-CH</t>
  </si>
  <si>
    <t>DTA.TIT: 06/11/2023, REF. A CHQ. No: 000093, AGE: 8462_x000D_ EMITENTE: AUTO GIRO RECUPERADORA DE VEICULOS LTDA_x000D_ TELECHEQUE NÃO</t>
  </si>
  <si>
    <t>000000000461A-AG</t>
  </si>
  <si>
    <t>REF. AGRUPAMENTO Nro. 000000000461 - PARC. 1 / 6 - DOC(S): 000000000106A/000000006558A/000000006561A/000000006601A/000000006602A/000000006603A/000000006623A - PAGTO.PARCIAL - DTA. REC.: 16/07/2024 - VR. ORIGINAL: 3.121,85 - VR. PAGO: 985,16 - PAGTO.PARCIAL - DTA. REC.: 29/07/2024 - VR. ORIGINAL: 3.121,85 - VR. PAGO: 2.000,00</t>
  </si>
  <si>
    <t>000000000201A-CH</t>
  </si>
  <si>
    <t>DTA.TIT: 04/10/2023, REF. A CHQ. No: 000082, AGE: 5162_x000D_ EMITENTE: AUTO GIRO RECUPERADORA DE VEICULOS LTDA_x000D_ TELECHEQUE NÃO</t>
  </si>
  <si>
    <t>000000000197A-CH</t>
  </si>
  <si>
    <t>DTA.TIT: 04/08/2023, REF. A CHQ. No: 000158, AGE: 5162_x000D_ EMITENTE: AUTO GIRO RECUPERADORA DE VEICULOS LTDA_x000D_ TELECHEQUE NÃO</t>
  </si>
  <si>
    <t>000000000202A-CH</t>
  </si>
  <si>
    <t>DTA.TIT: 05/09/2023, REF. A CHQ. No: 000108, AGE: 5162_x000D_ EMITENTE: AUTO GIRO RECUPERADORA DE VEICULOS LTDA_x000D_ TELECHEQUE NÃO</t>
  </si>
  <si>
    <t>000000000466A-AG</t>
  </si>
  <si>
    <t>REF. AGRUPAMENTO Nro. 000000000466 - PARC. 1 / 6 - DOC(S): 000000006599A</t>
  </si>
  <si>
    <t>000000000457B-AG</t>
  </si>
  <si>
    <t>REF. AGRUPAMENTO Nro. 000000000457 - PARC. 2 / 6 - DOC(S): 000000000465A/000000000497A/000000000560A/000000000095A/000000006221A/000000006388A/000000006432A/000000006438A/000000006458A/000000006507A/000000006510A/000000006545A/000000006551A/000000000687A/000000000759A/000000000247A</t>
  </si>
  <si>
    <t>000000000205A-CH</t>
  </si>
  <si>
    <t>DTA.TIT: 06/11/2023, REF. A CHQ. No: 000094, AGE: 8462_x000D_ EMITENTE: AUTO GIRO RECUPERADORA DE VEICULOS LTDA_x000D_ TELECHEQUE NÃO</t>
  </si>
  <si>
    <t>000000000461B-AG</t>
  </si>
  <si>
    <t>REF. AGRUPAMENTO Nro. 000000000461 - PARC. 2 / 6 - DOC(S): 000000000106A/000000006558A/000000006561A/000000006601A/000000006602A/000000006603A/000000006623A</t>
  </si>
  <si>
    <t>000000000209A-CH</t>
  </si>
  <si>
    <t>DTA.TIT: 04/10/2023, REF. A CHQ. No: 000083, AGE: 5162_x000D_ EMITENTE: AUTO GIRO RECUPERADORA DE VEICULOS LTDA_x000D_ TELECHEQUE NÃO</t>
  </si>
  <si>
    <t>000000000214A-CH</t>
  </si>
  <si>
    <t>DTA.TIT: 05/09/2023, REF. A CHQ. No: 000109, AGE: 5162_x000D_ EMITENTE: AUTO GIRO RECUPERADORA DE VEICULOS LTDA_x000D_ TELECHEQUE NÃO</t>
  </si>
  <si>
    <t>000000000466B-AG</t>
  </si>
  <si>
    <t>REF. AGRUPAMENTO Nro. 000000000466 - PARC. 2 / 6 - DOC(S): 000000006599A</t>
  </si>
  <si>
    <t>000000000457C-AG</t>
  </si>
  <si>
    <t>REF. AGRUPAMENTO Nro. 000000000457 - PARC. 3 / 6 - DOC(S): 000000000465A/000000000497A/000000000560A/000000000095A/000000006221A/000000006388A/000000006432A/000000006438A/000000006458A/000000006507A/000000006510A/000000006545A/000000006551A/000000000687A/000000000759A/000000000247A</t>
  </si>
  <si>
    <t>000000000216A-CH</t>
  </si>
  <si>
    <t>DTA.TIT: 06/11/2023, REF. A CHQ. No: 000095, AGE: 8462_x000D_ EMITENTE: AUTO GIRO RECUPERADORA DE VEICULOS LTDA_x000D_ TELECHEQUE NÃO</t>
  </si>
  <si>
    <t>000000001217A-CC</t>
  </si>
  <si>
    <t>REF. LANC. CREDITO - CLIENTE: 00004778-AUTO GIRO RECUPERADORA DE VEICULOS LTDA - ME</t>
  </si>
  <si>
    <t>000000000461C-AG</t>
  </si>
  <si>
    <t>REF. AGRUPAMENTO Nro. 000000000461 - PARC. 3 / 6 - DOC(S): 000000000106A/000000006558A/000000006561A/000000006601A/000000006602A/000000006603A/000000006623A</t>
  </si>
  <si>
    <t>000000000221A-CH</t>
  </si>
  <si>
    <t>DTA.TIT: 04/10/2023, REF. A CHQ. No: 000084, AGE: 5162_x000D_ EMITENTE: AUTO GIRO RECUPERADORA DE VEICULOS LTDA_x000D_ TELECHEQUE NÃO</t>
  </si>
  <si>
    <t>000000000466C-AG</t>
  </si>
  <si>
    <t>REF. AGRUPAMENTO Nro. 000000000466 - PARC. 3 / 6 - DOC(S): 000000006599A</t>
  </si>
  <si>
    <t>000000000457D-AG</t>
  </si>
  <si>
    <t>REF. AGRUPAMENTO Nro. 000000000457 - PARC. 4 / 6 - DOC(S): 000000000465A/000000000497A/000000000560A/000000000095A/000000006221A/000000006388A/000000006432A/000000006438A/000000006458A/000000006507A/000000006510A/000000006545A/000000006551A/000000000687A/000000000759A/000000000247A - PAGTO.PARCIAL - DTA. REC.: 12/09/2024 - VR. ORIGINAL: 5.110,00 - VR. PAGO: 4.000,00</t>
  </si>
  <si>
    <t>000000000233A-CH</t>
  </si>
  <si>
    <t>DTA.TIT: 06/11/2023, REF. A CHQ. No: 4288, AGE: 8462_x000D_ EMITENTE: AUTO GIRO RECUPERADORA DE VEICULOS LTDA_x000D_ TELECHEQUE NÃO</t>
  </si>
  <si>
    <t>000000000461D-AG</t>
  </si>
  <si>
    <t>REF. AGRUPAMENTO Nro. 000000000461 - PARC. 4 / 6 - DOC(S): 000000000106A/000000006558A/000000006561A/000000006601A/000000006602A/000000006603A/000000006623A</t>
  </si>
  <si>
    <t>000000000466D-AG</t>
  </si>
  <si>
    <t>REF. AGRUPAMENTO Nro. 000000000466 - PARC. 4 / 6 - DOC(S): 000000006599A</t>
  </si>
  <si>
    <t>000000000457E-AG</t>
  </si>
  <si>
    <t>REF. AGRUPAMENTO Nro. 000000000457 - PARC. 5 / 6 - DOC(S): 000000000465A/000000000497A/000000000560A/000000000095A/000000006221A/000000006388A/000000006432A/000000006438A/000000006458A/000000006507A/000000006510A/000000006545A/000000006551A/000000000687A/000000000759A/000000000247A</t>
  </si>
  <si>
    <t>000000000461E-AG</t>
  </si>
  <si>
    <t>REF. AGRUPAMENTO Nro. 000000000461 - PARC. 5 / 6 - DOC(S): 000000000106A/000000006558A/000000006561A/000000006601A/000000006602A/000000006603A/000000006623A</t>
  </si>
  <si>
    <t>000000000466E-AG</t>
  </si>
  <si>
    <t>REF. AGRUPAMENTO Nro. 000000000466 - PARC. 5 / 6 - DOC(S): 000000006599A</t>
  </si>
  <si>
    <t>000000000457F-AG</t>
  </si>
  <si>
    <t>REF. AGRUPAMENTO Nro. 000000000457 - PARC. 6 / 6 - DOC(S): 000000000465A/000000000497A/000000000560A/000000000095A/000000006221A/000000006388A/000000006432A/000000006438A/000000006458A/000000006507A/000000006510A/000000006545A/000000006551A/000000000687A/000000000759A/000000000247A</t>
  </si>
  <si>
    <t>000000000461F-AG</t>
  </si>
  <si>
    <t>REF. AGRUPAMENTO Nro. 000000000461 - PARC. 6 / 6 - DOC(S): 000000000106A/000000006558A/000000006561A/000000006601A/000000006602A/000000006603A/000000006623A</t>
  </si>
  <si>
    <t>000000000466F-AG</t>
  </si>
  <si>
    <t>REF. AGRUPAMENTO Nro. 000000000466 - PARC. 6 / 6 - DOC(S): 000000006599A</t>
  </si>
  <si>
    <t>000000000111A-CC</t>
  </si>
  <si>
    <t>LANC. CRED. REF. A  - PAGTO.PARCIAL - DTA. REC.: 23/07/2025 - VR. ORIGINAL: -504,40 - VR. PAGO: -494,40</t>
  </si>
  <si>
    <t>000000000142A-CC</t>
  </si>
  <si>
    <t>LANC. CRED. REF. A  - PAGTO.PARCIAL - DTA. REC.: 30/07/2025 - VR. ORIGINAL: -1.898,20 - VR. PAGO: -1.785,20 - PAGTO.PARCIAL - DTA. REC.: 30/07/2025 - VR. ORIGINAL: -113,00 - VR. PAGO: -90,00 - PAGTO.PARCIAL - DTA. REC.: 01/08/2025 - VR. ORIGINAL: -23,00 - VR. PAGO: -22,50</t>
  </si>
  <si>
    <t>000000000254A-CC</t>
  </si>
  <si>
    <t>REF. LANC. CREDITO - CLIENTE: 00004778-AUTO GIRO RECUPERADORA DE VEICULOS LTDA - ME - PAGTO.PARCIAL - DTA. REC.: 29/08/2025 - VR. ORIGINAL: -50,00 - VR. PAGO: -49,90</t>
  </si>
  <si>
    <t>000000000327A-CC</t>
  </si>
  <si>
    <t>000000000338A-CC</t>
  </si>
  <si>
    <t>TOT.DÉBITO: -0,07</t>
  </si>
  <si>
    <t>80006364-AUTO KAR LTDA</t>
  </si>
  <si>
    <t>TELEFONE(S): (61) 3542-7400  (61)99908-5818</t>
  </si>
  <si>
    <t>001000001514B-AG</t>
  </si>
  <si>
    <t>001000001529B-AG</t>
  </si>
  <si>
    <t>00002056-AUTO LANT E PINTURA SOL NASCENTE</t>
  </si>
  <si>
    <t>TELEFONE(S): (61) 3356-7367  (61)98637-9020</t>
  </si>
  <si>
    <t>LIM.CRÉDITO: 800,00</t>
  </si>
  <si>
    <t>TOT.DÉBITO: 558,02</t>
  </si>
  <si>
    <t>000000402162A-CC</t>
  </si>
  <si>
    <t>LANC. CRED. REF. A  - PAGTO.PARCIAL - DTA. REC.: 18/01/2024 - VR. ORIGINAL: -201,80 - VR. PAGO: -199,80 - PAGTO.PARCIAL - DTA. REC.: 27/02/2024 - VR. ORIGINAL: -2,00 - VR. PAGO: -1,10</t>
  </si>
  <si>
    <t>05000400-AUTO MECANICA SILVA MARINHO LTDA</t>
  </si>
  <si>
    <t>LIM.CRÉDITO: 250,00</t>
  </si>
  <si>
    <t>TOT.DÉBITO: -0,86</t>
  </si>
  <si>
    <t>000000001855A-CC</t>
  </si>
  <si>
    <t>REF. LANC. CREDITO - CLIENTE: 05000400-AUTO MECANICA SILVA MARINHO LTDA</t>
  </si>
  <si>
    <t>11004960-AUTO RECUPERADORA DE VEICULO ZAPA LTDA</t>
  </si>
  <si>
    <t>TOT.DÉBITO: -3,36</t>
  </si>
  <si>
    <t>000000000096A-CC</t>
  </si>
  <si>
    <t>REF. LANC. CREDITO - CLIENTE: 11004960-AUTO RECUPERADORA DE VEICULO ZAPA LTDA</t>
  </si>
  <si>
    <t>00004579-AUTO REFORMADORA JL LTDA</t>
  </si>
  <si>
    <t>LIM.CRÉDITO: 4.000,00</t>
  </si>
  <si>
    <t>000000000159A-CC</t>
  </si>
  <si>
    <t>REF. LANC. CREDITO - CLIENTE: 00004579-AUTO REFORMADORA JL LTDA</t>
  </si>
  <si>
    <t>00000706-AUTO REFORMADORA PRISCILA</t>
  </si>
  <si>
    <t>TELEFONE(S): (61) 3372-9687  (61) 8417-8571</t>
  </si>
  <si>
    <t>000000000490A-NF</t>
  </si>
  <si>
    <t>REF.DEV.: 000000000490-NF REF.DOC.: 000000002188-IF-013-14/07/2021 - PARC. 1/1&lt;&lt;csq&gt;&gt; - PAGTO.PARCIAL - DTA. REC.: 27/07/2021 - VR. ORIGINAL: -356,31 - VR. PAGO: -356,24</t>
  </si>
  <si>
    <t>00003086-AUTO SOCORRO BANDEIRANTE EIRELI ME</t>
  </si>
  <si>
    <t>TELEFONE(S): (61) 3354-4439 (61)98274-4342 (61)98281-0002</t>
  </si>
  <si>
    <t>LIM.CRÉDITO: 6.000,00</t>
  </si>
  <si>
    <t>000000002007A-NF</t>
  </si>
  <si>
    <t>REF.DEV.: 000000002007-NF REF.DOC.: 000000002002-NF-014-06/11/2021 - PARC. 1/1&lt;&lt;csq&gt;&gt; - PAGTO.PARCIAL - DTA. REC.: 06/11/2021 - VR. ORIGINAL: -42,90 - VR. PAGO: -37,80</t>
  </si>
  <si>
    <t>00004764-AUTO TECH</t>
  </si>
  <si>
    <t xml:space="preserve">TELEFONE(S): (61) 3233-7704  </t>
  </si>
  <si>
    <t>TOT.DÉBITO: -95,63</t>
  </si>
  <si>
    <t>000000021777A-NF</t>
  </si>
  <si>
    <t>REF.DEV.: 000000021777-NF REF.DOC.: 000000020666-NF-014-12/03/2025 - PARC. 1/1&lt;&lt;csq&gt;&gt; - PAGTO.PARCIAL - DTA. REC.: 03/06/2025 - VR. ORIGINAL: -187,13 - VR. PAGO: -91,50</t>
  </si>
  <si>
    <t>00004564-AUTO VIP CAR CENTRO AUTOMOTIVO EIRELLE-ME</t>
  </si>
  <si>
    <t>TELEFONE(S): (61) 3542-9586  (61) 9361-1722</t>
  </si>
  <si>
    <t>TOT.DÉBITO: 462,89</t>
  </si>
  <si>
    <t>000000001438A-CC</t>
  </si>
  <si>
    <t>REF. LANC. CREDITO - CLIENTE: 00004564-AUTO VIP CAR CENTRO AUTOMOTIVO EIRELLE-ME - PAGTO.PARCIAL - DTA. REC.: 19/09/2023 - VR. ORIGINAL: -151,08 - VR. PAGO: -151,00</t>
  </si>
  <si>
    <t>05000294-AUTO VIP LOCADORA CENTER CAR EIRELI EPP</t>
  </si>
  <si>
    <t xml:space="preserve">TELEFONE(S):  (61) 3339-6696 </t>
  </si>
  <si>
    <t>TOT.DÉBITO: 10.214,50</t>
  </si>
  <si>
    <t>001000001172C-AG</t>
  </si>
  <si>
    <t>REF. AGRUPAMENTO Nro. 001000001172 - PARC. 3 / 5 - DOC(S): 000000307005A/000000307025A/000000307026A/000000307050A/000000307056A/000000307057A/000000307062A/000000307071A/000000307076A/000000307082A/000000307095A/000000307105A/000000307123A/000000307163A/000000307194A/000000307203A/000000307225A</t>
  </si>
  <si>
    <t>001000001198C-AG</t>
  </si>
  <si>
    <t>REF. AGRUPAMENTO Nro. 001000001198 - PARC. 3 / 5 - DOC(S): 000000307266A/000000307279A/000000307300A/000000307364A/000000307372A/000000307381A/000000307382A/000000307387A/000000307428A/000000307439A/000000307445A/000000307474A/000000307477A/000000307492A</t>
  </si>
  <si>
    <t>001000001172D-AG</t>
  </si>
  <si>
    <t>REF. AGRUPAMENTO Nro. 001000001172 - PARC. 4 / 5 - DOC(S): 000000307005A/000000307025A/000000307026A/000000307050A/000000307056A/000000307057A/000000307062A/000000307071A/000000307076A/000000307082A/000000307095A/000000307105A/000000307123A/000000307163A/000000307194A/000000307203A/000000307225A</t>
  </si>
  <si>
    <t>001000001198D-AG</t>
  </si>
  <si>
    <t>REF. AGRUPAMENTO Nro. 001000001198 - PARC. 4 / 5 - DOC(S): 000000307266A/000000307279A/000000307300A/000000307364A/000000307372A/000000307381A/000000307382A/000000307387A/000000307428A/000000307439A/000000307445A/000000307474A/000000307477A/000000307492A</t>
  </si>
  <si>
    <t>001000001172E-AG</t>
  </si>
  <si>
    <t>REF. AGRUPAMENTO Nro. 001000001172 - PARC. 5 / 5 - DOC(S): 000000307005A/000000307025A/000000307026A/000000307050A/000000307056A/000000307057A/000000307062A/000000307071A/000000307076A/000000307082A/000000307095A/000000307105A/000000307123A/000000307163A/000000307194A/000000307203A/000000307225A</t>
  </si>
  <si>
    <t>80005266-AUTO ZOOM CENTRO AUTOMOTIVO LTDA ME</t>
  </si>
  <si>
    <t xml:space="preserve">TELEFONE(S):  (61)99333-0779 </t>
  </si>
  <si>
    <t>TOT.DÉBITO: -2,72</t>
  </si>
  <si>
    <t>000000000119A-CC</t>
  </si>
  <si>
    <t>REF. LANC. CREDITO - CLIENTE: 80005266-AUTO ZOOM CENTRO AUTOMOTIVO LTDA ME - PAGTO.PARCIAL - DTA. REC.: 24/07/2025 - VR. ORIGINAL: -90,50 - VR. PAGO: -87,78</t>
  </si>
  <si>
    <t>80005149-AUTOMEC DISTRIBUIDORA DE AUTO PECAS LTDA EPP</t>
  </si>
  <si>
    <t>TOT.DÉBITO: -319,36</t>
  </si>
  <si>
    <t>000000017461A-NF</t>
  </si>
  <si>
    <t>REF.DEV.: 000000017461-NF REF.DOC.: 000000017341-NF-012-30/07/2025 - PARC. 1/1&lt;&lt;csq&gt;&gt;</t>
  </si>
  <si>
    <t>02001381-AUTOMOTIVE FUNILARIA E PINTURA LTDA</t>
  </si>
  <si>
    <t>TELEFONE(S):   (61)99142-5730</t>
  </si>
  <si>
    <t>TOT.DÉBITO: 25,83</t>
  </si>
  <si>
    <t>000000015359A-NF</t>
  </si>
  <si>
    <t>REFERENTE A FATURAMENTO - PARC. 1/1&lt;&lt;csq&gt;&gt; - PAGTO.PARCIAL - DTA. REC.: 07/06/2024 - VR. ORIGINAL: 80,00 - VR. PAGO: 54,17</t>
  </si>
  <si>
    <t>04000293-AUTOMOTIVE REPARACAO VEICULAR LTDA</t>
  </si>
  <si>
    <t>TELEFONE(S):   (61)99438-4887</t>
  </si>
  <si>
    <t>000000401556A-CC</t>
  </si>
  <si>
    <t>REF. LANC. CREDITO - CLIENTE: 04000293-AUTOMOTIVE REPARACAO VEICULAR LTDA - PAGTO.PARCIAL - DTA. REC.: 31/10/2022 - VR. ORIGINAL: -189,92 - VR. PAGO: -189,50</t>
  </si>
  <si>
    <t>03000094-AUTOSTOP SERVIÇOS AUTOMOTIVOS EIRELI ME</t>
  </si>
  <si>
    <t xml:space="preserve">TELEFONE(S): (61) 9822-1411  </t>
  </si>
  <si>
    <t>TOT.DÉBITO: -21,49</t>
  </si>
  <si>
    <t>000000002005A-CC</t>
  </si>
  <si>
    <t>LANC. CRED. REF. A  - PAGTO.PARCIAL - DTA. REC.: 16/10/2024 - VR. ORIGINAL: -110,90 - VR. PAGO: -110,00</t>
  </si>
  <si>
    <t>000000002011A-CC</t>
  </si>
  <si>
    <t>LANC. CRED. REF. A  - PAGTO.PARCIAL - DTA. REC.: 18/10/2024 - VR. ORIGINAL: -155,59 - VR. PAGO: -150,00</t>
  </si>
  <si>
    <t>000000002034A-CC</t>
  </si>
  <si>
    <t>LANC. CRED. REF. A  - PAGTO.PARCIAL - DTA. REC.: 25/10/2024 - VR. ORIGINAL: -83,00 - VR. PAGO: -68,00</t>
  </si>
  <si>
    <t>00003802-AUTOTRAC COMERCIO E TELECOMUNICACOES S/A</t>
  </si>
  <si>
    <t xml:space="preserve">TELEFONE(S): (61) 3307-7000 (61) 3307-7089 </t>
  </si>
  <si>
    <t>LIM.CRÉDITO: 500,00</t>
  </si>
  <si>
    <t>TOT.DÉBITO: 493,68</t>
  </si>
  <si>
    <t>000000019187A-NF</t>
  </si>
  <si>
    <t>80005604-AVISTA LOGISTICA EXPRESS LTDA</t>
  </si>
  <si>
    <t xml:space="preserve">TELEFONE(S): (61)99842-3157  </t>
  </si>
  <si>
    <t>TOT.DÉBITO: -0,02</t>
  </si>
  <si>
    <t>000000001924A-CC</t>
  </si>
  <si>
    <t>REF. LANC. CREDITO - CLIENTE: 80005604-AVISTA LOGISTICA EXPRESS LTDA - PAGTO.PARCIAL - DTA. REC.: 09/09/2024 - VR. ORIGINAL: -239,02 - VR. PAGO: -239,00</t>
  </si>
  <si>
    <t>00000103-AYRTON SILVA RODRIGUES</t>
  </si>
  <si>
    <t xml:space="preserve">TELEFONE(S): (61)98419-2079  </t>
  </si>
  <si>
    <t>000000000674A-CC</t>
  </si>
  <si>
    <t>LANC. CRED. REF. A  - PAGTO.PARCIAL - DTA. REC.: 24/06/2024 - VR. ORIGINAL: -128,00 - VR. PAGO: -127,80</t>
  </si>
  <si>
    <t>02001127-BANCO CENTRAL DO BRASIL</t>
  </si>
  <si>
    <t xml:space="preserve">TELEFONE(S): (61)99210-4001  </t>
  </si>
  <si>
    <t>TOT.DÉBITO: 325,78</t>
  </si>
  <si>
    <t>000000000001A-OU</t>
  </si>
  <si>
    <t>BB RF LP AUTOMÁTICO</t>
  </si>
  <si>
    <t>01000184-BARBA GARAGE</t>
  </si>
  <si>
    <t xml:space="preserve">TELEFONE(S): (61)99607-0032 (61)99883-1074 </t>
  </si>
  <si>
    <t>TOT.DÉBITO: -8,30</t>
  </si>
  <si>
    <t>000000102866A-CC</t>
  </si>
  <si>
    <t>LANC. CRED. REF. A  - PAGTO.PARCIAL - DTA. REC.: 28/09/2023 - VR. ORIGINAL: -373,00 - VR. PAGO: -364,70</t>
  </si>
  <si>
    <t>00004903-BELAS COMERCIO DE TINTAS AUTOMOTIVAS EIRELI</t>
  </si>
  <si>
    <t>TOT.DÉBITO: 1.098,77</t>
  </si>
  <si>
    <t>000000036505D-NF</t>
  </si>
  <si>
    <t>REFERENTE A FATURAMENTO - PARC. 4/4&lt;&lt;csq&gt;&gt;</t>
  </si>
  <si>
    <t>02001266-BENILSON GOMES DA SILVA</t>
  </si>
  <si>
    <t>TELEFONE(S):   (61)98514-6838</t>
  </si>
  <si>
    <t>TOT.DÉBITO: -19,00</t>
  </si>
  <si>
    <t>000000402438A-CC</t>
  </si>
  <si>
    <t>REF. LANC. CREDITO - CLIENTE: 02001266-BENILSON GOMES DA SILVA</t>
  </si>
  <si>
    <t>000000402692A-CC</t>
  </si>
  <si>
    <t>11004984-BENTO ELETRICA E HIDRAULICA LTDA</t>
  </si>
  <si>
    <t>000000031968A-NF</t>
  </si>
  <si>
    <t>REF.DEV.: 000000031968-NF REF.DOC.: 000000031934-NF-009-16/04/2025 - PARC. 1/1&lt;&lt;csq&gt;&gt;</t>
  </si>
  <si>
    <t>000000036066A-NF</t>
  </si>
  <si>
    <t>REF.DEV.: 000000036066-NF REF.DOC.: 000000035954-NF-009-02/09/2025 - PARC. 1/1&lt;&lt;csq&gt;&gt;</t>
  </si>
  <si>
    <t>80005230-BEROLITA DE FRANÇA BARBOSA SANTOS</t>
  </si>
  <si>
    <t>TELEFONE(S):   (61)99640-9907</t>
  </si>
  <si>
    <t>000000000110A-CC</t>
  </si>
  <si>
    <t>REF. LANC. CREDITO - CLIENTE: 80005230-BEROLITA DE FRANÇA BARBOSA SANTOS</t>
  </si>
  <si>
    <t>00004911-BLUECAR CENTRO AUTOMOTIVO LTDA</t>
  </si>
  <si>
    <t>TELEFONE(S): (61) 4141-2893 (61) 4104-8061 (61)99607-4141</t>
  </si>
  <si>
    <t>TOT.DÉBITO: 2.776,74</t>
  </si>
  <si>
    <t>000000200147A-CC</t>
  </si>
  <si>
    <t>000000013045D-NF</t>
  </si>
  <si>
    <t>000000013858B-NF</t>
  </si>
  <si>
    <t>000000005593C-NF</t>
  </si>
  <si>
    <t>000000005698B-NF</t>
  </si>
  <si>
    <t>000000005606C-NF</t>
  </si>
  <si>
    <t>000000013498C-NF</t>
  </si>
  <si>
    <t>000000005610C-NF</t>
  </si>
  <si>
    <t>000000013094D-NF</t>
  </si>
  <si>
    <t>000000013858C-NF</t>
  </si>
  <si>
    <t>000000005698C-NF</t>
  </si>
  <si>
    <t>000000200148A-CC</t>
  </si>
  <si>
    <t>000000005663D-NF</t>
  </si>
  <si>
    <t>000000013771D-NF</t>
  </si>
  <si>
    <t>000000013790D-NF</t>
  </si>
  <si>
    <t>000000002026A-CC</t>
  </si>
  <si>
    <t>REF. LANC. CREDITO - CLIENTE: 00004911-BLUECAR CENTRO AUTOMOTIVO LTDA</t>
  </si>
  <si>
    <t>06000151-BODIM -</t>
  </si>
  <si>
    <t>TOT.DÉBITO: -75,10</t>
  </si>
  <si>
    <t>000000000797A-CC</t>
  </si>
  <si>
    <t>LANC. CRED. REF. A  - PAGTO.PARCIAL - DTA. REC.: 19/01/2026 - VR. ORIGINAL: -48,00 - VR. PAGO: -44,00</t>
  </si>
  <si>
    <t>000000000802A-CC</t>
  </si>
  <si>
    <t>000000000904A-CC</t>
  </si>
  <si>
    <t>REF. LANC. CREDITO - CLIENTE: 06000151-BODIM -</t>
  </si>
  <si>
    <t>02001239-BORGES MANFRIN ENG LTDA</t>
  </si>
  <si>
    <t xml:space="preserve">TELEFONE(S): (61)99351-4867  </t>
  </si>
  <si>
    <t>TOT.DÉBITO: 388,13</t>
  </si>
  <si>
    <t>000000000458A-NF</t>
  </si>
  <si>
    <t>REF.DEV.: 000000000458-NF REF.DOC.: 000000000348-NF-022-09/04/2024 - PARC. 1/1&lt;&lt;csq&gt;&gt; - PAGTO.PARCIAL - DTA. REC.: 07/05/2024 - VR. ORIGINAL: -162,06 - VR. PAGO: -148,69</t>
  </si>
  <si>
    <t>000000001389D-NF</t>
  </si>
  <si>
    <t>02001637-BOSS FIT COM E EQUIP LTDA</t>
  </si>
  <si>
    <t xml:space="preserve">TELEFONE(S): (61)98450-7279  </t>
  </si>
  <si>
    <t>000000024316A-NF</t>
  </si>
  <si>
    <t>REF.DEV.: 000000024316-NF REF.DOC.: 000000024306-NF-014-02/12/2025 - PARC. 1/1&lt;&lt;csq&gt;&gt; - PAGTO.PARCIAL - DTA. REC.: 02/12/2025 - VR. ORIGINAL: -88,00 - VR. PAGO: -86,00</t>
  </si>
  <si>
    <t>00002374-BOX 9 SERVICOS AUTOMOTIVOS LTDA</t>
  </si>
  <si>
    <t xml:space="preserve">TELEFONE(S): (61) 3242-4422 (61)99994-0003 </t>
  </si>
  <si>
    <t>TOT.DÉBITO: 4.785,84</t>
  </si>
  <si>
    <t>00000253-BOX RAPIDO SMAFF SIA</t>
  </si>
  <si>
    <t>TELEFONE(S): (61)98510-0561  (61)99162-8222</t>
  </si>
  <si>
    <t>000000000172A-CC</t>
  </si>
  <si>
    <t>06000178-BR CAR FUNILARIA E PINTURA LTDA</t>
  </si>
  <si>
    <t>TELEFONE(S):  (61) 3326-8056 (61)99131-2422</t>
  </si>
  <si>
    <t>TOT.DÉBITO: 3.344,93</t>
  </si>
  <si>
    <t>001000001062A-AG</t>
  </si>
  <si>
    <t>REF. AGRUPAMENTO Nro. 001000001062 - PARC. 1 / 1 - DOC(S): 000000010845A/000000010855A/000000010863A/000000010866A/000000010878A/000000010895A/000000010896A/000000010913A/000000010922A/000000010938A/000000010950A/000000010954A/000000010980A/000000010997A - PAGTO.PARCIAL - DTA. REC.: 10/03/2023 - VR. ORIGINAL: 3.573,61 - VR. PAGO: 150,00 - PAGTO.PARCIAL - DTA. REC.: 10/03/2023 - VR. ORIGINAL: 3.573,61 - VR. PAGO: 1.200,00 - PAGTO.PARCIAL - DTA. REC.: 02/05/2023 - VR. ORIGINAL: 3.573,61 - VR. PAGO: 300,00</t>
  </si>
  <si>
    <t>001000001084A-AG</t>
  </si>
  <si>
    <t>REF. AGRUPAMENTO Nro. 001000001084 - PARC. 1 / 1 - DOC(S): 000000011026A/000000011034A/000000011047A</t>
  </si>
  <si>
    <t>00000011-BRADISEL COMERCIO DE AUTO PECAS E SERVICOS LTDA</t>
  </si>
  <si>
    <t xml:space="preserve">TELEFONE(S): (61) 3475-1141 (61)99936-6544 </t>
  </si>
  <si>
    <t>LIM.CRÉDITO: 15.000,00</t>
  </si>
  <si>
    <t>TOT.DÉBITO: 1.056,26</t>
  </si>
  <si>
    <t>000000001037A-CC</t>
  </si>
  <si>
    <t>PIX - PAGTO.PARCIAL - DTA. REC.: 26/08/2025 - VR. ORIGINAL: -160,25 - VR. PAGO: -60,00</t>
  </si>
  <si>
    <t>00002723-BRASILIA AUTO CENTRO SERVICOS AUTOMOTIVOS LTDA</t>
  </si>
  <si>
    <t>TELEFONE(S): (61) 3345-7735 (61)99138-4712 (61)99162-2272</t>
  </si>
  <si>
    <t>TOT.DÉBITO: 50.934,18</t>
  </si>
  <si>
    <t>000000000105A-CC</t>
  </si>
  <si>
    <t>CREDITO GERADO&lt;&lt;csq&gt;&gt;&lt;&lt;csq&gt;&gt;&lt;&lt;csq&gt;&gt;&lt;&lt;csq&gt;&gt;&lt;&lt;csq&gt;&gt;&lt;&lt;csq&gt;&gt;</t>
  </si>
  <si>
    <t>00004274-BRASILIA EMPREENDIMENTOS SERV. E PART. LTDA</t>
  </si>
  <si>
    <t xml:space="preserve">TELEFONE(S): (61)33046-0100 (61) 3962-2609 </t>
  </si>
  <si>
    <t>000000018367A-NF</t>
  </si>
  <si>
    <t>REF.DEV.: 000000018367-NF REF.DOC.: 000000018351-NF-012-29/10/2025 - PARC. 1/1&lt;&lt;csq&gt;&gt; - PAGTO.PARCIAL - DTA. REC.: 30/10/2025 - VR. ORIGINAL: -307,79 - VR. PAGO: -307,00</t>
  </si>
  <si>
    <t>02001397-BRASILIA LUBRIFICANTES LTDA</t>
  </si>
  <si>
    <t>TELEFONE(S):  (61) 3361-4388 (61)99985-4607</t>
  </si>
  <si>
    <t>TOT.DÉBITO: -3,85</t>
  </si>
  <si>
    <t>000000009582A-NF</t>
  </si>
  <si>
    <t>REF.DEV.: 000000009582-NF REF.DOC.: 000000013138-IF-012-26/07/2023 - PARC. 1/1&lt;&lt;csq&gt;&gt; - PAGTO.PARCIAL - DTA. REC.: 25/09/2023 - VR. ORIGINAL: -27,75 - VR. PAGO: -23,90</t>
  </si>
  <si>
    <t>00002140-BRENO ROSA AZEVEDO ME</t>
  </si>
  <si>
    <t xml:space="preserve">TELEFONE(S): (61) 3082-7404  </t>
  </si>
  <si>
    <t>LIM.CRÉDITO: 136,22</t>
  </si>
  <si>
    <t>000000001843A-CC</t>
  </si>
  <si>
    <t>REF. LANC. CREDITO - CLIENTE: 00002140-BRENO ROSA AZEVEDO ME</t>
  </si>
  <si>
    <t>04000294-BRILHO CAR</t>
  </si>
  <si>
    <t>TELEFONE(S): (61)98601-0430  (61)98601-0430</t>
  </si>
  <si>
    <t>TOT.DÉBITO: -12,80</t>
  </si>
  <si>
    <t>000000402253A-CC</t>
  </si>
  <si>
    <t>REF. LANC. CREDITO - CLIENTE: 04000294-BRILHO CAR</t>
  </si>
  <si>
    <t>000000402295A-CC</t>
  </si>
  <si>
    <t>REF. LANC. CREDITO - CLIENTE: 04000294-BRILHO CAR - PAGTO.PARCIAL - DTA. REC.: 26/08/2024 - VR. ORIGINAL: -20,00 - VR. PAGO: -10,00</t>
  </si>
  <si>
    <t>11006159-BRINKPARK</t>
  </si>
  <si>
    <t xml:space="preserve">TELEFONE(S):  (61)98111-2232 </t>
  </si>
  <si>
    <t>TOT.DÉBITO: -20,51</t>
  </si>
  <si>
    <t>000000000114A-CC</t>
  </si>
  <si>
    <t>REF. LANC. CREDITO - CLIENTE: 11006159-BRINKPARK</t>
  </si>
  <si>
    <t>04000279-BRUNO ALEXANDRE COLTINHO ROCHA</t>
  </si>
  <si>
    <t xml:space="preserve">TELEFONE(S):  (61)98359-4239 </t>
  </si>
  <si>
    <t>TOT.DÉBITO: -6,36</t>
  </si>
  <si>
    <t>000000402669A-CC</t>
  </si>
  <si>
    <t>PG VIA PIX - PAGTO.PARCIAL - DTA. REC.: 05/08/2025 - VR. ORIGINAL: -238,16 - VR. PAGO: -231,80</t>
  </si>
  <si>
    <t>01000247-BRUNO BLUMER BOAVENTURA</t>
  </si>
  <si>
    <t>TELEFONE(S):   (61)99329-7054</t>
  </si>
  <si>
    <t>TOT.DÉBITO: -13,00</t>
  </si>
  <si>
    <t>000000102944A-CC</t>
  </si>
  <si>
    <t>LANC. CRED. REF. A  - PAGTO.PARCIAL - DTA. REC.: 25/10/2023 - VR. ORIGINAL: -332,00 - VR. PAGO: -319,00</t>
  </si>
  <si>
    <t>00004309-BSB MIDIA E COMUNICACOES VIZUAL LTDA</t>
  </si>
  <si>
    <t xml:space="preserve">TELEFONE(S): (61) 3967-7003 (61)98345-1999 </t>
  </si>
  <si>
    <t>TOT.DÉBITO: 98,80</t>
  </si>
  <si>
    <t>001000000226A-AG</t>
  </si>
  <si>
    <t>REF. AGRUPAMENTO Nro. 001000000226 - PARC. 1 / 1 - DOC(S): 000000024218A</t>
  </si>
  <si>
    <t>04000370-BSB PREMIUM CAR TECNOLOGIA  AUTOMOTIVA</t>
  </si>
  <si>
    <t xml:space="preserve">TELEFONE(S): (61)98633-1953  </t>
  </si>
  <si>
    <t>TOT.DÉBITO: 1.456,52</t>
  </si>
  <si>
    <t>001000002034A-AG</t>
  </si>
  <si>
    <t>REF. AGRUPAMENTO Nro. 001000002034 - PARC. 1 / 2 - DOC(S): 000000029210A/000000029222A/000000029225A/000000029228A/000000029237A/000000029249A/000000029259A/000000029314A/000000029318A/000000029320A/000000029352A/000000029355A/000000029371A/000000029376A/000000029409A/000000029419A</t>
  </si>
  <si>
    <t>02001098-BUILD CONSTRUÇOES LTDA</t>
  </si>
  <si>
    <t>TELEFONE(S):   (61) 9537-5046</t>
  </si>
  <si>
    <t>TOT.DÉBITO: -115,02</t>
  </si>
  <si>
    <t>000000002413A-NF</t>
  </si>
  <si>
    <t>REF.DEV.: 000000002413-NF REF.DOC.: 000000001987-NF-014-05/11/2021 - PARC. 1/1&lt;&lt;csq&gt;&gt;</t>
  </si>
  <si>
    <t>11005152-C &amp; M COMERCIO DE TINTAS LTDA ME</t>
  </si>
  <si>
    <t>LIM.CRÉDITO: 12.000,00</t>
  </si>
  <si>
    <t>000000000042A-CC</t>
  </si>
  <si>
    <t>REF. LANC. CREDITO - CLIENTE: 11005152-C &amp; M COMERCIO DE TINTAS LTDA ME</t>
  </si>
  <si>
    <t>80005095-C R MARTINS DE OLIVEIRA</t>
  </si>
  <si>
    <t xml:space="preserve">TELEFONE(S): (38)99918-0245  </t>
  </si>
  <si>
    <t>TOT.DÉBITO: 920,30</t>
  </si>
  <si>
    <t>000000011918A-IF</t>
  </si>
  <si>
    <t>REFERENTE A FATURAMENTO - PARC. 1/1&lt;&lt;csq&gt;&gt; - PAGTO.PARCIAL - DTA. REC.: 29/08/2024 - VR. ORIGINAL: 1.030,55 - VR. PAGO: 30,00 - PAGTO.PARCIAL - DTA. REC.: 27/11/2024 - VR. ORIGINAL: 1.030,55 - VR. PAGO: 80,25</t>
  </si>
  <si>
    <t>11005110-C S COMERCIO VAREJISTA DE FERRAGENS E FERRAMENTAS LTDA</t>
  </si>
  <si>
    <t xml:space="preserve">TELEFONE(S): (61)98555-6207  </t>
  </si>
  <si>
    <t>TOT.DÉBITO: 2.000,00</t>
  </si>
  <si>
    <t>000000000952B-AG</t>
  </si>
  <si>
    <t>REF. AGRUPAMENTO Nro. 000000000952 - PARC. 2 / 3 - DOC(S): 000000021816A/000000021817A/000000021837A - PAGTO.PARCIAL - DTA. REC.: 21/10/2024 - VR. ORIGINAL: 1.685,00 - VR. PAGO: 1.370,00</t>
  </si>
  <si>
    <t>000000000952C-AG</t>
  </si>
  <si>
    <t>REF. AGRUPAMENTO Nro. 000000000952 - PARC. 3 / 3 - DOC(S): 000000021816A/000000021817A/000000021837A</t>
  </si>
  <si>
    <t>00003769-CADILLAC LANTERNAGEM E PINT.</t>
  </si>
  <si>
    <t xml:space="preserve">TELEFONE(S): (61) 3484-5664  </t>
  </si>
  <si>
    <t>TOT.DÉBITO: 4.540,47</t>
  </si>
  <si>
    <t>000000000118B-AG</t>
  </si>
  <si>
    <t>REF. AGRUPAMENTO Nro. 000000000118 - PARC. 2 / 3 - DOC(S): 000000012352A/000000012356A/000000012379A/000000012380A/000000012384A/000000012385A/000000012391A/000000012402A/000000012404A/000000012410A/000000012412A/000000012414A/000000012418A/000000012422A/000000012428A/000000012432A/000000012437A/000000012439A/000000012446A/000000012450A/000000012456A - PAGTO.PARCIAL - DTA. REC.: 27/08/2024 - VR. ORIGINAL: 1.896,00 - VR. PAGO: 1.788,16</t>
  </si>
  <si>
    <t>001000001154C-AG</t>
  </si>
  <si>
    <t>REF. AGRUPAMENTO Nro. 001000001154 - PARC. 3 / 3 - DOC(S): 000000012281A/000000012344A/000000012347A/000000012348A/000000012349A/000000012350A - PAGTO.PARCIAL - DTA. REC.: 22/04/2025 - VR. ORIGINAL: 767,00 - VR. PAGO: 536,16 &lt;&lt;csq&gt;&gt; - DUPLICATA ESTORNADA: 02/05/2025 001000001154C - SEQ: 1 - ESP: AG - EMP: 006 - DTA. REC.: 22/04/2025 - VR. REC.: 536,16 &lt;&lt;csq&gt;&gt; - DUPLICATA ESTORNADA: 25/06/2025 001000001154C - SEQ: 1 - ESP: AG - EMP: 006 - DTA. REC.: 22/04/2025 - VR. REC.: 536,16</t>
  </si>
  <si>
    <t>000000000129B-AG</t>
  </si>
  <si>
    <t>REF. AGRUPAMENTO Nro. 000000000129 - PARC. 2 / 3 - DOC(S): 000000012546A/000000012473A/000000012474A/000000012477A/000000012480A/000000012571A/000000012582A/000000012589A/000000012590A</t>
  </si>
  <si>
    <t>000000000118C-AG</t>
  </si>
  <si>
    <t>REF. AGRUPAMENTO Nro. 000000000118 - PARC. 3 / 3 - DOC(S): 000000012352A/000000012356A/000000012379A/000000012380A/000000012384A/000000012385A/000000012391A/000000012402A/000000012404A/000000012410A/000000012412A/000000012414A/000000012418A/000000012422A/000000012428A/000000012432A/000000012437A/000000012439A/000000012446A/000000012450A/000000012456A</t>
  </si>
  <si>
    <t>000000000139A-AG</t>
  </si>
  <si>
    <t>REF. AGRUPAMENTO Nro. 000000000139 - PARC. 1 / 1 - DOC(S): 000000012597A/000000012608A/000000012617A/000000012623A</t>
  </si>
  <si>
    <t>000000000129C-AG</t>
  </si>
  <si>
    <t>REF. AGRUPAMENTO Nro. 000000000129 - PARC. 3 / 3 - DOC(S): 000000012546A/000000012473A/000000012474A/000000012477A/000000012480A/000000012571A/000000012582A/000000012589A/000000012590A</t>
  </si>
  <si>
    <t>05000539-CAIO SERGIO</t>
  </si>
  <si>
    <t>TELEFONE(S):  (61)99965-6813 (61)99965-6813</t>
  </si>
  <si>
    <t>TOT.DÉBITO: -0,35</t>
  </si>
  <si>
    <t>000000003493A-NF</t>
  </si>
  <si>
    <t>REF.DEV.: 000000003493-NF REF.DOC.: 000000012471-IF-013-28/09/2022 - PARC. 1/1&lt;&lt;csq&gt;&gt; - PAGTO.PARCIAL - DTA. REC.: 29/09/2022 - VR. ORIGINAL: -86,25 - VR. PAGO: -85,90</t>
  </si>
  <si>
    <t>05000389-CAPITAL AUTOCENTER LTDA</t>
  </si>
  <si>
    <t xml:space="preserve">TELEFONE(S):  (61) 9844-2226 </t>
  </si>
  <si>
    <t>TOT.DÉBITO: -25,00</t>
  </si>
  <si>
    <t>000000000101A-CC</t>
  </si>
  <si>
    <t>LANC. CRED. REF. A  - PAGTO.PARCIAL - DTA. REC.: 06/07/2021 - VR. ORIGINAL: -456,00 - VR. PAGO: -431,00</t>
  </si>
  <si>
    <t>00002378-CAR CENTRO AUTOMOTIVO ROMA LTDA</t>
  </si>
  <si>
    <t>TELEFONE(S): (61) 3233-2496 (61)99802-6914 (61)99806-7298</t>
  </si>
  <si>
    <t>TOT.DÉBITO: 110,02</t>
  </si>
  <si>
    <t>001000001965A-AG</t>
  </si>
  <si>
    <t>REF. AGRUPAMENTO Nro. 001000001965 - PARC. 1 / 1 - DOC(S): 000000008127A/000000008134A/000000008135A/000000008137A/000000008140A/000000008145A/000000008147A/000000008148A/000000008152A/000000008153A/000000008154A/000000008155A/000000008156A/000000008157A/000000008158A/000000008162A/000000008166A/000000008170A/000000008171A/000000008172A/000000008174A/000000008176A/000000008181A/000000008182A/000000008183A/000000008185A/000000008186A/000000008188A/000000008189A/000000008196A/000000008198A/000000008199A/000000008201A/000000008205A/000000008206A/000000008207A/000000008210A/000000008216A/000000008217A/000000008222A/000000008230A/000000008235A/000000008236A/000000008237A/000000008238A/000000008240A/000000008241A - PAGTO.PARCIAL - DTA. REC.: 08/02/2024 - VR. ORIGINAL: 6.285,64 - VR. PAGO: 1.275,62 - PAGTO.PARCIAL - DTA. REC.: 08/02/2024 - VR. ORIGINAL: 6.285,64 - VR. PAGO: 900,00 - PAGTO.PARCIAL - DTA. REC.: 29/02/2024 - VR. ORIGINAL: 6.285,64 - VR. PAGO: 2.000,00 - PAGTO.PARCIAL - DTA. REC.: 02/09/2024 - VR. ORIGINAL: 6.285,64 - VR. PAGO: 2.000,00</t>
  </si>
  <si>
    <t>01000028-CARECA CENTRO AUTOMOTIVO(ROBERTO)</t>
  </si>
  <si>
    <t xml:space="preserve">TELEFONE(S): (61) 3382-0629  </t>
  </si>
  <si>
    <t>TOT.DÉBITO: -9,00</t>
  </si>
  <si>
    <t>000000100920A-CC</t>
  </si>
  <si>
    <t>LANC. CRED. REF. A  - PAGTO.PARCIAL - DTA. REC.: 13/10/2021 - VR. ORIGINAL: -30,00 - VR. PAGO: -1,00 - PAGTO.PARCIAL - DTA. REC.: 16/11/2021 - VR. ORIGINAL: -29,00 - VR. PAGO: -20,00</t>
  </si>
  <si>
    <t>00004669-CARFIL ASSISTENCIA E TRANSPORTE EIRELI - ME</t>
  </si>
  <si>
    <t xml:space="preserve">TELEFONE(S):  (61) 3038-1558 </t>
  </si>
  <si>
    <t>TOT.DÉBITO: 6.192,69</t>
  </si>
  <si>
    <t>000000402382A-CC</t>
  </si>
  <si>
    <t>REF. LANC. CREDITO - CLIENTE: 00004669-CARFIL ASSISTENCIA E TRANSPORTE EIRELI - ME</t>
  </si>
  <si>
    <t>000000402475A-CC</t>
  </si>
  <si>
    <t>04000319-CARIOCA CENTER AUTOMOTIVE LTDA</t>
  </si>
  <si>
    <t xml:space="preserve">TELEFONE(S): (61)99105-6363  </t>
  </si>
  <si>
    <t>TOT.DÉBITO: 19.707,24</t>
  </si>
  <si>
    <t>000000024673A-NF</t>
  </si>
  <si>
    <t>000000000033A-AG</t>
  </si>
  <si>
    <t>REF. AGRUPAMENTO Nro. 000000000033 - PARC. 1 / 1 - DOC(S): 000000401876A/000000024488A/000000024477A/000000024491A/000000024509A/000000024510A/000000024515A/000000024518A/000000024519A/000000024524A/000000024534A/000000024545A/000000024577A/000000024585A/000000024591A/000000024588A/000000024595A/000000024606A/000000024639A/000000024642A/000000024647A/000000024650A/000000024692A/000000024720A/000000024723A/000000024761A/000000024768A/000000024774A - PAGTO.PARCIAL - DTA. REC.: 14/08/2023 - VR. ORIGINAL: 13.016,89 - VR. PAGO: 4.000,00 - PAGTO.PARCIAL - DTA. REC.: 17/08/2023 - VR. ORIGINAL: 13.016,89 - VR. PAGO: 1.300,00</t>
  </si>
  <si>
    <t>000000024709B-NF</t>
  </si>
  <si>
    <t>REFERENTE A FATURAMENTO - PARC. 2/4&lt;&lt;csq&gt;&gt;</t>
  </si>
  <si>
    <t>001000001719A-AG</t>
  </si>
  <si>
    <t>REF. AGRUPAMENTO Nro. 001000001719 - PARC. 1 / 1 - DOC(S): 000000024802A/000000024805A/000000024825A/000000024828A/000000024843A/000000024867A</t>
  </si>
  <si>
    <t>000000024709C-NF</t>
  </si>
  <si>
    <t>REFERENTE A FATURAMENTO - PARC. 3/4&lt;&lt;csq&gt;&gt;</t>
  </si>
  <si>
    <t>000000024709D-NF</t>
  </si>
  <si>
    <t>80005978-CARLÃO PINTURA  AUTOMOTIVA</t>
  </si>
  <si>
    <t>TOT.DÉBITO: -32,95</t>
  </si>
  <si>
    <t>000000000483A-CC</t>
  </si>
  <si>
    <t>000000000886A-CC</t>
  </si>
  <si>
    <t>LANC. CRED. REF. A  - PAGTO.PARCIAL - DTA. REC.: 06/02/2026 - VR. ORIGINAL: -45,00 - VR. PAGO: -44,05</t>
  </si>
  <si>
    <t>00000522-CARLITO RIBEIRO DA COSTA</t>
  </si>
  <si>
    <t>TELEFONE(S):   (61) 9292-7764</t>
  </si>
  <si>
    <t>TOT.DÉBITO: -280,00</t>
  </si>
  <si>
    <t>000000400696A-CC</t>
  </si>
  <si>
    <t>06000200-CARLOS ALBERTO DA SILVA FREIRE</t>
  </si>
  <si>
    <t>TELEFONE(S):  (61)99923-1536 (61)99923-1536</t>
  </si>
  <si>
    <t>TOT.DÉBITO: 57,00</t>
  </si>
  <si>
    <t>000000054835A-IF</t>
  </si>
  <si>
    <t>80005069-CARLOS LEMOS MEIRELES</t>
  </si>
  <si>
    <t xml:space="preserve">TELEFONE(S): (61)99166-5010 (61)99672-8545 </t>
  </si>
  <si>
    <t>TOT.DÉBITO: -16,41</t>
  </si>
  <si>
    <t>000000003944A-NF</t>
  </si>
  <si>
    <t>REF.DEV.: 000000003944-NF REF.DOC.: 000000032456-IF-008-13/01/2025 - PARC. 1/1&lt;&lt;csq&gt;&gt; - PAGTO.PARCIAL - DTA. REC.: 15/01/2025 - VR. ORIGINAL: -102,11 - VR. PAGO: -30,00 - PAGTO.PARCIAL - DTA. REC.: 11/02/2025 - VR. ORIGINAL: -72,11 - VR. PAGO: -70,00</t>
  </si>
  <si>
    <t>000000000723A-CC</t>
  </si>
  <si>
    <t>REF. LANC. CREDITO - CLIENTE: 80005069-CARLOS LEMOS MEIRELES</t>
  </si>
  <si>
    <t>00002716-CARLOS MAGNO FERREIRA DE NAZARE</t>
  </si>
  <si>
    <t xml:space="preserve">TELEFONE(S): (61)98206-1073 (61)99230-2597 </t>
  </si>
  <si>
    <t>TOT.DÉBITO: 12.671,49</t>
  </si>
  <si>
    <t>000000000007C-AG</t>
  </si>
  <si>
    <t>REF. AGRUPAMENTO Nro. 000000000007 - PARC. 3 / 3 - DOC(S): 000000000019A/000000000022A/000000000026A/000000000036A/000000000065A/000000000077A/000000000078A/000000000081A/000000000099A/000000000104A/000000000107A/000000000119A/000000000126A</t>
  </si>
  <si>
    <t>000000000046B-AG</t>
  </si>
  <si>
    <t>REF. AGRUPAMENTO Nro. 000000000046 - PARC. 2 / 2 - DOC(S): 000000000131A/000000000138A/000000000145A/000000000147A/000000000149A/000000000153A/000000000155A/000000000157A/000000000161A/000000000165A/000000000184A/000000000186A/000000000200A/000000000211A</t>
  </si>
  <si>
    <t>000000000068A-AG</t>
  </si>
  <si>
    <t>REF. AGRUPAMENTO Nro. 000000000068 - PARC. 1 / 2 - DOC(S): 000000000276A/000000000301A/000000000308A</t>
  </si>
  <si>
    <t>000000000069A-AG</t>
  </si>
  <si>
    <t>REF. AGRUPAMENTO Nro. 000000000069 - PARC. 1 / 1 - DOC(S): 000000000921A</t>
  </si>
  <si>
    <t>000000000094A-AG</t>
  </si>
  <si>
    <t>REF. AGRUPAMENTO Nro. 000000000094 - PARC. 1 / 1 - DOC(S): 000000001479A/000000001555A/000000001592A</t>
  </si>
  <si>
    <t>000000000068B-AG</t>
  </si>
  <si>
    <t>REF. AGRUPAMENTO Nro. 000000000068 - PARC. 2 / 2 - DOC(S): 000000000276A/000000000301A/000000000308A</t>
  </si>
  <si>
    <t>000000000093A-AG</t>
  </si>
  <si>
    <t>REF. AGRUPAMENTO Nro. 000000000093 - PARC. 1 / 3 - DOC(S): 000000000309A/000000000323A/000000000353A/000000000354A/000000000369A/000000000387A/000000000395A</t>
  </si>
  <si>
    <t>000000000121A-AG</t>
  </si>
  <si>
    <t>REF. AGRUPAMENTO Nro. 000000000121 - PARC. 1 / 3 - DOC(S): 000000000422A/000000000423A/000000000424A/000000000432A/000000000447A</t>
  </si>
  <si>
    <t>000000000093B-AG</t>
  </si>
  <si>
    <t>REF. AGRUPAMENTO Nro. 000000000093 - PARC. 2 / 3 - DOC(S): 000000000309A/000000000323A/000000000353A/000000000354A/000000000369A/000000000387A/000000000395A</t>
  </si>
  <si>
    <t>000000000095B-AG</t>
  </si>
  <si>
    <t>REF. AGRUPAMENTO Nro. 000000000095 - PARC. 2 / 5 - DOC(S): 000000000316A</t>
  </si>
  <si>
    <t>000000000121B-AG</t>
  </si>
  <si>
    <t>REF. AGRUPAMENTO Nro. 000000000121 - PARC. 2 / 3 - DOC(S): 000000000422A/000000000423A/000000000424A/000000000432A/000000000447A</t>
  </si>
  <si>
    <t>000000000093C-AG</t>
  </si>
  <si>
    <t>REF. AGRUPAMENTO Nro. 000000000093 - PARC. 3 / 3 - DOC(S): 000000000309A/000000000323A/000000000353A/000000000354A/000000000369A/000000000387A/000000000395A</t>
  </si>
  <si>
    <t>000000000095C-AG</t>
  </si>
  <si>
    <t>REF. AGRUPAMENTO Nro. 000000000095 - PARC. 3 / 5 - DOC(S): 000000000316A</t>
  </si>
  <si>
    <t>000000000121C-AG</t>
  </si>
  <si>
    <t>REF. AGRUPAMENTO Nro. 000000000121 - PARC. 3 / 3 - DOC(S): 000000000422A/000000000423A/000000000424A/000000000432A/000000000447A</t>
  </si>
  <si>
    <t>000000000095D-AG</t>
  </si>
  <si>
    <t>REF. AGRUPAMENTO Nro. 000000000095 - PARC. 4 / 5 - DOC(S): 000000000316A</t>
  </si>
  <si>
    <t>000000000095E-AG</t>
  </si>
  <si>
    <t>REF. AGRUPAMENTO Nro. 000000000095 - PARC. 5 / 5 - DOC(S): 000000000316A</t>
  </si>
  <si>
    <t>80006472-CARLOS ROBERTO RODRIGUES DA SILVA</t>
  </si>
  <si>
    <t>TELEFONE(S):   (61)99373-2593</t>
  </si>
  <si>
    <t>000000601362A-CC</t>
  </si>
  <si>
    <t>REF. LANC. CREDITO - CLIENTE: 80006472-CARLOS ROBERTO RODRIGUES DA SILVA</t>
  </si>
  <si>
    <t>04000303-CARLOS RODRIGUES DA SILVA</t>
  </si>
  <si>
    <t>TELEFONE(S):   (61)99985-2215</t>
  </si>
  <si>
    <t>LIM.CRÉDITO: 300,00</t>
  </si>
  <si>
    <t>000000031688A-NF</t>
  </si>
  <si>
    <t>00003155-CARLY RIBEIRO DA COSTA - ME</t>
  </si>
  <si>
    <t>TELEFONE(S): (61) 3399-2822  (61) 9638-4016</t>
  </si>
  <si>
    <t>000000401358A-CC</t>
  </si>
  <si>
    <t>00000381-CARPLAC COMERCIO E SERV.LTDA</t>
  </si>
  <si>
    <t>TELEFONE(S): (61) 3044-4550  (61) 8510-4631</t>
  </si>
  <si>
    <t>000000002864A-NF</t>
  </si>
  <si>
    <t>REF.DEV.: 000000002864-NF REF.DOC.: 000000002830-NF-022-22/07/2025 - PARC. 1/1&lt;&lt;csq&gt;&gt;</t>
  </si>
  <si>
    <t>000000003644A-NF</t>
  </si>
  <si>
    <t>REF.DEV.: 000000003644-NF REF.DOC.: 000000003631-NF-022-16/12/2025 - PARC. 1/1&lt;&lt;csq&gt;&gt;</t>
  </si>
  <si>
    <t>02000473-CARRO E CARRO LOCADORA LTDA</t>
  </si>
  <si>
    <t xml:space="preserve">TELEFONE(S): (61) 3574-5905 (61)98177-0192 </t>
  </si>
  <si>
    <t>TOT.DÉBITO: -1,62</t>
  </si>
  <si>
    <t>000000001707A-CC</t>
  </si>
  <si>
    <t>REF. LANC. CREDITO - CLIENTE: 02000473-CARRO E CARRO LOCADORA LTDA</t>
  </si>
  <si>
    <t>000000001936A-CC</t>
  </si>
  <si>
    <t>11005169-CARTEC COMERCIO DE PRODUTOS E EQUIPAMENTOS AUTOMOTIVOS LTDA</t>
  </si>
  <si>
    <t>TOT.DÉBITO: -0,01</t>
  </si>
  <si>
    <t>000000000572A-CC</t>
  </si>
  <si>
    <t>REF. LANC. CREDITO - CLIENTE: 11005169-CARTEC COMERCIO DE PRODUTOS E EQUIPAMENTOS AUTOMOTIVOS LTDA</t>
  </si>
  <si>
    <t>11005540-CARVAL SERVICOS DE CONSTRUCOES E REFORMAS LTDA</t>
  </si>
  <si>
    <t xml:space="preserve">TELEFONE(S):  (61)93976-6161 </t>
  </si>
  <si>
    <t>TOT.DÉBITO: -59,38</t>
  </si>
  <si>
    <t>000000040785A-NF</t>
  </si>
  <si>
    <t>REF.DEV.: 000000040785-NF REF.DOC.: 000000040783-NF-009-05/02/2026 - PARC. 1/1&lt;&lt;csq&gt;&gt;</t>
  </si>
  <si>
    <t>02000674-CARVIC COM.VAREJ. DE PROD. E EQUIP. PARA REP. AUTOMOTIVA LTD</t>
  </si>
  <si>
    <t xml:space="preserve">TELEFONE(S): (61) 3234-0280 (61)99826-0253 </t>
  </si>
  <si>
    <t>LIM.CRÉDITO: 100.000,00</t>
  </si>
  <si>
    <t>TOT.DÉBITO: -200,40</t>
  </si>
  <si>
    <t>000000033052A-NF</t>
  </si>
  <si>
    <t>REF.DEV.: 000000033052-NF REF.DOC.: 000000032031-NF-009-23/04/2025 - PARC. 1/1&lt;&lt;csq&gt;&gt;</t>
  </si>
  <si>
    <t>11005621-CARVIC COMERCIO DE PRODUTOS E EQUIPAMENTOS AUTOMOTIVOS LTDA</t>
  </si>
  <si>
    <t>TOT.DÉBITO: 1.533,25</t>
  </si>
  <si>
    <t>000000028097A-NF</t>
  </si>
  <si>
    <t>80005174-CASA AMSTERDAM CONSTRUÇÕES LTDA</t>
  </si>
  <si>
    <t xml:space="preserve">TELEFONE(S): (61) 3322-5553  </t>
  </si>
  <si>
    <t>TOT.DÉBITO: 367,17</t>
  </si>
  <si>
    <t>000000018040A-NF</t>
  </si>
  <si>
    <t>11005267-CASA DAS TINTAS LTDA</t>
  </si>
  <si>
    <t>TOT.DÉBITO: 19.948,17</t>
  </si>
  <si>
    <t>000000000927C-AG</t>
  </si>
  <si>
    <t>REF. AGRUPAMENTO Nro. 000000000927 - PARC. 3 / 3 - DOC(S): 000000019929A</t>
  </si>
  <si>
    <t>000000020577A-NF</t>
  </si>
  <si>
    <t>000000020556A-NF</t>
  </si>
  <si>
    <t>000000020577B-NF</t>
  </si>
  <si>
    <t>000000020788A-NF</t>
  </si>
  <si>
    <t>000000020577C-NF</t>
  </si>
  <si>
    <t>000000020888A-NF</t>
  </si>
  <si>
    <t>000000020556B-NF</t>
  </si>
  <si>
    <t>000000020788B-NF</t>
  </si>
  <si>
    <t>000000020788C-NF</t>
  </si>
  <si>
    <t>000000020888B-NF</t>
  </si>
  <si>
    <t>000000020556C-NF</t>
  </si>
  <si>
    <t>000000020888C-NF</t>
  </si>
  <si>
    <t>000000000151A-CC</t>
  </si>
  <si>
    <t>REF. LANC. CREDITO - CLIENTE: 11005267-CASA DAS TINTAS LTDA</t>
  </si>
  <si>
    <t>000000000057A-CC</t>
  </si>
  <si>
    <t>02000526-CASSIANO FREIRE DA SILVA ME</t>
  </si>
  <si>
    <t xml:space="preserve">TELEFONE(S): (61)98440-6639  </t>
  </si>
  <si>
    <t>000000006460A-NF</t>
  </si>
  <si>
    <t>REFERENTE A FATURAMENTO - PARC. 1/1&lt;&lt;csq&gt;&gt; - PAGTO.PARCIAL - DTA. REC.: 13/10/2022 - VR. ORIGINAL: 7.770,00 - VR. PAGO: 1.372,70 - PAGTO.PARCIAL - DTA. REC.: 18/05/2023 - VR. ORIGINAL: 7.770,00 - VR. PAGO: 5.102,30</t>
  </si>
  <si>
    <t>11005889-CASTRO E FARIAS MATERIAIS DE CONSTRUCAO LTDA</t>
  </si>
  <si>
    <t>TOT.DÉBITO: -14,36</t>
  </si>
  <si>
    <t>000000000068A-CC</t>
  </si>
  <si>
    <t>REF. LANC. CREDITO - CLIENTE: 11005889-CASTRO E FARIAS MATERIAIS DE CONSTRUCAO LTDA</t>
  </si>
  <si>
    <t>00003818-CASTRO VALLE ENGENHARIA LTDA</t>
  </si>
  <si>
    <t xml:space="preserve">TELEFONE(S): (61) 3234-3023  </t>
  </si>
  <si>
    <t>000000015198A-NF</t>
  </si>
  <si>
    <t>REF.DEV.: 000000015198-NF REF.DOC.: 000000015028-NF-014-14/03/2024 - PARC. 1/1&lt;&lt;csq&gt;&gt; - PAGTO.PARCIAL - DTA. REC.: 26/03/2024 - VR. ORIGINAL: -67,90 - VR. PAGO: -67,70</t>
  </si>
  <si>
    <t>02001476-CELIA BRETAS NETO</t>
  </si>
  <si>
    <t>TELEFONE(S):   (61)99983-9973</t>
  </si>
  <si>
    <t>000000000639A-CC</t>
  </si>
  <si>
    <t>REF. LANC. CREDITO - CLIENTE: 02001476-CELIA BRETAS NETO</t>
  </si>
  <si>
    <t>00002495-CELIO DA COSTA FREIRE  IRMAO DO CELIOMAR</t>
  </si>
  <si>
    <t>TELEFONE(S):   (61) 9966-2963</t>
  </si>
  <si>
    <t>TOT.DÉBITO: 179,59</t>
  </si>
  <si>
    <t>000000401763A-CC</t>
  </si>
  <si>
    <t>LANC. CRED. REF. A  - PAGTO.PARCIAL - DTA. REC.: 22/03/2023 - VR. ORIGINAL: -997,38 - VR. PAGO: -505,60 - PAGTO.PARCIAL - DTA. REC.: 22/03/2023 - VR. ORIGINAL: -491,78 - VR. PAGO: -469,94 - PAGTO.PARCIAL - DTA. REC.: 07/03/2024 - VR. ORIGINAL: -21,84 - VR. PAGO: -1,03</t>
  </si>
  <si>
    <t>000000402688A-CC</t>
  </si>
  <si>
    <t>REF. LANC. CREDITO - CLIENTE: 00002495-CELIO DA COSTA FREIRE  IRMAO DO CELIOMAR</t>
  </si>
  <si>
    <t>80005164-CELIO JOSE MENDONÇA DA SILVA</t>
  </si>
  <si>
    <t>TELEFONE(S):   (61)99696-2505</t>
  </si>
  <si>
    <t>TOT.DÉBITO: -0,03</t>
  </si>
  <si>
    <t>000000000558A-CC</t>
  </si>
  <si>
    <t>LANC. CRED. REF. A  - PAGTO.PARCIAL - DTA. REC.: 19/11/2025 - VR. ORIGINAL: -866,00 - VR. PAGO: -836,00 - PAGTO.PARCIAL - DTA. REC.: 26/11/2025 - VR. ORIGINAL: -30,00 - VR. PAGO: -29,97</t>
  </si>
  <si>
    <t>00003041-CENTRO AUTOMOTIVO DELPHI CAR LTDA ME</t>
  </si>
  <si>
    <t xml:space="preserve">TELEFONE(S): (61) 3039-6660  </t>
  </si>
  <si>
    <t>TOT.DÉBITO: 727,14</t>
  </si>
  <si>
    <t>000000001066A-AG</t>
  </si>
  <si>
    <t>REF. AGRUPAMENTO Nro. 000000001066 - PARC. 1 / 1 - DOC(S): 000000018746A/000000018773A/000000018831A/000000018860A/000000018873A - PAGTO.PARCIAL - DTA. REC.: 03/02/2026 - VR. ORIGINAL: 979,48 - VR. PAGO: 493,34</t>
  </si>
  <si>
    <t>04000290-CENTRO AUTOMOTIVO RESTAURA CAR</t>
  </si>
  <si>
    <t>TELEFONE(S):   (61)98455-8962</t>
  </si>
  <si>
    <t>000000024365D-NF</t>
  </si>
  <si>
    <t>REFERENTE A FATURAMENTO - PARC. 4/5&lt;&lt;csq&gt;&gt; - PAGTO.PARCIAL - DTA. REC.: 29/07/2025 - VR. ORIGINAL: 504,80 - VR. PAGO: 92,11 - PAGTO.PARCIAL - DTA. REC.: 15/08/2025 - VR. ORIGINAL: 504,80 - VR. PAGO: 150,00</t>
  </si>
  <si>
    <t>000000024594C-NF</t>
  </si>
  <si>
    <t>000000024845B-NF</t>
  </si>
  <si>
    <t>000000024850B-NF</t>
  </si>
  <si>
    <t>000000024886B-NF</t>
  </si>
  <si>
    <t>000000024893B-NF</t>
  </si>
  <si>
    <t>000000024658C-NF</t>
  </si>
  <si>
    <t>000000024660C-NF</t>
  </si>
  <si>
    <t>000000024697C-NF</t>
  </si>
  <si>
    <t>000000024966B-NF</t>
  </si>
  <si>
    <t>000000024812C-NF</t>
  </si>
  <si>
    <t>000000024365E-NF</t>
  </si>
  <si>
    <t>REFERENTE A FATURAMENTO - PARC. 5/5&lt;&lt;csq&gt;&gt;</t>
  </si>
  <si>
    <t>000000024594D-NF</t>
  </si>
  <si>
    <t>000000024845C-NF</t>
  </si>
  <si>
    <t>000000024886C-NF</t>
  </si>
  <si>
    <t>000000024697D-NF</t>
  </si>
  <si>
    <t>80005464-CENTRO DE REPARAÇÃO TECNICO AUTOMOTIVO</t>
  </si>
  <si>
    <t xml:space="preserve">TELEFONE(S): (61)99943-8118  </t>
  </si>
  <si>
    <t>001000001477A-AG</t>
  </si>
  <si>
    <t>REF. AGRUPAMENTO Nro. 001000001477 - PARC. 1 / 5 - DOC(S): 000000008430A/000000008431A/000000008584A</t>
  </si>
  <si>
    <t>000000008737A-NF</t>
  </si>
  <si>
    <t>000000008760A-NF</t>
  </si>
  <si>
    <t>000000008764A-NF</t>
  </si>
  <si>
    <t>000000008786A-NF</t>
  </si>
  <si>
    <t>000000008791A-NF</t>
  </si>
  <si>
    <t>000000008799A-NF</t>
  </si>
  <si>
    <t>000000008800A-NF</t>
  </si>
  <si>
    <t>000000008804A-NF</t>
  </si>
  <si>
    <t>000000008813A-NF</t>
  </si>
  <si>
    <t>000000008646B-NF</t>
  </si>
  <si>
    <t>000000008839A-NF</t>
  </si>
  <si>
    <t>000000008840A-NF</t>
  </si>
  <si>
    <t>001000001477B-AG</t>
  </si>
  <si>
    <t>REF. AGRUPAMENTO Nro. 001000001477 - PARC. 2 / 5 - DOC(S): 000000008430A/000000008431A/000000008584A</t>
  </si>
  <si>
    <t>000000008849A-NF</t>
  </si>
  <si>
    <t>REFERENTE A FATURAMENTO - PARC. 1/4&lt;&lt;csq&gt;&gt;</t>
  </si>
  <si>
    <t>000000008851A-NF</t>
  </si>
  <si>
    <t>000000008859A-NF</t>
  </si>
  <si>
    <t>000000008866A-NF</t>
  </si>
  <si>
    <t>001000001477C-AG</t>
  </si>
  <si>
    <t>REF. AGRUPAMENTO Nro. 001000001477 - PARC. 3 / 5 - DOC(S): 000000008430A/000000008431A/000000008584A</t>
  </si>
  <si>
    <t>000000008849B-NF</t>
  </si>
  <si>
    <t>001000001477D-AG</t>
  </si>
  <si>
    <t>REF. AGRUPAMENTO Nro. 001000001477 - PARC. 4 / 5 - DOC(S): 000000008430A/000000008431A/000000008584A</t>
  </si>
  <si>
    <t>000000008849C-NF</t>
  </si>
  <si>
    <t>000000003241A-CC</t>
  </si>
  <si>
    <t>REF. LANC. CREDITO - CLIENTE: 80005464-CENTRO DE REPARAÇÃO TECNICO AUTOMOTIVO</t>
  </si>
  <si>
    <t>00002034-CEZAR ROBERTO DOS SANTOS</t>
  </si>
  <si>
    <t>TELEFONE(S): (61) 9906-1213  (61) 3233-2820</t>
  </si>
  <si>
    <t>LIM.CRÉDITO: 1.606,68</t>
  </si>
  <si>
    <t>TOT.DÉBITO: 489,18</t>
  </si>
  <si>
    <t>000000004110A-IF</t>
  </si>
  <si>
    <t>REFERENTE A FATURAMENTO - PARC. 1/1&lt;&lt;csq&gt;&gt; - PAGTO.PARCIAL - DTA. REC.: 18/05/2022 - VR. ORIGINAL: 417,00 - VR. PAGO: 8,84</t>
  </si>
  <si>
    <t>000000002636A-CC</t>
  </si>
  <si>
    <t>REF. LANC. CREDITO - CLIENTE: 00002034-CEZAR ROBERTO DOS SANTOS</t>
  </si>
  <si>
    <t>000000002637A-CC</t>
  </si>
  <si>
    <t>LANC. CRED. REF. A  - PAGTO.PARCIAL - DTA. REC.: 17/12/2025 - VR. ORIGINAL: -100,00 - VR. PAGO: -99,00</t>
  </si>
  <si>
    <t>000000002660A-CC</t>
  </si>
  <si>
    <t>LANC. CRED. REF. A  - PAGTO.PARCIAL - DTA. REC.: 09/01/2026 - VR. ORIGINAL: -69,50 - VR. PAGO: -69,40</t>
  </si>
  <si>
    <t>80005377-CHRISTIAN BRAUNER DE AZEVEDO</t>
  </si>
  <si>
    <t>TELEFONE(S):   (61)99414-5994</t>
  </si>
  <si>
    <t>TOT.DÉBITO: -2,08</t>
  </si>
  <si>
    <t>000000001977A-CC</t>
  </si>
  <si>
    <t>LANC. CRED. REF. A  - PAGTO.PARCIAL - DTA. REC.: 30/09/2024 - VR. ORIGINAL: -2.712,53 - VR. PAGO: -2.712,00</t>
  </si>
  <si>
    <t>000000001999A-CC</t>
  </si>
  <si>
    <t>LANC. CRED. REF. A  - PAGTO.PARCIAL - DTA. REC.: 11/10/2024 - VR. ORIGINAL: -1.161,03 - VR. PAGO: -1.160,00</t>
  </si>
  <si>
    <t>000000002033A-CC</t>
  </si>
  <si>
    <t>LANC. CRED. REF. A  - PAGTO.PARCIAL - DTA. REC.: 25/10/2024 - VR. ORIGINAL: -4.460,40 - VR. PAGO: -4.460,00</t>
  </si>
  <si>
    <t>000000002221A-CC</t>
  </si>
  <si>
    <t>REF. LANC. CREDITO - CLIENTE: 80005377-CHRISTIAN BRAUNER DE AZEVEDO</t>
  </si>
  <si>
    <t>11005695-CHRISTIAN CASSIANO OLIVEIRA DA SILVA</t>
  </si>
  <si>
    <t xml:space="preserve">TELEFONE(S):  (61)98221-0421 </t>
  </si>
  <si>
    <t>TOT.DÉBITO: 565,99</t>
  </si>
  <si>
    <t>000000028137C-NF</t>
  </si>
  <si>
    <t>02001776-CIA LAKE LTDA</t>
  </si>
  <si>
    <t xml:space="preserve">TELEFONE(S): (61)99278-2626  </t>
  </si>
  <si>
    <t>TOT.DÉBITO: -97,15</t>
  </si>
  <si>
    <t>000000001145A-NF</t>
  </si>
  <si>
    <t>REF.DEV.: 000000001145-NF REF.DOC.: 000000005502-IF-022-19/08/2024 - PARC. 1/1&lt;&lt;csq&gt;&gt;</t>
  </si>
  <si>
    <t>80005186-CICERO DOS SANTOS SILVA</t>
  </si>
  <si>
    <t>TOT.DÉBITO: -6,10</t>
  </si>
  <si>
    <t>000000000551A-CC</t>
  </si>
  <si>
    <t>REF. LANC. CREDITO - CLIENTE: 80005186-CICERO DOS SANTOS SILVA</t>
  </si>
  <si>
    <t>80006305-CIRKUITO- SERVIÇOS E PEÇAS AUTOS EIRELI</t>
  </si>
  <si>
    <t xml:space="preserve">TELEFONE(S):  (61)98614-6218 </t>
  </si>
  <si>
    <t>TOT.DÉBITO: -0,70</t>
  </si>
  <si>
    <t>000000002338A-CC</t>
  </si>
  <si>
    <t>LANC. CRED. REF. A  - PAGTO.PARCIAL - DTA. REC.: 25/06/2025 - VR. ORIGINAL: -200,00 - VR. PAGO: -28,00 - PAGTO.PARCIAL - DTA. REC.: 26/06/2025 - VR. ORIGINAL: -172,00 - VR. PAGO: -38,00 - PAGTO.PARCIAL - DTA. REC.: 27/06/2025 - VR. ORIGINAL: -134,00 - VR. PAGO: -76,80 - PAGTO.PARCIAL - DTA. REC.: 28/06/2025 - VR. ORIGINAL: -57,20 - VR. PAGO: -23,50 - PAGTO.PARCIAL - DTA. REC.: 01/07/2025 - VR. ORIGINAL: -33,70 - VR. PAGO: -33,00</t>
  </si>
  <si>
    <t>80006301-CLAUDINEI DOS REIS</t>
  </si>
  <si>
    <t>TELEFONE(S): (61)99909-5730  (61)99909-5730</t>
  </si>
  <si>
    <t>TOT.DÉBITO: -10,98</t>
  </si>
  <si>
    <t>000000003114A-CC</t>
  </si>
  <si>
    <t>REF. LANC. CREDITO - CLIENTE: 80006301-CLAUDINEI DOS REIS - PAGTO.PARCIAL - DTA. REC.: 27/06/2025 - VR. ORIGINAL: -82,43 - VR. PAGO: -71,45</t>
  </si>
  <si>
    <t>03000065-CLAUDIO PEREIRA DOS SANTOS</t>
  </si>
  <si>
    <t>TOT.DÉBITO: 914,86</t>
  </si>
  <si>
    <t>000000005500A-IF</t>
  </si>
  <si>
    <t>80006486-CLAYTON MARCIEL LOPES</t>
  </si>
  <si>
    <t>05000495-CLEBER DE SOUZA</t>
  </si>
  <si>
    <t>TELEFONE(S):   (61)98438-5963</t>
  </si>
  <si>
    <t>TOT.DÉBITO: -14,09</t>
  </si>
  <si>
    <t>000000003552A-NF</t>
  </si>
  <si>
    <t>REF.DEV.: 000000003552-NF REF.DOC.: 000000012782-IF-013-13/10/2022 - PARC. 1/1&lt;&lt;csq&gt;&gt; - PAGTO.PARCIAL - DTA. REC.: 14/10/2022 - VR. ORIGINAL: -49,92 - VR. PAGO: -35,83</t>
  </si>
  <si>
    <t>06000153-CLEDIOVAN SILVA DA COSTA</t>
  </si>
  <si>
    <t xml:space="preserve">TELEFONE(S):  (61)98486-7131 </t>
  </si>
  <si>
    <t>LIM.CRÉDITO: 1.500,00</t>
  </si>
  <si>
    <t>000000000648A-AG</t>
  </si>
  <si>
    <t>REF. AGRUPAMENTO Nro. 000000000648 - PARC. 1 / 1 - DOC(S): 000000008285A/000000008286A/000000008288A/000000008327A/000000008356A/000000008357A - PAGTO.PARCIAL - DTA. REC.: 13/03/2025 - VR. ORIGINAL: 3.395,70 - VR. PAGO: 63,00 - PAGTO.PARCIAL - DTA. REC.: 19/03/2025 - VR. ORIGINAL: 3.395,70 - VR. PAGO: 913,33 - PAGTO.PARCIAL - DTA. REC.: 15/04/2025 - VR. ORIGINAL: 3.395,70 - VR. PAGO: 667,40 - PAGTO.PARCIAL - DTA. REC.: 09/06/2025 - VR. ORIGINAL: 3.395,70 - VR. PAGO: 200,00 - PAGTO.PARCIAL - DTA. REC.: 14/10/2025 - VR. ORIGINAL: 3.395,70 - VR. PAGO: 200,00 - PAGTO.PARCIAL - DTA. REC.: 13/11/2025 - VR. ORIGINAL: 1.351,97 - VR. PAGO: 200,00 - PAGTO.PARCIAL - DTA. REC.: 04/11/2025 - VR. ORIGINAL: 1.151,97 - VR. PAGO: 430,00</t>
  </si>
  <si>
    <t>000000000668A-AG</t>
  </si>
  <si>
    <t>REF. AGRUPAMENTO Nro. 000000000668 - PARC. 1 / 1 - DOC(S): 000000008415A/000000008430A/000000008437A/000000008438A/000000008458A/000000008461A/000000008486A/000000008500A</t>
  </si>
  <si>
    <t>000000000703A-AG</t>
  </si>
  <si>
    <t>REF. AGRUPAMENTO Nro. 000000000703 - PARC. 1 / 1 - DOC(S): 000000008879A</t>
  </si>
  <si>
    <t>000000000522A-AG</t>
  </si>
  <si>
    <t>REF. AGRUPAMENTO Nro. 000000000522 - PARC. 1 / 1 - DOC(S): 000000009007A</t>
  </si>
  <si>
    <t>06000147-CLEITON CEZAR CONCEIÇÃO DOS SANTOS</t>
  </si>
  <si>
    <t xml:space="preserve">TELEFONE(S):  (61)99349-8266 </t>
  </si>
  <si>
    <t>TOT.DÉBITO: 371,47</t>
  </si>
  <si>
    <t>000000003121A-CC</t>
  </si>
  <si>
    <t>REF. LANC. CREDITO - CLIENTE: 06000147-CLEITON CEZAR CONCEIÇÃO DOS SANTOS</t>
  </si>
  <si>
    <t>000000000551A-AG</t>
  </si>
  <si>
    <t>REF. AGRUPAMENTO Nro. 000000000551 - PARC. 1 / 1 - DOC(S): 000000000647A</t>
  </si>
  <si>
    <t>80004947-CLEITON FABIO ALVES DE OLIVEIRA</t>
  </si>
  <si>
    <t>TOT.DÉBITO: -1,20</t>
  </si>
  <si>
    <t>000000000296A-CC</t>
  </si>
  <si>
    <t>LANC. CRED. REF. A  - PAGTO.PARCIAL - DTA. REC.: 06/09/2025 - VR. ORIGINAL: -49,90 - VR. PAGO: -48,95</t>
  </si>
  <si>
    <t>000000000615A-CC</t>
  </si>
  <si>
    <t>REF. LANC. CREDITO - CLIENTE: 80004947-CLEITON FABIO ALVES DE OLIVEIRA</t>
  </si>
  <si>
    <t>000000000746A-CC</t>
  </si>
  <si>
    <t>80005012-CLEITON FERNANDO BARROSO DOS SANTOS</t>
  </si>
  <si>
    <t>TOT.DÉBITO: 258,79</t>
  </si>
  <si>
    <t>000000002994A-NF</t>
  </si>
  <si>
    <t>REFERENTE A FATURAMENTO - PARC. 1/1&lt;&lt;csq&gt;&gt; - PAGTO.PARCIAL - DTA. REC.: 06/11/2021 - VR. ORIGINAL: 430,00 - VR. PAGO: 251,21</t>
  </si>
  <si>
    <t>000000003240A-IF</t>
  </si>
  <si>
    <t>00000053-CLEOVES ALEKSANDRO DE ARAUJO</t>
  </si>
  <si>
    <t>TOT.DÉBITO: -53,00</t>
  </si>
  <si>
    <t>000000000549A-CC</t>
  </si>
  <si>
    <t>00003430-CLINICA DO AUTOMOVEL LTDA</t>
  </si>
  <si>
    <t xml:space="preserve">TELEFONE(S): (61) 3468-2545  </t>
  </si>
  <si>
    <t>TOT.DÉBITO: -0,18</t>
  </si>
  <si>
    <t>000000103053A-CC</t>
  </si>
  <si>
    <t>LANC. CRED. REF. A  - PAGTO.PARCIAL - DTA. REC.: 23/11/2023 - VR. ORIGINAL: -108,80 - VR. PAGO: -108,62</t>
  </si>
  <si>
    <t>80005458-CLOVIS RIBEIRO CHAVES JUNIOR</t>
  </si>
  <si>
    <t xml:space="preserve">TELEFONE(S): (61)99644-0857  </t>
  </si>
  <si>
    <t>TOT.DÉBITO: -3,08</t>
  </si>
  <si>
    <t>000000001270A-CC</t>
  </si>
  <si>
    <t xml:space="preserve">REF. LANC. CREDITO - CLIENTE: 80005458-CLOVIS RIBEIRO CHAVES JUNIOR </t>
  </si>
  <si>
    <t>80006397-COELHO &amp; ROCHA VEICULOS LTDA</t>
  </si>
  <si>
    <t>TELEFONE(S):   (61)99629-2014</t>
  </si>
  <si>
    <t>TOT.DÉBITO: 399,60</t>
  </si>
  <si>
    <t>000000053288A-IF</t>
  </si>
  <si>
    <t>11005578-COLORADO TINTAS LTDA</t>
  </si>
  <si>
    <t>TELEFONE(S):   (61)99811-7025</t>
  </si>
  <si>
    <t>11005143-COLORMIX TINTAS E ACESSORIOS LTDA</t>
  </si>
  <si>
    <t>000000040173A-NF</t>
  </si>
  <si>
    <t>REF.DEV.: 000000040173-NF REF.DOC.: 000000040129-NF-009-19/01/2026 - PARC. 1/1&lt;&lt;csq&gt;&gt;</t>
  </si>
  <si>
    <t>00004959-COMERCIAL DE TINTAS MR EIRELLI</t>
  </si>
  <si>
    <t xml:space="preserve">TELEFONE(S):  (61) 3082-7404 </t>
  </si>
  <si>
    <t>TOT.DÉBITO: 22.158,74</t>
  </si>
  <si>
    <t>000000008231B-NF</t>
  </si>
  <si>
    <t>000000007774C-NF</t>
  </si>
  <si>
    <t>000000008032D-NF</t>
  </si>
  <si>
    <t>000000008650C-NF</t>
  </si>
  <si>
    <t>REFERENTE A FATURAMENTO - PARC. 3/5&lt;&lt;csq&gt;&gt;</t>
  </si>
  <si>
    <t>000000008660B-NF</t>
  </si>
  <si>
    <t>000000008402C-NF</t>
  </si>
  <si>
    <t>000000008716B-NF</t>
  </si>
  <si>
    <t>000000008423C-NF</t>
  </si>
  <si>
    <t>000000007973C-NF</t>
  </si>
  <si>
    <t>000000008505B-NF</t>
  </si>
  <si>
    <t>000000008744C-NF</t>
  </si>
  <si>
    <t>000000008281D-NF</t>
  </si>
  <si>
    <t>000000008650D-NF</t>
  </si>
  <si>
    <t>REFERENTE A FATURAMENTO - PARC. 4/5&lt;&lt;csq&gt;&gt;</t>
  </si>
  <si>
    <t>000000008660C-NF</t>
  </si>
  <si>
    <t>000000008716C-NF</t>
  </si>
  <si>
    <t>000000008744D-NF</t>
  </si>
  <si>
    <t>000000008231C-NF</t>
  </si>
  <si>
    <t>000000008650E-NF</t>
  </si>
  <si>
    <t>000000008660D-NF</t>
  </si>
  <si>
    <t>000000008716D-NF</t>
  </si>
  <si>
    <t>000000008505C-NF</t>
  </si>
  <si>
    <t>11006415-COMERCIO DE TINTAS BSB LTDA</t>
  </si>
  <si>
    <t xml:space="preserve">TELEFONE(S):  (61)99605-0011 </t>
  </si>
  <si>
    <t>TOT.DÉBITO: -2,14</t>
  </si>
  <si>
    <t>REF. LANC. CREDITO - CLIENTE: 11006415-COMERCIO DE TINTAS BSB LTDA</t>
  </si>
  <si>
    <t>03000210-COMIN INDUSTRIA DE CARROCERIAS EIRELI</t>
  </si>
  <si>
    <t xml:space="preserve">TELEFONE(S): (61) 3718-1514 (61)99808-6442 </t>
  </si>
  <si>
    <t>REF. LANC. CREDITO - CLIENTE: 03000210-COMIN INDUSTRIA DE CARROCERIAS EIRELI</t>
  </si>
  <si>
    <t>80006533-CONCESSIONARIA LB VEICULOS LTDA</t>
  </si>
  <si>
    <t>TELEFONE(S):   (61)99972-8498</t>
  </si>
  <si>
    <t>000000000679A-CC</t>
  </si>
  <si>
    <t>LANC. CRED. REF. A  - PAGTO.PARCIAL - DTA. REC.: 12/12/2025 - VR. ORIGINAL: -1.121,90 - VR. PAGO: -1.102,06</t>
  </si>
  <si>
    <t>11005599-CONSTRULAR HOME CENTER LTDA</t>
  </si>
  <si>
    <t>TOT.DÉBITO: 1.435,26</t>
  </si>
  <si>
    <t>000000025806C-NF</t>
  </si>
  <si>
    <t>04000421-CONSTRUTORA CONSTRUTEC LTDA</t>
  </si>
  <si>
    <t>TELEFONE(S): (61)98233-6377  (61)98233-6377</t>
  </si>
  <si>
    <t>000000031696A-NF</t>
  </si>
  <si>
    <t>REF.DEV.: 000000031696-NF REF.DOC.: 000000031037-NF-004-25/09/2025 - PARC. 1/1&lt;&lt;csq&gt;&gt; - PAGTO.PARCIAL - DTA. REC.: 05/01/2026 - VR. ORIGINAL: -2.004,12 - VR. PAGO: -1.986,04</t>
  </si>
  <si>
    <t>80005603-CONSTRUTORA ORIGENS</t>
  </si>
  <si>
    <t>TOT.DÉBITO: 0,07</t>
  </si>
  <si>
    <t>000000003884A-NF</t>
  </si>
  <si>
    <t>REFERENTE A FATURAMENTO - PARC. 1/1&lt;&lt;csq&gt;&gt; - PAGTO.PARCIAL - DTA. REC.: 23/12/2024 - VR. ORIGINAL: 237,07 - VR. PAGO: 237,00</t>
  </si>
  <si>
    <t>80006049-CONVENCAO BATISTA DO PLANALTO CENTRAL - CBPC</t>
  </si>
  <si>
    <t xml:space="preserve">TELEFONE(S): (61)99958-7019  </t>
  </si>
  <si>
    <t>TOT.DÉBITO: -2,99</t>
  </si>
  <si>
    <t>000000004031A-NF</t>
  </si>
  <si>
    <t>REF.DEV.: 000000004031-NF REF.DOC.: 000000003970-NF-008-17/01/2025 - PARC. 1/1&lt;&lt;csq&gt;&gt; - PAGTO.PARCIAL - DTA. REC.: 18/02/2025 - VR. ORIGINAL: -1.320,00 - VR. PAGO: -1.317,01</t>
  </si>
  <si>
    <t>11005215-COURO CHIQUE LTDA ME</t>
  </si>
  <si>
    <t>TELEFONE(S):  (61) 3573-0269 (61)99645-6240</t>
  </si>
  <si>
    <t>TOT.DÉBITO: -4,04</t>
  </si>
  <si>
    <t>000000000046A-CC</t>
  </si>
  <si>
    <t>REF. LANC. CREDITO - CLIENTE: 11005215-COURO CHIQUE LTDA ME</t>
  </si>
  <si>
    <t>80005289-CP TRANSPORTES LTDA</t>
  </si>
  <si>
    <t>000000000693A-CC</t>
  </si>
  <si>
    <t>LANC. CRED. REF. A  - PAGTO.PARCIAL - DTA. REC.: 16/12/2025 - VR. ORIGINAL: -170,00 - VR. PAGO: -168,00</t>
  </si>
  <si>
    <t>02000793-CRB MOTORS LTDA</t>
  </si>
  <si>
    <t>TELEFONE(S):   (61)99221-7745</t>
  </si>
  <si>
    <t>04000183-CRISLLANY DA SILVA</t>
  </si>
  <si>
    <t xml:space="preserve">TELEFONE(S): (61)98641-3797  </t>
  </si>
  <si>
    <t>000000024654A-NF</t>
  </si>
  <si>
    <t>80006610-CRISTIANE FERREIRA</t>
  </si>
  <si>
    <t>TOT.DÉBITO: -107,80</t>
  </si>
  <si>
    <t>000000000749A-NF</t>
  </si>
  <si>
    <t>REF.DEV.: 000000000749-NF REF.DOC.: 000000000716-NF-024-30/12/2025 - PARC. 1/1&lt;&lt;csq&gt;&gt; - PAGTO.PARCIAL - DTA. REC.: 08/01/2026 - VR. ORIGINAL: -439,80 - VR. PAGO: -332,00</t>
  </si>
  <si>
    <t>11004935-CUSTÓDIO DE MENEZES LIMA</t>
  </si>
  <si>
    <t>TELEFONE(S):   (61)98470-1516</t>
  </si>
  <si>
    <t>TOT.DÉBITO: 2.000,45</t>
  </si>
  <si>
    <t>000000000440A-NF</t>
  </si>
  <si>
    <t>11005188-D PRIMEIRA COMERCIO DE FERRAMENTAS E PARAFUSOS LTDA</t>
  </si>
  <si>
    <t>TELEFONE(S): (61) 3595-1100  (61)98168-3148</t>
  </si>
  <si>
    <t>000000000044A-CC</t>
  </si>
  <si>
    <t>DUPLICADO</t>
  </si>
  <si>
    <t>000000000061A-CC</t>
  </si>
  <si>
    <t>REF. LANC. CREDITO - CLIENTE: 11005188-D PRIMEIRA COMERCIO DE FERRAMENTAS E PARAFUSOS LTDA</t>
  </si>
  <si>
    <t>02001346-D SUL VISTORIAS LTDA</t>
  </si>
  <si>
    <t>TELEFONE(S):   (61)99179-7017</t>
  </si>
  <si>
    <t>TOT.DÉBITO: 993,52</t>
  </si>
  <si>
    <t>000000000592A-CC</t>
  </si>
  <si>
    <t>REF. LANC. CREDITO - CLIENTE: 02001346-D SUL VISTORIAS LTDA</t>
  </si>
  <si>
    <t>01000118-DANIEL CONDE MARCA</t>
  </si>
  <si>
    <t>TELEFONE(S): (61) 3568-5887  (61)98459-3714</t>
  </si>
  <si>
    <t>TOT.DÉBITO: -52,00</t>
  </si>
  <si>
    <t>000000000655A-CC</t>
  </si>
  <si>
    <t>LANC. CRED. REF. A  - PAGTO.PARCIAL - DTA. REC.: 19/07/2024 - VR. ORIGINAL: -230,00 - VR. PAGO: -178,00</t>
  </si>
  <si>
    <t>80005822-DANIEL DE JESUS MENEZES</t>
  </si>
  <si>
    <t xml:space="preserve">TELEFONE(S): (61)99302-7630 (61)99302-7630 </t>
  </si>
  <si>
    <t>TOT.DÉBITO: -0,13</t>
  </si>
  <si>
    <t>000000001173A-NF</t>
  </si>
  <si>
    <t>REF.DEV.: 000000001173-NF REF.DOC.: 000000001148-NF-016-09/10/2024 - PARC. 1/1&lt;&lt;csq&gt;&gt; - PAGTO.PARCIAL - DTA. REC.: 24/10/2024 - VR. ORIGINAL: -68,13 - VR. PAGO: -44,00 - PAGTO.PARCIAL - DTA. REC.: 05/11/2024 - VR. ORIGINAL: -24,13 - VR. PAGO: -24,00</t>
  </si>
  <si>
    <t>11005896-DANIEL LOPES MARTINS</t>
  </si>
  <si>
    <t xml:space="preserve">TELEFONE(S):  (61)99956-5690 </t>
  </si>
  <si>
    <t>TOT.DÉBITO: -1,30</t>
  </si>
  <si>
    <t>000000000062A-CC</t>
  </si>
  <si>
    <t>REF. LANC. CREDITO - CLIENTE: 11005896-DANIEL LOPES MARTINS</t>
  </si>
  <si>
    <t>02001261-DANIEL LUCAS NASCIMENTO DA SILVA</t>
  </si>
  <si>
    <t>TELEFONE(S):   (61)99171-0859</t>
  </si>
  <si>
    <t>TOT.DÉBITO: 429,82</t>
  </si>
  <si>
    <t>000000019692A-NF</t>
  </si>
  <si>
    <t>000000019693A-NF</t>
  </si>
  <si>
    <t>000000019694A-NF</t>
  </si>
  <si>
    <t>00002158-DANIEL MEDEIROS FERNANDES</t>
  </si>
  <si>
    <t>LIM.CRÉDITO: 385,17</t>
  </si>
  <si>
    <t>TOT.DÉBITO: 400,59</t>
  </si>
  <si>
    <t>000000002322A-CC</t>
  </si>
  <si>
    <t>LANC. CRED. REF. A  - PAGTO.PARCIAL - DTA. REC.: 17/06/2025 - VR. ORIGINAL: -66,00 - VR. PAGO: -20,59 - PAGTO.PARCIAL - DTA. REC.: 20/06/2025 - VR. ORIGINAL: -45,41 - VR. PAGO: -45,00</t>
  </si>
  <si>
    <t>80005270-DANILO SOUSA OLIVEIRA</t>
  </si>
  <si>
    <t xml:space="preserve">TELEFONE(S):  (61) 9963-0584 </t>
  </si>
  <si>
    <t>04000390-DARIANO DA SILVA ARAUJO</t>
  </si>
  <si>
    <t xml:space="preserve">TELEFONE(S): (61)99169-2690  </t>
  </si>
  <si>
    <t>00004983-DAUTO COMERCIO DE PRODUTO</t>
  </si>
  <si>
    <t>TELEFONE(S):   (62)99229-2929</t>
  </si>
  <si>
    <t>LIM.CRÉDITO: 300.000,00</t>
  </si>
  <si>
    <t>000016102023A-CC</t>
  </si>
  <si>
    <t>PIX LOCALIZADO NO BANCO, MAS NÃO TEM NADA PRA AMARRAR</t>
  </si>
  <si>
    <t>000000026116A-NF</t>
  </si>
  <si>
    <t>REF.DEV.: 000000026116-NF REF.DOC.: 000000021708-NF-009-07/03/2024 - PARC. 1/1&lt;&lt;csq&gt;&gt;</t>
  </si>
  <si>
    <t>000000026117A-NF</t>
  </si>
  <si>
    <t>REF.DEV.: 000000026117-NF REF.DOC.: 000000022088-NF-009-25/03/2024 - PARC. 1/1&lt;&lt;csq&gt;&gt;</t>
  </si>
  <si>
    <t>000000026118A-NF</t>
  </si>
  <si>
    <t>REF.DEV.: 000000026118-NF REF.DOC.: 000000017735-NF-009-28/07/2023 - PARC. 1/1&lt;&lt;csq&gt;&gt;</t>
  </si>
  <si>
    <t>000000026121A-NF</t>
  </si>
  <si>
    <t>REF.DEV.: 000000026121-NF REF.DOC.: 000000022273-NF-009-03/04/2024 - PARC. 1/1&lt;&lt;csq&gt;&gt;</t>
  </si>
  <si>
    <t>000000029921A-NF</t>
  </si>
  <si>
    <t>000000032080A-NF</t>
  </si>
  <si>
    <t>000000040382A-NF</t>
  </si>
  <si>
    <t>REF.DEV.: 000000040382-NF REF.DOC.: 000000040290-NF-009-22/01/2026 - PARC. 1/1&lt;&lt;csq&gt;&gt;</t>
  </si>
  <si>
    <t>00004249-DAUTO TINTAS LTDA (SIA)</t>
  </si>
  <si>
    <t xml:space="preserve">TELEFONE(S): (61) 3361-0580  </t>
  </si>
  <si>
    <t>TOT.DÉBITO: 19,00</t>
  </si>
  <si>
    <t>000000600260A-TE</t>
  </si>
  <si>
    <t>80005077-DAUTO TINTAS PARACATU LTDA</t>
  </si>
  <si>
    <t>TELEFONE(S): (38)99965-7964 (38)99922-1112 (38)98828-6400</t>
  </si>
  <si>
    <t>LIM.CRÉDITO: 20.000.000,00</t>
  </si>
  <si>
    <t>000000037036A-NF</t>
  </si>
  <si>
    <t>REF.DEV.: 000000037036-NF REF.DOC.: 000000034266-NF-009-10/07/2025 - PARC. 1/1&lt;&lt;csq&gt;&gt;</t>
  </si>
  <si>
    <t>80005885-DAVID DE JESUS SOUZA</t>
  </si>
  <si>
    <t>REF. LANC. CREDITO - CLIENTE: 80005885-DAVID DE JESUS SOUZA</t>
  </si>
  <si>
    <t>04000357-DAVID EDSON ROCHA DIAS</t>
  </si>
  <si>
    <t xml:space="preserve">TELEFONE(S): (61)99284-3552  </t>
  </si>
  <si>
    <t>TOT.DÉBITO: -1,47</t>
  </si>
  <si>
    <t>000000402387A-CC</t>
  </si>
  <si>
    <t>REF. LANC. CREDITO - CLIENTE: 04000357-DAVID EDSON ROCHA DIAS</t>
  </si>
  <si>
    <t>000000402399A-CC</t>
  </si>
  <si>
    <t>00003471-DAVOS ENGENHARIA E REPRESENTACAO LTDA</t>
  </si>
  <si>
    <t>TELEFONE(S): (61) 3363-9395 (61) 3060-0625 (61)98642-9897</t>
  </si>
  <si>
    <t>TOT.DÉBITO: -0,14</t>
  </si>
  <si>
    <t>000000026803A-NF</t>
  </si>
  <si>
    <t>REF.DEV.: 000000026803-NF REF.DOC.: 000000026688-NF-009-20/09/2024 - PARC. 1/1&lt;&lt;csq&gt;&gt; - PAGTO.PARCIAL - DTA. REC.: 04/10/2024 - VR. ORIGINAL: -414,80 - VR. PAGO: -247,30 - PAGTO.PARCIAL - DTA. REC.: 16/10/2024 - VR. ORIGINAL: -167,50 - VR. PAGO: -32,61 - PAGTO.PARCIAL - DTA. REC.: 28/01/2025 - VR. ORIGINAL: -134,89 - VR. PAGO: -134,75</t>
  </si>
  <si>
    <t>11005089-DECORA COMERCIO DE TINTAS LTDA</t>
  </si>
  <si>
    <t>TOT.DÉBITO: 569,94</t>
  </si>
  <si>
    <t>000000036430A-NF</t>
  </si>
  <si>
    <t>REFERENTE A FATURAMENTO - PARC. 1/2&lt;&lt;csq&gt;&gt;</t>
  </si>
  <si>
    <t>000000036430B-NF</t>
  </si>
  <si>
    <t>02001901-DEEP WASH DETAIL</t>
  </si>
  <si>
    <t xml:space="preserve">TELEFONE(S): (61)98619-0053  </t>
  </si>
  <si>
    <t>TOT.DÉBITO: -0,62</t>
  </si>
  <si>
    <t>000000000761A-CC</t>
  </si>
  <si>
    <t>REF. LANC. CREDITO - CLIENTE: 02001901-DEEP WASH DETAIL</t>
  </si>
  <si>
    <t>00004257-DER- DEPARTAMENTO DE ESTRADAS E RODAGENS DO DISTRITO FEDERAL</t>
  </si>
  <si>
    <t>TELEFONE(S): (61) 3302-3141  (61) 3302-3179</t>
  </si>
  <si>
    <t>000000000840A-CC</t>
  </si>
  <si>
    <t>LANC. CRED. REF. A  - PAGTO.PARCIAL - DTA. REC.: 21/02/2025 - VR. ORIGINAL: -5.280,00 - VR. PAGO: -345,00 - PAGTO.PARCIAL - DTA. REC.: 26/02/2025 - VR. ORIGINAL: -4.935,00 - VR. PAGO: -175,80 - PAGTO.PARCIAL - DTA. REC.: 14/04/2025 - VR. ORIGINAL: -4.759,20 - VR. PAGO: -1.382,99 - PAGTO.PARCIAL - DTA. REC.: 08/05/2025 - VR. ORIGINAL: -3.376,21 - VR. PAGO: -1.798,10 &lt;&lt;csq&gt;&gt; - DUPLICATA ESTORNADA: 08/05/2025 000000000840A - SEQ: 4 - ESP: CC - EMP: 014 - DTA. REC.: 08/05/2025 - VR. REC.: -1.798,10 - PAGTO.PARCIAL - DTA. REC.: 12/05/2025 - VR. ORIGINAL: -3.376,21 - VR. PAGO: -1.980,00 - PAGTO.PARCIAL - DTA. REC.: 15/05/2025 - VR. ORIGINAL: -1.396,21 - VR. PAGO: -240,00 - PAGTO.PARCIAL - DTA. REC.: 19/05/2025 - VR. ORIGINAL: -1.156,21 - VR. PAGO: -294,07 - PAGTO.PARCIAL - DTA. REC.: 19/05/2025 - VR. ORIGINAL: -862,14 - VR. PAGO: -862,01</t>
  </si>
  <si>
    <t>04000283-DESTAQUE LANTERNAGEM E PINTURA</t>
  </si>
  <si>
    <t>TELEFONE(S):   (61)98186-5035</t>
  </si>
  <si>
    <t>000000402752A-CC</t>
  </si>
  <si>
    <t>REF. LANC. CREDITO - CLIENTE: 04000283-DESTAQUE LANTERNAGEM E PINTURA</t>
  </si>
  <si>
    <t>00004324-DF RODAS SERVICOS RECUPERACAO LTDA.</t>
  </si>
  <si>
    <t xml:space="preserve">TELEFONE(S): (61) 3233-9666  </t>
  </si>
  <si>
    <t>TOT.DÉBITO: -5,15</t>
  </si>
  <si>
    <t>000000103192A-CC</t>
  </si>
  <si>
    <t>PIX - PAGTO.PARCIAL - DTA. REC.: 30/12/2023 - VR. ORIGINAL: -1.240,00 - VR. PAGO: -1.239,08</t>
  </si>
  <si>
    <t>02000095-DIAMANTINA COMERCIO E SERVIÇOS</t>
  </si>
  <si>
    <t>TELEFONE(S): (61) 3579-5588  (61)98237-7594</t>
  </si>
  <si>
    <t>000000030005A-NF</t>
  </si>
  <si>
    <t>REF.DEV.: 000000030005-NF REF.DOC.: 000000029907-NF-009-31/01/2025 - PARC. 1/1&lt;&lt;csq&gt;&gt; - PAGTO.PARCIAL - DTA. REC.: 04/02/2025 - VR. ORIGINAL: -255,51 - VR. PAGO: -54,21</t>
  </si>
  <si>
    <t>11005442-DIEGO CARNAUBA SANTOS</t>
  </si>
  <si>
    <t xml:space="preserve">TELEFONE(S):  (61) 3354-0644 </t>
  </si>
  <si>
    <t>REF. LANC. CREDITO - CLIENTE: 11005442-DIEGO CARNAUBA SANTOS</t>
  </si>
  <si>
    <t>80006537-DIEGO LINHARES</t>
  </si>
  <si>
    <t>TELEFONE(S):   (61)98459-2749</t>
  </si>
  <si>
    <t>TOT.DÉBITO: -0,57</t>
  </si>
  <si>
    <t>000000002551A-CC</t>
  </si>
  <si>
    <t>LANC. CRED. REF. A  - PAGTO.PARCIAL - DTA. REC.: 07/11/2025 - VR. ORIGINAL: -1.000,00 - VR. PAGO: -999,43</t>
  </si>
  <si>
    <t>00000313-DIEGO ROGRIGUES</t>
  </si>
  <si>
    <t>TOT.DÉBITO: -0,54</t>
  </si>
  <si>
    <t>000000002531A-CC</t>
  </si>
  <si>
    <t>LANC. CRED. REF. A  - PAGTO.PARCIAL - DTA. REC.: 29/10/2025 - VR. ORIGINAL: -24,00 - VR. PAGO: -23,46</t>
  </si>
  <si>
    <t>11004992-DINAMICA COMERCIO DE TINTAS LTDA</t>
  </si>
  <si>
    <t>000000038194C-NF</t>
  </si>
  <si>
    <t>000000038109C-NF</t>
  </si>
  <si>
    <t>000000038196C-NF</t>
  </si>
  <si>
    <t>000000038279C-NF</t>
  </si>
  <si>
    <t>00002758-DINIZ MECANICA E REGULAGEM LTDA</t>
  </si>
  <si>
    <t>TELEFONE(S): (61) 3552-5991  (61)99242-2072</t>
  </si>
  <si>
    <t>000000002696A-CC</t>
  </si>
  <si>
    <t>LANC. CRED. REF. A  - PAGTO.PARCIAL - DTA. REC.: 28/01/2026 - VR. ORIGINAL: -382,00 - VR. PAGO: -381,46</t>
  </si>
  <si>
    <t>04000161-DIONAS HENK RODRIGUES 80919146015</t>
  </si>
  <si>
    <t xml:space="preserve">TELEFONE(S): (61)99590-8053  </t>
  </si>
  <si>
    <t>TOT.DÉBITO: 2.313,29</t>
  </si>
  <si>
    <t>001000001675C-AG</t>
  </si>
  <si>
    <t>REF. AGRUPAMENTO Nro. 001000001675 - PARC. 3 / 4 - DOC(S): 000000004316C/000000004268C/000000003751F/000000004316D/000000004268D/000000003751G/000000004316E/000000004268E/000000003751H/000000004316F/000000004268F/000000004316G/000000004268G/000000004316H/000000004268H - PAGTO.PARCIAL - DTA. REC.: 10/10/2023 - VR. ORIGINAL: 1.656,64 - VR. PAGO: 1.000,00</t>
  </si>
  <si>
    <t>001000001675D-AG</t>
  </si>
  <si>
    <t>REF. AGRUPAMENTO Nro. 001000001675 - PARC. 4 / 4 - DOC(S): 000000004316C/000000004268C/000000003751F/000000004316D/000000004268D/000000003751G/000000004316E/000000004268E/000000003751H/000000004316F/000000004268F/000000004316G/000000004268G/000000004316H/000000004268H</t>
  </si>
  <si>
    <t>05000541-DIONE MENDES TEIXEIRA</t>
  </si>
  <si>
    <t>TELEFONE(S):   (61)98425-3589</t>
  </si>
  <si>
    <t>LIM.CRÉDITO: 7.000,00</t>
  </si>
  <si>
    <t>TOT.DÉBITO: -0,12</t>
  </si>
  <si>
    <t>000000002547A-CC</t>
  </si>
  <si>
    <t>REF. LANC. CREDITO - CLIENTE: 05000541-DIONE MENDES TEIXEIRA - PAGTO.PARCIAL - DTA. REC.: 26/05/2025 - VR. ORIGINAL: -10,00 - VR. PAGO: -9,88</t>
  </si>
  <si>
    <t>80005531-DJM COLHEITATAS &amp; SERVIÇOS LTDA</t>
  </si>
  <si>
    <t>TELEFONE(S):  (61)99827-2078 (61)99827-2078</t>
  </si>
  <si>
    <t>TOT.DÉBITO: 3.000,00</t>
  </si>
  <si>
    <t>000000000656C-AG</t>
  </si>
  <si>
    <t>REF. AGRUPAMENTO Nro. 000000000656 - PARC. 3 / 4 - DOC(S): 000000008211A/000000008227A/000000008237A/000000008252A/000000008263A/000000008264A/000000008280A/000000008304A/000000008309A/000000008335A_x000D_Em 01/04/2025, ocorreu prorrogação do vencimento. Operador: 020_x000D_Vencimento Original: 06/03/2025 - Vr.Original: 688,00_x000D_Novo Vencimento    : 04/04/2025 - Novo Valor : 688,00_x000D_Juros alterado de 0,00 para 0,00 por motivo de prorrogação do vencimento._x000D_ - PAGTO.PARCIAL - DTA. REC.: 19/05/2025 - VR. ORIGINAL: 688,00 - VR. PAGO: 554,75</t>
  </si>
  <si>
    <t>000000000687A-AG</t>
  </si>
  <si>
    <t>REF. AGRUPAMENTO Nro. 000000000687 - PARC. 1 / 1 - DOC(S): 000000004001A_x000D_Em 01/04/2025, ocorreu prorrogação do vencimento. Operador: 020_x000D_Vencimento Original: 09/03/2025 - Vr.Original: 96,76_x000D_Novo Vencimento    : 03/04/2025 - Novo Valor : 96,76_x000D_Juros alterado de 0,00 para 0,00 por motivo de prorrogação do vencimento._x000D_</t>
  </si>
  <si>
    <t>000000000688A-AG</t>
  </si>
  <si>
    <t>REF. AGRUPAMENTO Nro. 000000000688 - PARC. 1 / 2 - DOC(S): 000000008527A_x000D_Em 01/04/2025, ocorreu prorrogação do vencimento. Operador: 020_x000D_Vencimento Original: 09/03/2025 - Vr.Original: 366,19_x000D_Novo Vencimento    : 04/04/2025 - Novo Valor : 366,19_x000D_Juros alterado de 0,00 para 0,00 por motivo de prorrogação do vencimento._x000D_</t>
  </si>
  <si>
    <t>000000000672C-AG</t>
  </si>
  <si>
    <t>REF. AGRUPAMENTO Nro. 000000000672 - PARC. 3 / 3 - DOC(S): 000000008444A/000000008459A/000000008480A/000000008496A/000000008503A</t>
  </si>
  <si>
    <t>000000000656D-AG</t>
  </si>
  <si>
    <t>REF. AGRUPAMENTO Nro. 000000000656 - PARC. 4 / 4 - DOC(S): 000000008211A/000000008227A/000000008237A/000000008252A/000000008263A/000000008264A/000000008280A/000000008304A/000000008309A/000000008335A</t>
  </si>
  <si>
    <t>000000000688B-AG</t>
  </si>
  <si>
    <t>REF. AGRUPAMENTO Nro. 000000000688 - PARC. 2 / 2 - DOC(S): 000000008527A</t>
  </si>
  <si>
    <t>000000000523A-AG</t>
  </si>
  <si>
    <t>REF. AGRUPAMENTO Nro. 000000000523 - PARC. 1 / 1 - DOC(S): 000000004300A</t>
  </si>
  <si>
    <t>05000394-DLUX DETAILS EIRELI</t>
  </si>
  <si>
    <t xml:space="preserve">TELEFONE(S):  (61) 3581-7291 </t>
  </si>
  <si>
    <t>TOT.DÉBITO: 14.097,36</t>
  </si>
  <si>
    <t>001000000672A-AG</t>
  </si>
  <si>
    <t>REF. AGRUPAMENTO Nro. 001000000672 - PARC. 1 / 1 - DOC(S): 000000000560A/000000000575A/000000000683A</t>
  </si>
  <si>
    <t>000000000350C-NF</t>
  </si>
  <si>
    <t>REFERENTE A FATURAMENTO - PARC. 3/6&lt;&lt;csq&gt;&gt;</t>
  </si>
  <si>
    <t>000000000576B-NF</t>
  </si>
  <si>
    <t>REFERENTE A FATURAMENTO - PARC. 2/6&lt;&lt;csq&gt;&gt;</t>
  </si>
  <si>
    <t>000000100255A-CH</t>
  </si>
  <si>
    <t>DTA.TIT: 09/08/2021, REF. A CHQ. No: 000091, AGE: 2024_x000D_ EMITENTE: DLUX DETAILS EIRELI_x000D_ TELECHEQUE NÃO</t>
  </si>
  <si>
    <t>001000000690A-AG</t>
  </si>
  <si>
    <t>REF. AGRUPAMENTO Nro. 001000000690 - PARC. 1 / 1 - DOC(S): 000000000971A/000000000972A</t>
  </si>
  <si>
    <t>000000000689B-NF</t>
  </si>
  <si>
    <t>REFERENTE A FATURAMENTO - PARC. 2/5&lt;&lt;csq&gt;&gt;</t>
  </si>
  <si>
    <t>000000000350D-NF</t>
  </si>
  <si>
    <t>REFERENTE A FATURAMENTO - PARC. 4/6&lt;&lt;csq&gt;&gt;</t>
  </si>
  <si>
    <t>000000000576C-NF</t>
  </si>
  <si>
    <t>000000100278A-CH</t>
  </si>
  <si>
    <t>DTA.TIT: 09/08/2021, REF. A CHQ. No: 000092, AGE: 2024_x000D_ EMITENTE: DLUX DETAILS EIRELI_x000D_ TELECHEQUE NÃO</t>
  </si>
  <si>
    <t>000000000689C-NF</t>
  </si>
  <si>
    <t>000000000350E-NF</t>
  </si>
  <si>
    <t>REFERENTE A FATURAMENTO - PARC. 5/6&lt;&lt;csq&gt;&gt;</t>
  </si>
  <si>
    <t>000000000576D-NF</t>
  </si>
  <si>
    <t>000000000689D-NF</t>
  </si>
  <si>
    <t>000000000350F-NF</t>
  </si>
  <si>
    <t>REFERENTE A FATURAMENTO - PARC. 6/6&lt;&lt;csq&gt;&gt;</t>
  </si>
  <si>
    <t>000000000576E-NF</t>
  </si>
  <si>
    <t>000000000689E-NF</t>
  </si>
  <si>
    <t>000000000576F-NF</t>
  </si>
  <si>
    <t>000000000710A-CC</t>
  </si>
  <si>
    <t>REF. LANC. CREDITO - CLIENTE: 05000394-DLUX DETAILS EIRELI</t>
  </si>
  <si>
    <t>80006156-DM CENTRO AUTOMOTIVO LTDA</t>
  </si>
  <si>
    <t xml:space="preserve">TELEFONE(S): (61) 3344-2020  </t>
  </si>
  <si>
    <t>TOT.DÉBITO: -16,56</t>
  </si>
  <si>
    <t>000000002369A-CC</t>
  </si>
  <si>
    <t>REF. LANC. CREDITO - CLIENTE: 80006156-DM CENTRO AUTOMOTIVO LTDA</t>
  </si>
  <si>
    <t>05000317-DNR TINTAS AUTOMOTIVAS EIRELI</t>
  </si>
  <si>
    <t xml:space="preserve">TELEFONE(S): (61)99308-0803  </t>
  </si>
  <si>
    <t>000000019453A-NF</t>
  </si>
  <si>
    <t>REF.DEV.: 000000019453-NF REF.DOC.: 000000019402-NF-009-09/03/2023 - PARC. 1/1&lt;&lt;csq&gt;&gt; - PAGTO.PARCIAL - DTA. REC.: 19/10/2023 - VR. ORIGINAL: -1.089,93 - VR. PAGO: -1.085,16</t>
  </si>
  <si>
    <t>06000065-DOMINGOS DE JESUS SOUSA CAMARA</t>
  </si>
  <si>
    <t>TELEFONE(S):  (61) 3395-2415 (61)99102-5401</t>
  </si>
  <si>
    <t>TOT.DÉBITO: -7,55</t>
  </si>
  <si>
    <t>000000601345A-CC</t>
  </si>
  <si>
    <t>REF. LANC. CREDITO - CLIENTE: 06000065-DOMINGOS DE JESUS SOUSA CAMARA</t>
  </si>
  <si>
    <t>02000576-DOMINGOS DE SOUSA DE OLIVEIRA FILHO</t>
  </si>
  <si>
    <t xml:space="preserve">TELEFONE(S): (61)99361-0701  </t>
  </si>
  <si>
    <t>TOT.DÉBITO: -11,34</t>
  </si>
  <si>
    <t>000000000815A-CC</t>
  </si>
  <si>
    <t>REF. LANC. CREDITO - CLIENTE: 02000576-DOMINGOS DE SOUSA DE OLIVEIRA FILHO</t>
  </si>
  <si>
    <t>000000001249A-CC</t>
  </si>
  <si>
    <t>LANC. CRED. REF. A  - PAGTO.PARCIAL - DTA. REC.: 19/07/2023 - VR. ORIGINAL: -150,00 - VR. PAGO: -139,60</t>
  </si>
  <si>
    <t>11005032-DOMUS COMERCIO DE TINTAS E COMPLEMENTOS LTDA</t>
  </si>
  <si>
    <t>TOT.DÉBITO: -112,77</t>
  </si>
  <si>
    <t>000000000173A-CC</t>
  </si>
  <si>
    <t>REF. LANC. CREDITO - CLIENTE: 11005032-DOMUS COMERCIO DE TINTAS E COMPLEMENTOS LTDA</t>
  </si>
  <si>
    <t>80005645-DORI</t>
  </si>
  <si>
    <t xml:space="preserve">TELEFONE(S): (61) 3601-2326  </t>
  </si>
  <si>
    <t>TOT.DÉBITO: -3,95</t>
  </si>
  <si>
    <t>000000002241A-CC</t>
  </si>
  <si>
    <t>LANC. CRED. REF. A  - PAGTO.PARCIAL - DTA. REC.: 27/11/2024 - VR. ORIGINAL: -235,00 - VR. PAGO: -231,05</t>
  </si>
  <si>
    <t>03000181-DORIVAL SOARES DOS SANTOS</t>
  </si>
  <si>
    <t>TELEFONE(S):   (19)99999-6188</t>
  </si>
  <si>
    <t>TOT.DÉBITO: 1.241,24</t>
  </si>
  <si>
    <t>000000003307A-NF</t>
  </si>
  <si>
    <t>REFERENTE A FATURAMENTO - PARC. 1/1&lt;&lt;csq&gt;&gt; - PAGTO.PARCIAL - DTA. REC.: 11/11/2021 - VR. ORIGINAL: 300,00 - VR. PAGO: 107,50 - PAGTO.PARCIAL - DTA. REC.: 11/11/2021 - VR. ORIGINAL: 300,00 - VR. PAGO: 30,00 - PAGTO.PARCIAL - DTA. REC.: 25/11/2021 - VR. ORIGINAL: 300,00 - VR. PAGO: 150,00</t>
  </si>
  <si>
    <t>000000003879A-NF</t>
  </si>
  <si>
    <t>80005956-DOUGLAS VERÍSSIMO</t>
  </si>
  <si>
    <t xml:space="preserve">TELEFONE(S): (61)98277-5451  </t>
  </si>
  <si>
    <t>TOT.DÉBITO: -2,90</t>
  </si>
  <si>
    <t>000000014808A-NF</t>
  </si>
  <si>
    <t>REF.DEV.: 000000014808-NF REF.DOC.: 000000014740-NF-006-13/10/2025 - PARC. 1/1&lt;&lt;csq&gt;&gt; - PAGTO.PARCIAL - DTA. REC.: 29/10/2025 - VR. ORIGINAL: -73,90 - VR. PAGO: -71,00</t>
  </si>
  <si>
    <t>02001981-DOUTOR 7 COMUNICAÇAO VISUAL</t>
  </si>
  <si>
    <t xml:space="preserve">TELEFONE(S): (61) 3022-2185  </t>
  </si>
  <si>
    <t>REF. LANC. CREDITO - CLIENTE: 02001981-DOUTOR 7 COMUNICAÇAO VISUAL</t>
  </si>
  <si>
    <t>80005141-E F G OLIVEIRA SERVICO AUTOMOTIVO (FRED CAR)</t>
  </si>
  <si>
    <t>TELEFONE(S):   (61)99400-9462</t>
  </si>
  <si>
    <t>11005637-EAGLE COMERCIO E VAREJISTA MATERIAL DE CONSTRUCAO LTDA</t>
  </si>
  <si>
    <t xml:space="preserve">TELEFONE(S):  (61)98216-2441 </t>
  </si>
  <si>
    <t>TOT.DÉBITO: 1.801,04</t>
  </si>
  <si>
    <t>000000026260A-NF</t>
  </si>
  <si>
    <t>000000026260B-NF</t>
  </si>
  <si>
    <t>80006204-ED CAR MECANICA ESPECIALIZADA E TECNOLOGICA LTDA</t>
  </si>
  <si>
    <t xml:space="preserve">TELEFONE(S): (61)99345-8549  </t>
  </si>
  <si>
    <t>80004953-EDESIO RIBEIRO DE FARIA FILHO</t>
  </si>
  <si>
    <t xml:space="preserve">TELEFONE(S): (61) 9678-1811  </t>
  </si>
  <si>
    <t>TOT.DÉBITO: 4.847,04</t>
  </si>
  <si>
    <t>000000000425A-CC</t>
  </si>
  <si>
    <t>REF. LANC. CREDITO - CLIENTE: 80004953-EDESIO RIBEIRO DE FARIA FILHO - PAGTO.PARCIAL - DTA. REC.: 30/06/2023 - VR. ORIGINAL: -0,62 - VR. PAGO: -0,30 - PAGTO.PARCIAL - DTA. REC.: 28/03/2024 - VR. ORIGINAL: -0,32 - VR. PAGO: -0,30</t>
  </si>
  <si>
    <t>000000001262A-CC</t>
  </si>
  <si>
    <t>000000000524A-AG</t>
  </si>
  <si>
    <t>REF. AGRUPAMENTO Nro. 000000000524 - PARC. 1 / 1 - DOC(S): 000000006956A</t>
  </si>
  <si>
    <t>000000000541A-AG</t>
  </si>
  <si>
    <t>REF. AGRUPAMENTO Nro. 000000000541 - PARC. 1 / 1 - DOC(S): 000000007105A/000000007169A/000000007255A</t>
  </si>
  <si>
    <t>02001257-EDIFITEK REF &amp; MAN PREDIAL</t>
  </si>
  <si>
    <t xml:space="preserve">TELEFONE(S): (61) 4101-1732 (61)99691-3210 </t>
  </si>
  <si>
    <t>TOT.DÉBITO: -5,31</t>
  </si>
  <si>
    <t>000000009762A-NF</t>
  </si>
  <si>
    <t>REF.DEV.: 000000009762-NF REF.DOC.: 000000008718-NF-014-06/12/2022 - PARC. 1/1&lt;&lt;csq&gt;&gt; - PAGTO.PARCIAL - DTA. REC.: 16/02/2023 - VR. ORIGINAL: -121,23 - VR. PAGO: -62,28 - PAGTO.PARCIAL - DTA. REC.: 17/02/2023 - VR. ORIGINAL: -58,95 - VR. PAGO: -53,64</t>
  </si>
  <si>
    <t>05000522-EDILSON ANTUNES FARIAS</t>
  </si>
  <si>
    <t>TOT.DÉBITO: 470,00</t>
  </si>
  <si>
    <t>000000000811A-NF</t>
  </si>
  <si>
    <t>REFERENTE A FATURAMENTO - PARC. 1/1&lt;&lt;csq&gt;&gt; - PAGTO.PARCIAL - DTA. REC.: 18/09/2023 - VR. ORIGINAL: 970,00 - VR. PAGO: 500,00</t>
  </si>
  <si>
    <t>80005204-EDILSON FERREIRA DOS SANTOS</t>
  </si>
  <si>
    <t>TELEFONE(S):   (61)99222-5191</t>
  </si>
  <si>
    <t>TOT.DÉBITO: -3,00</t>
  </si>
  <si>
    <t>000000001252A-CC</t>
  </si>
  <si>
    <t>REF. LANC. CREDITO - CLIENTE: 80005204-EDILSON FERREIRA DOS SANTOS - PAGTO.PARCIAL - DTA. REC.: 22/11/2025 - VR. ORIGINAL: -13,00 - VR. PAGO: -10,00</t>
  </si>
  <si>
    <t>06000205-EDIO DE OLIVEIRA NUNES</t>
  </si>
  <si>
    <t>02000972-EDIVAN DOS SANTOS ARAUJO</t>
  </si>
  <si>
    <t xml:space="preserve">TELEFONE(S): (61)99589-9191  </t>
  </si>
  <si>
    <t>TOT.DÉBITO: 2.595,23</t>
  </si>
  <si>
    <t>000000000118A-CC</t>
  </si>
  <si>
    <t>LANC. CRED. REF. A  - PAGTO.PARCIAL - DTA. REC.: 26/10/2021 - VR. ORIGINAL: -800,00 - VR. PAGO: -489,73 - PAGTO.PARCIAL - DTA. REC.: 26/10/2021 - VR. ORIGINAL: -310,27 - VR. PAGO: -280,97</t>
  </si>
  <si>
    <t>001000001511A-AG</t>
  </si>
  <si>
    <t>REF. AGRUPAMENTO Nro. 001000001511 - PARC. 1 / 1 - DOC(S): 000000001657A/000000001658A/000000001696A/000000001701A/000000001704A/000000001705A/000000001710A</t>
  </si>
  <si>
    <t>001000001540A-AG</t>
  </si>
  <si>
    <t>REF. AGRUPAMENTO Nro. 001000001540 - PARC. 1 / 1 - DOC(S): 000000001717A/000000001725A/000000001726A/000000001759A/000000001777A/000000001781A/000000001810A/000000001823A/000000001837A/000000001897A/000000001898A/000000001914A/000000001934A/000000001949A</t>
  </si>
  <si>
    <t>80005008-EDMUNDO HENRIQUE MARTINS DA SILVA</t>
  </si>
  <si>
    <t>TOT.DÉBITO: 272,00</t>
  </si>
  <si>
    <t>000000019911A-IF</t>
  </si>
  <si>
    <t>REFERENTE A FATURAMENTO - PARC. 1/1&lt;&lt;csq&gt;&gt; - PAGTO.PARCIAL - DTA. REC.: 15/08/2024 - VR. ORIGINAL: 176,00 - VR. PAGO: 175,00</t>
  </si>
  <si>
    <t>000000019925A-IF</t>
  </si>
  <si>
    <t>000000019927A-IF</t>
  </si>
  <si>
    <t>06000064-EDNALDO CARVALHO DOS SANTOS</t>
  </si>
  <si>
    <t xml:space="preserve">TELEFONE(S):  (61)99329-5732 </t>
  </si>
  <si>
    <t>TOT.DÉBITO: 80,00</t>
  </si>
  <si>
    <t>000000040257A-IF</t>
  </si>
  <si>
    <t>REFERENTE A FATURAMENTO - PARC. 1/1&lt;&lt;csq&gt;&gt; - PAGTO.PARCIAL - DTA. REC.: 14/02/2023 - VR. ORIGINAL: 200,00 - VR. PAGO: 70,00 - PAGTO.PARCIAL - DTA. REC.: 24/02/2023 - VR. ORIGINAL: 200,00 - VR. PAGO: 50,00</t>
  </si>
  <si>
    <t>02001245-EDUARDO ABDALA</t>
  </si>
  <si>
    <t>TELEFONE(S):   (61) 9982-9511</t>
  </si>
  <si>
    <t>TOT.DÉBITO: -36,47</t>
  </si>
  <si>
    <t>000000006321A-NF</t>
  </si>
  <si>
    <t>REF.DEV.: 000000006321-NF REF.DOC.: 000000004780-NF-014-12/04/2022 - PARC. 1/1&lt;&lt;csq&gt;&gt; - PAGTO.PARCIAL - DTA. REC.: 13/07/2022 - VR. ORIGINAL: -913,98 - VR. PAGO: -754,77 - PAGTO.PARCIAL - DTA. REC.: 14/07/2022 - VR. ORIGINAL: -159,21 - VR. PAGO: -122,74</t>
  </si>
  <si>
    <t>00002550-EDUARDO BRITO NOGUEIRA</t>
  </si>
  <si>
    <t xml:space="preserve">TELEFONE(S): (61)99967-9209  </t>
  </si>
  <si>
    <t>TOT.DÉBITO: 6.643,52</t>
  </si>
  <si>
    <t>001000001348005-AG</t>
  </si>
  <si>
    <t>REF. AGRUPAMENTO Nro. 001000001348 - PARC. 5 / 12 - DOC(S): 000030062022A</t>
  </si>
  <si>
    <t>001000001348006-AG</t>
  </si>
  <si>
    <t>REF. AGRUPAMENTO Nro. 001000001348 - PARC. 6 / 12 - DOC(S): 000030062022A</t>
  </si>
  <si>
    <t>001000001348007-AG</t>
  </si>
  <si>
    <t>REF. AGRUPAMENTO Nro. 001000001348 - PARC. 7 / 12 - DOC(S): 000030062022A</t>
  </si>
  <si>
    <t>001000001348008-AG</t>
  </si>
  <si>
    <t>REF. AGRUPAMENTO Nro. 001000001348 - PARC. 8 / 12 - DOC(S): 000030062022A</t>
  </si>
  <si>
    <t>001000001348009-AG</t>
  </si>
  <si>
    <t>REF. AGRUPAMENTO Nro. 001000001348 - PARC. 9 / 12 - DOC(S): 000030062022A</t>
  </si>
  <si>
    <t>001000001348010-AG</t>
  </si>
  <si>
    <t>REF. AGRUPAMENTO Nro. 001000001348 - PARC. 10 / 12 - DOC(S): 000030062022A</t>
  </si>
  <si>
    <t>001000001348011-AG</t>
  </si>
  <si>
    <t>REF. AGRUPAMENTO Nro. 001000001348 - PARC. 11 / 12 - DOC(S): 000030062022A</t>
  </si>
  <si>
    <t>001000001348012-AG</t>
  </si>
  <si>
    <t>REF. AGRUPAMENTO Nro. 001000001348 - PARC. 12 / 12 - DOC(S): 000030062022A</t>
  </si>
  <si>
    <t>02002598-EDUARDO RAFFAELLI</t>
  </si>
  <si>
    <t>TELEFONE(S): (61)99278-5552  (61)99278-5552</t>
  </si>
  <si>
    <t>TOT.DÉBITO: -299,50</t>
  </si>
  <si>
    <t>000000025111A-NF</t>
  </si>
  <si>
    <t>REF.DEV.: 000000025111-NF REF.DOC.: 000000024328-NF-014-02/12/2025 - PARC. 1/1&lt;&lt;csq&gt;&gt;</t>
  </si>
  <si>
    <t>80005497-EDUARDO ROCHA PEREIRA</t>
  </si>
  <si>
    <t>TELEFONE(S):  (61)99107-1239 (61)99107-1239</t>
  </si>
  <si>
    <t>TOT.DÉBITO: 264,41</t>
  </si>
  <si>
    <t>000000052527A-IF</t>
  </si>
  <si>
    <t>REFERENTE A FATURAMENTO - PARC. 1/1&lt;&lt;csq&gt;&gt; - PAGTO.PARCIAL - DTA. REC.: 30/06/2025 - VR. ORIGINAL: 276,90 - VR. PAGO: 212,29</t>
  </si>
  <si>
    <t>000000052543A-IF</t>
  </si>
  <si>
    <t>REFERENTE A FATURAMENTO - PARC. 1/1&lt;&lt;csq&gt;&gt; - PAGTO.PARCIAL - DTA. REC.: 30/06/2025 - VR. ORIGINAL: 451,00 - VR. PAGO: 350,00</t>
  </si>
  <si>
    <t>000000052555A-IF</t>
  </si>
  <si>
    <t>000000052589A-IF</t>
  </si>
  <si>
    <t>80005017-EDVALDO ARAUJO VERAS</t>
  </si>
  <si>
    <t>TELEFONE(S):   (61)99988-4611</t>
  </si>
  <si>
    <t>TOT.DÉBITO: 763,00</t>
  </si>
  <si>
    <t>000000007165A-IF</t>
  </si>
  <si>
    <t>000000007187A-IF</t>
  </si>
  <si>
    <t>000000007259A-IF</t>
  </si>
  <si>
    <t>80005263-EDVALDO PIRES LISBOA</t>
  </si>
  <si>
    <t>TELEFONE(S):  (61)85379-2139 (61)98441-0276</t>
  </si>
  <si>
    <t>TOT.DÉBITO: -154,32</t>
  </si>
  <si>
    <t>REF. LANC. CREDITO - CLIENTE: 80005263-EDVALDO PIRES LISBOA - PAGTO.PARCIAL - DTA. REC.: 10/10/2024 - VR. ORIGINAL: -189,69 - VR. PAGO: -10,00 - PAGTO.PARCIAL - DTA. REC.: 30/10/2024 - VR. ORIGINAL: -179,69 - VR. PAGO: -55,00</t>
  </si>
  <si>
    <t>000000000078A-CC</t>
  </si>
  <si>
    <t>REF. LANC. CREDITO - CLIENTE: 80005263-EDVALDO PIRES LISBOA</t>
  </si>
  <si>
    <t>11005062-EF8 PROJETOS &amp; CONSTRUCOES LTDA</t>
  </si>
  <si>
    <t>TOT.DÉBITO: 2.158,77</t>
  </si>
  <si>
    <t>000000019311B-NF</t>
  </si>
  <si>
    <t>000000019311C-NF</t>
  </si>
  <si>
    <t>000000019311D-NF</t>
  </si>
  <si>
    <t>03000101-ELDER ARAUJO MESQUITA</t>
  </si>
  <si>
    <t>TELEFONE(S): (61)99913-7720  (61)98496-9686</t>
  </si>
  <si>
    <t>TOT.DÉBITO: 60,00</t>
  </si>
  <si>
    <t>000000005133A-IF</t>
  </si>
  <si>
    <t>80005509-ELSON SODRE</t>
  </si>
  <si>
    <t>TELEFONE(S):   (61)99235-1087</t>
  </si>
  <si>
    <t>TOT.DÉBITO: -0,49</t>
  </si>
  <si>
    <t>000000000548A-CC</t>
  </si>
  <si>
    <t>REF. LANC. CREDITO - CLIENTE: 80005509-ELSON SODRE</t>
  </si>
  <si>
    <t>TOT.DÉBITO: -0,25</t>
  </si>
  <si>
    <t>00000586-ENGEPROM ENGENHARIA LTDA</t>
  </si>
  <si>
    <t xml:space="preserve">TELEFONE(S): (61) 3202-8061  </t>
  </si>
  <si>
    <t>TOT.DÉBITO: -25,40</t>
  </si>
  <si>
    <t>000000401113A-CC</t>
  </si>
  <si>
    <t>11006318-ENGIX CONSTRUCOES E SERVICOS LTDA</t>
  </si>
  <si>
    <t>TELEFONE(S):   (61)99398-3269</t>
  </si>
  <si>
    <t>000000036474A-NF</t>
  </si>
  <si>
    <t>REF.DEV.: 000000036474-NF REF.DOC.: 000000034756-NF-009-29/07/2025 - PARC. 1/1&lt;&lt;csq&gt;&gt; - PAGTO.PARCIAL - DTA. REC.: 17/09/2025 - VR. ORIGINAL: -200,04 - VR. PAGO: -200,03</t>
  </si>
  <si>
    <t>00000374-EPV CENTRO AUTOMOTIVO EIRELE ME</t>
  </si>
  <si>
    <t xml:space="preserve">TELEFONE(S): (61) 3234-3880  </t>
  </si>
  <si>
    <t>LIM.CRÉDITO: 150.000,00</t>
  </si>
  <si>
    <t>001000000629A-AG</t>
  </si>
  <si>
    <t>REF. AGRUPAMENTO Nro. 001000000629 - PARC. 1 / 1 - DOC(S): 000000000177A/000000000181A/000000000184A/000000000192A/000000000201A/000000000208A/000000000218A/000000000219A/000000000221A/000000000227A/000000000228A/000000000239A/000000000240A/000000000244A/000000000248A/000000000257A/000000000261A/000000000264A/000000000272A/000000000278A/000000000280A/000000000285A/000000000289A/000000000301A/000000000302A/000000000307A/000000000319A/000000000322A/000000000324A/000000000326A/000000000331A/000000000333A/000000000335A/000000000337A/000000000343A/000000000349A/000000000353A&lt;&lt;csq&gt;&gt; - PAGTO.PARCIAL - DTA. REC.: 21/09/2022 - VR. ORIGINAL: 7.945,63 - VR. PAGO: 757,42 - PAGTO.PARCIAL - DTA. REC.: 21/12/2022 - VR. ORIGINAL: 7.945,63 - VR. PAGO: 1.000,00 - PAGTO.PARCIAL - DTA. REC.: 01/02/2024 - VR. ORIGINAL: 7.945,63 - VR. PAGO: 5.118,43 &lt;&lt;csq&gt;&gt; - DUPLICATA ESTORNADA: 02/02/2024 001000000629A - SEQ: 3 - ESP: AG - EMP: 013 - DTA. REC.: 01/02/2024 - VR. REC.: 5.118,43</t>
  </si>
  <si>
    <t>80005123-ERIVALDO RODRIGUES DA ROCHA</t>
  </si>
  <si>
    <t>TELEFONE(S):   (61)99838-5368</t>
  </si>
  <si>
    <t>TOT.DÉBITO: -21,01</t>
  </si>
  <si>
    <t>000000001176A-CC</t>
  </si>
  <si>
    <t>REF. LANC. CREDITO - CLIENTE: 80005123-ERIVALDO RODRIGUES DA ROCHA - PAGTO.PARCIAL - DTA. REC.: 01/10/2025 - VR. ORIGINAL: -358,70 - VR. PAGO: -337,69</t>
  </si>
  <si>
    <t>06000201-ERNANDO BARBOSA DE MENEZES</t>
  </si>
  <si>
    <t xml:space="preserve">TELEFONE(S): (61) 3556-3036 (61) 3556-1383 </t>
  </si>
  <si>
    <t>TOT.DÉBITO: 145,00</t>
  </si>
  <si>
    <t>000000000058A-AG</t>
  </si>
  <si>
    <t>REF. AGRUPAMENTO Nro. 000000000058 - PARC. 1 / 1 - DOC(S): 000000011771A</t>
  </si>
  <si>
    <t>80005029-ESIO DA SILVA BOTELHO</t>
  </si>
  <si>
    <t>TELEFONE(S):  (61)99295-7403 (61)99295-7403</t>
  </si>
  <si>
    <t>TOT.DÉBITO: -6,00</t>
  </si>
  <si>
    <t>000000000642A-CC</t>
  </si>
  <si>
    <t>04000311-ESTÉTICA AUTOMOTIVA</t>
  </si>
  <si>
    <t>TELEFONE(S):   (61)99332-0176</t>
  </si>
  <si>
    <t>TOT.DÉBITO: -0,45</t>
  </si>
  <si>
    <t>000000402296A-CC</t>
  </si>
  <si>
    <t>REF. LANC. CREDITO - CLIENTE: 04000311-ESTÉTICA AUTOMOTIVA</t>
  </si>
  <si>
    <t>05000457-EUGILSON HOLANDA</t>
  </si>
  <si>
    <t>TELEFONE(S):   (61)99379-8317</t>
  </si>
  <si>
    <t>000000000116A-NF</t>
  </si>
  <si>
    <t>REF.DEV.: 000000000116-NF REF.DOC.: 000000000497-IF-013-19/05/2021 - PARC. 1/1&lt;&lt;csq&gt;&gt; - PAGTO.PARCIAL - DTA. REC.: 24/05/2021 - VR. ORIGINAL: -55,00 - VR. PAGO: -45,00</t>
  </si>
  <si>
    <t>80005424-EUNICE GONÇALVES DOS SANTOS FERREIRA</t>
  </si>
  <si>
    <t>TOT.DÉBITO: -15,01</t>
  </si>
  <si>
    <t>000000001098A-CC</t>
  </si>
  <si>
    <t xml:space="preserve">REF. LANC. CREDITO - CLIENTE: 80005424-EUNICE GONÇALVES DOS SANTOS FERREIRA </t>
  </si>
  <si>
    <t>000000001134A-CC</t>
  </si>
  <si>
    <t>REF. LANC. CREDITO - CLIENTE: 80005424-EUNICE GONÇALVES DOS SANTOS FERREIRA</t>
  </si>
  <si>
    <t>000000001221A-CC</t>
  </si>
  <si>
    <t>000000002762A-NF</t>
  </si>
  <si>
    <t>REF.DEV.: 000000002762-NF REF.DOC.: 000000002556-NF-008-28/02/2024 - PARC. 1/1&lt;&lt;csq&gt;&gt; - PAGTO.PARCIAL - DTA. REC.: 22/04/2024 - VR. ORIGINAL: -133,35 - VR. PAGO: -120,92</t>
  </si>
  <si>
    <t>03000047-EVERALDO FLAVIO SOARES PEREIRA</t>
  </si>
  <si>
    <t xml:space="preserve">TELEFONE(S): (61) 3468-3339 (61)99986-2473 </t>
  </si>
  <si>
    <t>TOT.DÉBITO: -1,93</t>
  </si>
  <si>
    <t>000000006077A-NF</t>
  </si>
  <si>
    <t>REF.DEV.: 000000006077-NF REF.DOC.: 000000008517-IF-012-16/09/2022 - PARC. 1/1&lt;&lt;csq&gt;&gt; - PAGTO.PARCIAL - DTA. REC.: 23/09/2022 - VR. ORIGINAL: -44,93 - VR. PAGO: -43,00</t>
  </si>
  <si>
    <t>80005498-EVILSON FONSECA DE OLIVEIRA</t>
  </si>
  <si>
    <t>TELEFONE(S):   (61)98201-4270</t>
  </si>
  <si>
    <t>TOT.DÉBITO: -40,58</t>
  </si>
  <si>
    <t>000000000011A-DV</t>
  </si>
  <si>
    <t>REF.DEV.: 000000000011-DV REF.DOC.: 000000001379-FF-022-15/04/2024 - PARC. 1/1&lt;&lt;csq&gt;&gt; - PAGTO.PARCIAL - DTA. REC.: 10/06/2024 - VR. ORIGINAL: -99,58 - VR. PAGO: -59,00</t>
  </si>
  <si>
    <t>80005413-EVOLUÇÃO AGRICULTURA DE PRECISÃO E AGRONEGÓCIOS</t>
  </si>
  <si>
    <t>TELEFONE(S): (38)03676-0046 (38)99984-0577 (38)98822-0046</t>
  </si>
  <si>
    <t>TOT.DÉBITO: -0,34</t>
  </si>
  <si>
    <t>000000002184A-NF</t>
  </si>
  <si>
    <t>REF.DEV.: 000000002184-NF REF.DOC.: 000000002183-NF-015-27/03/2024 - PARC. 1/1&lt;&lt;csq&gt;&gt; - PAGTO.PARCIAL - DTA. REC.: 27/09/2024 - VR. ORIGINAL: -33,79 - VR. PAGO: -33,45</t>
  </si>
  <si>
    <t>00004733-EZEQUIEL MARQUES ARAUJO</t>
  </si>
  <si>
    <t xml:space="preserve">TELEFONE(S): (61)98638-9748  </t>
  </si>
  <si>
    <t>TOT.DÉBITO: -0,04</t>
  </si>
  <si>
    <t>000000001835A-CC</t>
  </si>
  <si>
    <t>REF. LANC. CREDITO - CLIENTE: 00004733-EZEQUIEL MARQUES ARAUJO</t>
  </si>
  <si>
    <t>00005009-F. LORENZO - POLICLINICA DE FISIOTERAPIA LTDA</t>
  </si>
  <si>
    <t>TELEFONE(S):   (61)99977-0539</t>
  </si>
  <si>
    <t>TOT.DÉBITO: -189,68</t>
  </si>
  <si>
    <t>000000025396A-NF</t>
  </si>
  <si>
    <t>REF.DEV.: 000000025396-NF REF.DOC.: 000000025331-NF-009-29/07/2024 - PARC. 1/1&lt;&lt;csq&gt;&gt; - PAGTO.PARCIAL - DTA. REC.: 31/07/2024 - VR. ORIGINAL: -922,28 - VR. PAGO: -732,60</t>
  </si>
  <si>
    <t>80005415-F1 VEICULOS LTDA</t>
  </si>
  <si>
    <t xml:space="preserve">TELEFONE(S): (61)99159-4573  </t>
  </si>
  <si>
    <t>LIM.CRÉDITO: 5.500,00</t>
  </si>
  <si>
    <t>000000000771A-CC</t>
  </si>
  <si>
    <t>LANC. CRED. REF. A  - PAGTO.PARCIAL - DTA. REC.: 21/01/2026 - VR. ORIGINAL: -566,00 - VR. PAGO: -388,82 - PAGTO.PARCIAL - DTA. REC.: 06/02/2026 - VR. ORIGINAL: -177,18 - VR. PAGO: -152,84</t>
  </si>
  <si>
    <t>01000056-F2 MECANICA SOM E ACESSORIOS  LTDA</t>
  </si>
  <si>
    <t>TELEFONE(S):  (61) 3465-3032 (61)98234-1067</t>
  </si>
  <si>
    <t>001000001290C-AG</t>
  </si>
  <si>
    <t>REF. AGRUPAMENTO Nro. 001000001290 - PARC. 3 / 3 - DOC(S): 000000115597A/000000115598A/000000115623A/000000115629A</t>
  </si>
  <si>
    <t>001000001351A-AG</t>
  </si>
  <si>
    <t>REF. AGRUPAMENTO Nro. 001000001351 - PARC. 1 / 3 - DOC(S): 000000116225A/000000116284A/000000116312A/000000116339A/000000116378A/000000116388A/000000116408A/000000116414A</t>
  </si>
  <si>
    <t>001000001370A-AG</t>
  </si>
  <si>
    <t>REF. AGRUPAMENTO Nro. 001000001370 - PARC. 1 / 1 - DOC(S): 000000116461A/000000116467A</t>
  </si>
  <si>
    <t>001000001351B-AG</t>
  </si>
  <si>
    <t>REF. AGRUPAMENTO Nro. 001000001351 - PARC. 2 / 3 - DOC(S): 000000116225A/000000116284A/000000116312A/000000116339A/000000116378A/000000116388A/000000116408A/000000116414A</t>
  </si>
  <si>
    <t>000000000017A-CH</t>
  </si>
  <si>
    <t>DTA.TIT: 18/08/2021, REF. A CHQ. No: 71, AGE: 4155_x000D_ EMITENTE: F2 MECANICA SOM E ACESSORIOS  LTDA_x000D_ TELECHEQUE NÃO - PAGTO.PARCIAL - DTA. REC.: 31/07/2025 - VR. ORIGINAL: 1.007,00 - VR. PAGO: 741,56 &lt;&lt;csq&gt;&gt; - DUPLICATA ESTORNADA: 25/08/2025 000000000017A - SEQ: 1 - ESP: CH - EMP: 001 - DTA. REC.: 31/07/2025 - VR. REC.: 741,56 - PAGTO.PARCIAL - DTA. REC.: 31/07/2025 - VR. ORIGINAL: 1.007,00 - VR. PAGO: 731,63</t>
  </si>
  <si>
    <t>001000001351C-AG</t>
  </si>
  <si>
    <t>REF. AGRUPAMENTO Nro. 001000001351 - PARC. 3 / 3 - DOC(S): 000000116225A/000000116284A/000000116312A/000000116339A/000000116378A/000000116388A/000000116408A/000000116414A</t>
  </si>
  <si>
    <t>000000000029A-CH</t>
  </si>
  <si>
    <t>DTA.TIT: 18/08/2021, REF. A CHQ. No: 73, AGE: 4155_x000D_ EMITENTE: F2 MECANICA SOM E ACESSORIOS  LTDA_x000D_ TELECHEQUE NÃO</t>
  </si>
  <si>
    <t>000000010825A-CC</t>
  </si>
  <si>
    <t>CREDITO REFERENTE A BASES DEVOLVIDAS. - PAGTO.PARCIAL - DTA. REC.: 03/07/2025 - VR. ORIGINAL: -1.624,72 - VR. PAGO: -2,29</t>
  </si>
  <si>
    <t>000000001187A-CC</t>
  </si>
  <si>
    <t>REF. LANC. CREDITO - CLIENTE: 01000056-F2 MECANICA SOM E ACESSORIOS  LTDA</t>
  </si>
  <si>
    <t>80006114-FABIANO MONTEIRO CARVALHO</t>
  </si>
  <si>
    <t>TELEFONE(S):  (61)99855-6301 (61)99855-6301</t>
  </si>
  <si>
    <t>TOT.DÉBITO: -2,44</t>
  </si>
  <si>
    <t>000000013923A-NF</t>
  </si>
  <si>
    <t>REF.DEV.: 000000013923-NF REF.DOC.: 000000013920-NF-006-21/02/2025 - PARC. 1/1&lt;&lt;csq&gt;&gt; - PAGTO.PARCIAL - DTA. REC.: 24/02/2025 - VR. ORIGINAL: -320,34 - VR. PAGO: -317,90</t>
  </si>
  <si>
    <t>00003781-FABIO JUNIOR SOUZA TARCIZIO</t>
  </si>
  <si>
    <t>TELEFONE(S):   (61) 9255-2846</t>
  </si>
  <si>
    <t>TOT.DÉBITO: -0,33</t>
  </si>
  <si>
    <t>000000001081A-CC</t>
  </si>
  <si>
    <t>LANC. CRED. REF. A  - PAGTO.PARCIAL - DTA. REC.: 01/08/2025 - VR. ORIGINAL: -105,00 - VR. PAGO: -104,67</t>
  </si>
  <si>
    <t>01000144-FABIO SOARES BORELA</t>
  </si>
  <si>
    <t xml:space="preserve">TELEFONE(S): (61)99981-9884  </t>
  </si>
  <si>
    <t>TOT.DÉBITO: -0,31</t>
  </si>
  <si>
    <t>000000015886A-NF</t>
  </si>
  <si>
    <t>REF.DEV.: 000000015886-NF REF.DOC.: 000000015884-NF-001-22/10/2021 - PARC. 1/1&lt;&lt;csq&gt;&gt; - PAGTO.PARCIAL - DTA. REC.: 25/10/2021 - VR. ORIGINAL: -33,33 - VR. PAGO: -33,02</t>
  </si>
  <si>
    <t>01000043-FABIO SOARES DE FREITAS</t>
  </si>
  <si>
    <t>TELEFONE(S): (61) 3381-2627  (61)99827-4100</t>
  </si>
  <si>
    <t>000000101832A-CC</t>
  </si>
  <si>
    <t>80006449-FABRICIO CAVALCANTE -</t>
  </si>
  <si>
    <t>LANC. CRED. REF. A  - PAGTO.PARCIAL - DTA. REC.: 24/01/2026 - VR. ORIGINAL: -238,00 - VR. PAGO: -202,90 - PAGTO.PARCIAL - DTA. REC.: 24/01/2026 - VR. ORIGINAL: -35,10 - VR. PAGO: -35,00</t>
  </si>
  <si>
    <t>80004963-FABRICIO CAVALCANTE FERREIRA</t>
  </si>
  <si>
    <t xml:space="preserve">TELEFONE(S): (61)99928-3766  </t>
  </si>
  <si>
    <t>LIM.CRÉDITO: 6.500,00</t>
  </si>
  <si>
    <t>000000000903A-CC</t>
  </si>
  <si>
    <t>REF. LANC. CREDITO - CLIENTE: 80004963-FABRICIO CAVALCANTE FERREIRA</t>
  </si>
  <si>
    <t>00002153-FABRICIO RODRIGUES SANTOS</t>
  </si>
  <si>
    <t>TELEFONE(S):   (61)98307-8663</t>
  </si>
  <si>
    <t>LIM.CRÉDITO: 775,19</t>
  </si>
  <si>
    <t>REF. LANC. CREDITO - PAGTO.PARCIAL - DTA. REC.: 29/06/2022 - VR. ORIGINAL: -95,60 - VR. PAGO: -37,00 - PAGTO.PARCIAL - DTA. REC.: 28/07/2022 - VR. ORIGINAL: -58,60 - VR. PAGO: -57,30</t>
  </si>
  <si>
    <t>00002701-FASHION COMUNICACAO VISUAL</t>
  </si>
  <si>
    <t xml:space="preserve">TELEFONE(S): (61) 3234-9088  </t>
  </si>
  <si>
    <t>TOT.DÉBITO: -177,86</t>
  </si>
  <si>
    <t>000000013385A-NF</t>
  </si>
  <si>
    <t>REF.DEV.: 000000013385-NF REF.DOC.: 000000016944-IF-014-28/11/2023 - PARC. 1/1&lt;&lt;csq&gt;&gt; - PAGTO.PARCIAL - DTA. REC.: 29/11/2023 - VR. ORIGINAL: -264,86 - VR. PAGO: -119,00</t>
  </si>
  <si>
    <t>000000016066A-NF</t>
  </si>
  <si>
    <t>REF.DEV.: 000000016066-NF REF.DOC.: 000000019887-IF-014-22/05/2024 - PARC. 1/1&lt;&lt;csq&gt;&gt;</t>
  </si>
  <si>
    <t>05000543-FEDERAL CAR AUTO PEÇAS E SERVIÇOS AUTOMOTIVOS LTDA</t>
  </si>
  <si>
    <t>LIM.CRÉDITO: 1.200,00</t>
  </si>
  <si>
    <t>TOT.DÉBITO: -4,69</t>
  </si>
  <si>
    <t>000000000800A-CC</t>
  </si>
  <si>
    <t>REF. LANC. CREDITO - CLIENTE: 05000543-FEDERAL CAR AUTO PEÇAS E SERVIÇOS AUTOMOTIVOS LTDA</t>
  </si>
  <si>
    <t>06000243-FELIPE JUNIO GOMES DE OLIVEIRA</t>
  </si>
  <si>
    <t>TELEFONE(S):  (61)99143-2880 (61)99143-2880</t>
  </si>
  <si>
    <t>TOT.DÉBITO: -10,13</t>
  </si>
  <si>
    <t>000000601318A-CC</t>
  </si>
  <si>
    <t>REF. LANC. CREDITO - CLIENTE: 06000243-FELIPE JUNIO GOMES DE OLIVEIRA</t>
  </si>
  <si>
    <t>00002196-FERNANDO HENRIQUE SILVA</t>
  </si>
  <si>
    <t>000000000318A-CC</t>
  </si>
  <si>
    <t>REF. LANC. CREDITO - CLIENTE: 00002196-FERNANDO HENRIQUE SILVA - PAGTO.PARCIAL - DTA. REC.: 20/02/2024 - VR. ORIGINAL: -98,70 - VR. PAGO: -94,70</t>
  </si>
  <si>
    <t>000000000432A-CC</t>
  </si>
  <si>
    <t>11005208-FERNANDO PESTANA COMERCIO E EMPREENDIMENTO LTDA</t>
  </si>
  <si>
    <t xml:space="preserve">TELEFONE(S): (61)99644-8492  </t>
  </si>
  <si>
    <t>TOT.DÉBITO: 791,37</t>
  </si>
  <si>
    <t>000000018210A-NF</t>
  </si>
  <si>
    <t>000000018210B-NF</t>
  </si>
  <si>
    <t>000000018210C-NF</t>
  </si>
  <si>
    <t>04000333-FIVE CAR SOLUÇOES AUTOMOTIVA</t>
  </si>
  <si>
    <t>TELEFONE(S):   (61) 3373-8493</t>
  </si>
  <si>
    <t>TOT.DÉBITO: -17,82</t>
  </si>
  <si>
    <t>000000402499A-CC</t>
  </si>
  <si>
    <t>REF. LANC. CREDITO - CLIENTE: 04000333-FIVE CAR SOLUÇOES AUTOMOTIVA - PAGTO.PARCIAL - DTA. REC.: 29/01/2025 - VR. ORIGINAL: -19,14 - VR. PAGO: -1,32</t>
  </si>
  <si>
    <t>04000251-FLAVIO JUNIOR</t>
  </si>
  <si>
    <t xml:space="preserve">TELEFONE(S): (61)98174-2614  </t>
  </si>
  <si>
    <t>TOT.DÉBITO: -65,86</t>
  </si>
  <si>
    <t>000000019068A-NF</t>
  </si>
  <si>
    <t>REF.DEV.: 000000019068-NF REF.DOC.: 000000018825-NF-004-17/08/2021 - PARC. 1/1&lt;&lt;csq&gt;&gt;</t>
  </si>
  <si>
    <t>80005011-FLAVIO SOUZA ARAUJO</t>
  </si>
  <si>
    <t>TELEFONE(S):   (61)99617-7589</t>
  </si>
  <si>
    <t>TOT.DÉBITO: 2.962,89</t>
  </si>
  <si>
    <t>000000283303B-NF</t>
  </si>
  <si>
    <t>ACORDO DE DEBITOS ANTINGOS.&lt;&lt;csq&gt;&gt;</t>
  </si>
  <si>
    <t>000000283303C-NF</t>
  </si>
  <si>
    <t>DEBITOS ANTIGOS.&lt;&lt;csq&gt;&gt;</t>
  </si>
  <si>
    <t>000000283303D-NF</t>
  </si>
  <si>
    <t>ACORDO DE DEBITOS ANTIGOS&lt;&lt;csq&gt;&gt;</t>
  </si>
  <si>
    <t>000000283303E-NF</t>
  </si>
  <si>
    <t>000000283303F-NF</t>
  </si>
  <si>
    <t>000000001043A-CC</t>
  </si>
  <si>
    <t>REF. LANC. CREDITO - CLIENTE: 80005011-FLAVIO SOUZA ARAUJO</t>
  </si>
  <si>
    <t>000000000283A-AG</t>
  </si>
  <si>
    <t>REF. AGRUPAMENTO Nro. 000000000283 - PARC. 1 / 1 - DOC(S): 000000002939A/000000002960A/000000002961A/000000002970A/000000003000A/000000003002A/000000003003A/000000003063A/000000003079A/000000003087A/000000003093A/000000003096A/000000003100A/000000003112A - PAGTO.PARCIAL - DTA. REC.: 20/12/2021 - VR. ORIGINAL: 4.369,40 - VR. PAGO: 1.880,10 - PAGTO.PARCIAL - DTA. REC.: 24/07/2023 - VR. ORIGINAL: 4.369,40 - VR. PAGO: 1.519,90  &lt;&lt;csq&gt;&gt;&lt;&lt;csq&gt;&gt;BOLETO GERADO MANUAL.DUPLICATA 283/303_x000D_Em 24/07/2023, ocorreu prorrogação do vencimento. Operador: 020_x000D_Vencimento Original: 20/12/2021 - Vr.Original: 437,50_x000D_Novo Vencimento    : 24/02/2024 - Novo Valor : 437,50_x000D_Juros alterado de 0,00 para 0,00 por motivo de prorrogação do vencimento._x000D_</t>
  </si>
  <si>
    <t>000000000303A-AG</t>
  </si>
  <si>
    <t>REF. AGRUPAMENTO Nro. 000000000303 - PARC. 1 / 1 - DOC(S): 000000003146A/000000003153A/000000003154A/000000003163A/000000003165A/000000003168A/000000003202A/000000003241A/000000003265A_x000D_Em 24/07/2023, ocorreu prorrogação do vencimento. Operador: 020_x000D_Vencimento Original: 20/01/2022 - Vr.Original: 437,50_x000D_Novo Vencimento    : 24/03/2024 - Novo Valor : 437,50_x000D_Juros alterado de 0,00 para 0,00 por motivo de prorrogação do vencimento._x000D_</t>
  </si>
  <si>
    <t>000000000309A-CC</t>
  </si>
  <si>
    <t>REF. LANC. CREDITO - CLIENTE: 80005011-FLAVIO SOUZA ARAUJO - PAGTO.PARCIAL - DTA. REC.: 29/12/2025 - VR. ORIGINAL: -110,00 - VR. PAGO: -72,89</t>
  </si>
  <si>
    <t>11005819-FLEX SERVICOS E MANUTENCOES LTDA</t>
  </si>
  <si>
    <t>TELEFONE(S):  (61)98256-2630 (61) 3551-2867</t>
  </si>
  <si>
    <t>TOT.DÉBITO: 13.166,85</t>
  </si>
  <si>
    <t>000000030544A-NF</t>
  </si>
  <si>
    <t>000000029924B-NF</t>
  </si>
  <si>
    <t>000000030639A-NF</t>
  </si>
  <si>
    <t>000000029398C-NF</t>
  </si>
  <si>
    <t>000000030897A-NF</t>
  </si>
  <si>
    <t>000000029481C-NF</t>
  </si>
  <si>
    <t>000000030282B-NF</t>
  </si>
  <si>
    <t>000000031037A-NF</t>
  </si>
  <si>
    <t>000000030544B-NF</t>
  </si>
  <si>
    <t>000000030639B-NF</t>
  </si>
  <si>
    <t>000000031037B-NF</t>
  </si>
  <si>
    <t>000000030897B-NF</t>
  </si>
  <si>
    <t>000000030282C-NF</t>
  </si>
  <si>
    <t>000000031037C-NF</t>
  </si>
  <si>
    <t>000000030544C-NF</t>
  </si>
  <si>
    <t>000000030639C-NF</t>
  </si>
  <si>
    <t>000000031037D-NF</t>
  </si>
  <si>
    <t>000000030897C-NF</t>
  </si>
  <si>
    <t>02002160-FOGO EM BRASA CAMAROES LTDA</t>
  </si>
  <si>
    <t>TELEFONE(S): (21)97239-1202  (21)97239-1202</t>
  </si>
  <si>
    <t>000000000875A-CC</t>
  </si>
  <si>
    <t>REF. LANC. CREDITO - CLIENTE: 02002160-FOGO EM BRASA CAMAROES LTDA</t>
  </si>
  <si>
    <t>03000192-FORMOCAR LANTERNAGEM E PINTURA</t>
  </si>
  <si>
    <t xml:space="preserve">TELEFONE(S): (61)99952-3628 (61)99939-4911 </t>
  </si>
  <si>
    <t>TOT.DÉBITO: 790,27</t>
  </si>
  <si>
    <t>000000003171A-NF</t>
  </si>
  <si>
    <t>REFERENTE A FATURAMENTO - PARC. 1/1&lt;&lt;csq&gt;&gt; - PAGTO.PARCIAL - DTA. REC.: 04/11/2021 - VR. ORIGINAL: 1.280,89 - VR. PAGO: 6,38 - PAGTO.PARCIAL - DTA. REC.: 08/02/2022 - VR. ORIGINAL: 1.280,89 - VR. PAGO: 280,00 - PAGTO.PARCIAL - DTA. REC.: 22/03/2022 - VR. ORIGINAL: 1.280,89 - VR. PAGO: 250,00</t>
  </si>
  <si>
    <t>04000156-FORMOTECH PNEUS E RODAS</t>
  </si>
  <si>
    <t xml:space="preserve">TELEFONE(S): (61)99948-6195  </t>
  </si>
  <si>
    <t>000000401567A-CC</t>
  </si>
  <si>
    <t>REF. LANC. CREDITO - CLIENTE: 04000156-FORMOTECH PNEUS E RODAS</t>
  </si>
  <si>
    <t>11006328-FOX PINTURA ELETROSTATICA E CLIMATIZAÇAO LTDA</t>
  </si>
  <si>
    <t xml:space="preserve">TELEFONE(S):  (61)99913-5066 </t>
  </si>
  <si>
    <t>TOT.DÉBITO: -18,19</t>
  </si>
  <si>
    <t>000000000160A-CC</t>
  </si>
  <si>
    <t>REF. LANC. CREDITO - CLIENTE: 11006328-FOX PINTURA ELETROSTATICA E CLIMATIZAÇAO LTDA</t>
  </si>
  <si>
    <t>00004521-FRANCISCA RUBENS FELIX</t>
  </si>
  <si>
    <t xml:space="preserve">TELEFONE(S): (61) 3399-2065  </t>
  </si>
  <si>
    <t>TOT.DÉBITO: -144,50</t>
  </si>
  <si>
    <t>000000401280A-CC</t>
  </si>
  <si>
    <t>LANC. CRED. REF. A  - CREDITO 3X - PAGTO.PARCIAL - DTA. REC.: 01/04/2022 - VR. ORIGINAL: -681,00 - VR. PAGO: -526,50 - PAGTO.PARCIAL - DTA. REC.: 05/04/2022 - VR. ORIGINAL: -154,50 - VR. PAGO: -7,00 - PAGTO.PARCIAL - DTA. REC.: 11/04/2022 - VR. ORIGINAL: -147,50 - VR. PAGO: -3,00</t>
  </si>
  <si>
    <t>05000385-FRANCISCO CLEBER</t>
  </si>
  <si>
    <t xml:space="preserve">TELEFONE(S):  (61)99108-4092 </t>
  </si>
  <si>
    <t>TOT.DÉBITO: -2,73</t>
  </si>
  <si>
    <t>000000002850A-CC</t>
  </si>
  <si>
    <t>LANC. CRED. REF. A  - PAGTO.PARCIAL - DTA. REC.: 25/07/2025 - VR. ORIGINAL: -49,90 - VR. PAGO: -47,17</t>
  </si>
  <si>
    <t>TOT.DÉBITO: 39,98</t>
  </si>
  <si>
    <t>06000019-FRANCISCO DAS CHAGAS DA CONCEIÇÃO MACIEL</t>
  </si>
  <si>
    <t xml:space="preserve">TELEFONE(S):  (61)98491-1432 </t>
  </si>
  <si>
    <t>000000601119A-CC</t>
  </si>
  <si>
    <t>80005776-FRANCISCO DAS CHAGAS VERAS</t>
  </si>
  <si>
    <t xml:space="preserve">TELEFONE(S): (61) 9557-5743  </t>
  </si>
  <si>
    <t>000000000651A-CC</t>
  </si>
  <si>
    <t>REF. LANC. CREDITO - CLIENTE: 80005776-FRANCISCO DAS CHAGAS VERAS</t>
  </si>
  <si>
    <t>02000076-FRANCISCO DE ALMEIDA CANTANHEIDE</t>
  </si>
  <si>
    <t xml:space="preserve">TELEFONE(S): (61)99228-4774  </t>
  </si>
  <si>
    <t>000000402744A-CC</t>
  </si>
  <si>
    <t>REF. LANC. CREDITO - CLIENTE: 02000076-FRANCISCO DE ALMEIDA CANTANHEIDE</t>
  </si>
  <si>
    <t>00000326-FRANCISCO DE ASSIS SOUZA PRADO</t>
  </si>
  <si>
    <t>TELEFONE(S): (61) 3393-7768  (61)99161-1121</t>
  </si>
  <si>
    <t>LIM.CRÉDITO: 200,00</t>
  </si>
  <si>
    <t>TOT.DÉBITO: 1.091,13</t>
  </si>
  <si>
    <t>000000601364A-CC</t>
  </si>
  <si>
    <t>REF. LANC. CREDITO - CLIENTE: 00000326-FRANCISCO DE ASSIS SOUZA PRADO</t>
  </si>
  <si>
    <t>05000064-FRANCISCO SEBASTIÃO DE ARAUJO</t>
  </si>
  <si>
    <t xml:space="preserve">TELEFONE(S):  (61)98565-4546 </t>
  </si>
  <si>
    <t>TOT.DÉBITO: -15,00</t>
  </si>
  <si>
    <t>000000000321A-CC</t>
  </si>
  <si>
    <t>00000247-FRANK DENIS COSTA MIRANDA</t>
  </si>
  <si>
    <t xml:space="preserve">TELEFONE(S): (61) 3605-2535  </t>
  </si>
  <si>
    <t>TOT.DÉBITO: -0,66</t>
  </si>
  <si>
    <t>000000601408A-CC</t>
  </si>
  <si>
    <t>REF. LANC. CREDITO - CLIENTE: 00000247-FRANK DENIS COSTA MIRANDA</t>
  </si>
  <si>
    <t>02001700-FREDERICO VENANCIO</t>
  </si>
  <si>
    <t xml:space="preserve">TELEFONE(S): (61)99272-3988  </t>
  </si>
  <si>
    <t>000000002300A-CC</t>
  </si>
  <si>
    <t>REF. LANC. CREDITO - CLIENTE: 02001700-FREDERICO VENANCIO</t>
  </si>
  <si>
    <t>00004464-FREEDOM MOTORS LTDA</t>
  </si>
  <si>
    <t xml:space="preserve">TELEFONE(S): (61) 3252-5300 (61)99101-3450 </t>
  </si>
  <si>
    <t>000000000874A-CC</t>
  </si>
  <si>
    <t>REF. LANC. CREDITO - CLIENTE: 00004464-FREEDOM MOTORS LTDA</t>
  </si>
  <si>
    <t>80005129-FRICARDI INDUSTRIA E COMERCIO DE ALIMENTOS EIRELI</t>
  </si>
  <si>
    <t>TELEFONE(S):  (61) 3712-3112 (61) 3712-3112</t>
  </si>
  <si>
    <t>TOT.DÉBITO: -36,70</t>
  </si>
  <si>
    <t>000000001106A-CC</t>
  </si>
  <si>
    <t>REF. LANC. CREDITO - CLIENTE: 80005129-FRICARDI INDUSTRIA E COMERCIO DE ALIMENTOS EIRELI</t>
  </si>
  <si>
    <t>000000002625A-NF</t>
  </si>
  <si>
    <t>REF.DEV.: 000000002625-NF REF.DOC.: 000000002610-NF-008-20/03/2024 - PARC. 1/1&lt;&lt;csq&gt;&gt; - PAGTO.PARCIAL - DTA. REC.: 22/03/2024 - VR. ORIGINAL: -126,00 - VR. PAGO: -89,90</t>
  </si>
  <si>
    <t>00004347-FUSION COMUNICACAO VISUAL LTDA.</t>
  </si>
  <si>
    <t>TELEFONE(S): (61) 3039-3866  (61)97403-5252</t>
  </si>
  <si>
    <t>TOT.DÉBITO: 589,18</t>
  </si>
  <si>
    <t>000000001933B-NF</t>
  </si>
  <si>
    <t>000000002043B-NF</t>
  </si>
  <si>
    <t>000000001597C-NF</t>
  </si>
  <si>
    <t>000000001933C-NF</t>
  </si>
  <si>
    <t>00004512-G S RAMOS LANTERNAGEM E PINTURA EPP</t>
  </si>
  <si>
    <t>TELEFONE(S): (61) 3547-5248  (61) 8490-8552</t>
  </si>
  <si>
    <t>LIM.CRÉDITO: 3.500,00</t>
  </si>
  <si>
    <t>TOT.DÉBITO: 8.973,58</t>
  </si>
  <si>
    <t>001000001613B-AG</t>
  </si>
  <si>
    <t>REF. AGRUPAMENTO Nro. 001000001613 - PARC. 2 / 3 - DOC(S): 000000003013A/000000003041A/000000003042A/000000003058A/000000003083A/000000003086A/000000003151A/000000003157A/000000003207A/000000003222A/000000003302A/000000003312A/000000003464A_x000D_Em 03/05/2022, ocorreu prorrogação do vencimento. Operador: 020_x000D_Vencimento Original: 25/04/2022 - Vr.Original: 756,00_x000D_Novo Vencimento    : 05/05/2022 - Novo Valor : 756,00_x000D_Juros alterado de 0,00 para 0,00 por motivo de prorrogação do vencimento._x000D_ - PAGTO.PARCIAL - DTA. REC.: 05/07/2024 - VR. ORIGINAL: 756,00 - VR. PAGO: 151,81 - PAGTO.PARCIAL - DTA. REC.: 02/10/2024 - VR. ORIGINAL: 604,19 - VR. PAGO: 500,00</t>
  </si>
  <si>
    <t>001000001586C-AG</t>
  </si>
  <si>
    <t>REF. AGRUPAMENTO Nro. 001000001586 - PARC. 3 / 4 - DOC(S): 000000002487A/000000002517A/000000002523A/000000002551A/000000002567A/000000002636A/000000002642A/000000002685A/000000002693A/000000002698A/000000002708A/000000002723A/000000002743A/000000002814A/000000002843A/000000002871A/000000002876A/000000002921A/000000002934A/000000002959A/000000002987A/000000002993A/000000003000A/000000003001A_x000D_Em 03/05/2022, ocorreu prorrogação do vencimento. Operador: 020_x000D_Vencimento Original: 27/04/2022 - Vr.Original: 1.001,00_x000D_Novo Vencimento    : 06/05/2022 - Novo Valor : 1.001,00_x000D_Juros alterado de 0,00 para 0,00 por motivo de prorrogação do vencimento._x000D_</t>
  </si>
  <si>
    <t>000000004372A-NF</t>
  </si>
  <si>
    <t>000000004382A-NF</t>
  </si>
  <si>
    <t>000000000292A-AG</t>
  </si>
  <si>
    <t>REF. AGRUPAMENTO Nro. 000000000292 - PARC. 1 / 3 - DOC(S): 000000004633A/000000004636A/000000004650A/000000004657A/000000004673A/000000004675A/000000004758A/000000004803A/000000004858A/000000004864A/000000004376A/000000004966A/000000004981A/000000004997A/000000005003A/000000005013A/000000005041A</t>
  </si>
  <si>
    <t>001000001644B-AG</t>
  </si>
  <si>
    <t>REF. AGRUPAMENTO Nro. 001000001644 - PARC. 2 / 4 - DOC(S): 000000004007A/000000004009A/000000004038A/000000004058A/000000004183A/000000004186A/000000004209A/000000004210A/000000004214A/000000004232A/000000004267A/000000004272A/000000004298A</t>
  </si>
  <si>
    <t>001000001613C-AG</t>
  </si>
  <si>
    <t>REF. AGRUPAMENTO Nro. 001000001613 - PARC. 3 / 3 - DOC(S): 000000003013A/000000003041A/000000003042A/000000003058A/000000003083A/000000003086A/000000003151A/000000003157A/000000003207A/000000003222A/000000003302A/000000003312A/000000003464A_x000D_Em 27/05/2022, ocorreu prorrogação do vencimento. Operador: 020_x000D_Vencimento Original: 25/05/2022 - Vr.Original: 756,00_x000D_Novo Vencimento    : 06/06/2022 - Novo Valor : 756,00_x000D_Juros alterado de 0,00 para 0,00 por motivo de prorrogação do vencimento._x000D_</t>
  </si>
  <si>
    <t>001000001586D-AG</t>
  </si>
  <si>
    <t>REF. AGRUPAMENTO Nro. 001000001586 - PARC. 4 / 4 - DOC(S): 000000002487A/000000002517A/000000002523A/000000002551A/000000002567A/000000002636A/000000002642A/000000002685A/000000002693A/000000002698A/000000002708A/000000002723A/000000002743A/000000002814A/000000002843A/000000002871A/000000002876A/000000002921A/000000002934A/000000002959A/000000002987A/000000002993A/000000003000A/000000003001A_x000D_Em 27/05/2022, ocorreu prorrogação do vencimento. Operador: 020_x000D_Vencimento Original: 25/05/2022 - Vr.Original: 1.001,00_x000D_Novo Vencimento    : 07/06/2022 - Novo Valor : 1.001,00_x000D_Juros alterado de 0,00 para 0,00 por motivo de prorrogação do vencimento._x000D_</t>
  </si>
  <si>
    <t>000000004382B-NF</t>
  </si>
  <si>
    <t>000000000292B-AG</t>
  </si>
  <si>
    <t>REF. AGRUPAMENTO Nro. 000000000292 - PARC. 2 / 3 - DOC(S): 000000004633A/000000004636A/000000004650A/000000004657A/000000004673A/000000004675A/000000004758A/000000004803A/000000004858A/000000004864A/000000004376A/000000004966A/000000004981A/000000004997A/000000005003A/000000005013A/000000005041A</t>
  </si>
  <si>
    <t>001000001644C-AG</t>
  </si>
  <si>
    <t>REF. AGRUPAMENTO Nro. 001000001644 - PARC. 3 / 4 - DOC(S): 000000004007A/000000004009A/000000004038A/000000004058A/000000004183A/000000004186A/000000004209A/000000004210A/000000004214A/000000004232A/000000004267A/000000004272A/000000004298A</t>
  </si>
  <si>
    <t>000000004382C-NF</t>
  </si>
  <si>
    <t>000000000292C-AG</t>
  </si>
  <si>
    <t>REF. AGRUPAMENTO Nro. 000000000292 - PARC. 3 / 3 - DOC(S): 000000004633A/000000004636A/000000004650A/000000004657A/000000004673A/000000004675A/000000004758A/000000004803A/000000004858A/000000004864A/000000004376A/000000004966A/000000004981A/000000004997A/000000005003A/000000005013A/000000005041A</t>
  </si>
  <si>
    <t>001000001644D-AG</t>
  </si>
  <si>
    <t>REF. AGRUPAMENTO Nro. 001000001644 - PARC. 4 / 4 - DOC(S): 000000004007A/000000004009A/000000004038A/000000004058A/000000004183A/000000004186A/000000004209A/000000004210A/000000004214A/000000004232A/000000004267A/000000004272A/000000004298A</t>
  </si>
  <si>
    <t>06000144-GALERIA ARTE CAR EIRELI</t>
  </si>
  <si>
    <t>TELEFONE(S):  (61) 3025-3701 (61)98226-2728</t>
  </si>
  <si>
    <t>TOT.DÉBITO: 128,91</t>
  </si>
  <si>
    <t>000000000525A-AG</t>
  </si>
  <si>
    <t>REF. AGRUPAMENTO Nro. 000000000525 - PARC. 1 / 1 - DOC(S): 000000009073A</t>
  </si>
  <si>
    <t>11005051-GALPAO COMERCIO E CONSTRUCOES</t>
  </si>
  <si>
    <t>000000039742A-NF</t>
  </si>
  <si>
    <t>80006031-GC REBOQUES VENDAS E LOCAÇÕES LTDA</t>
  </si>
  <si>
    <t>TELEFONE(S):   (61)99265-3803</t>
  </si>
  <si>
    <t>TOT.DÉBITO: -0,09</t>
  </si>
  <si>
    <t>000000001083A-CC</t>
  </si>
  <si>
    <t>REF. LANC. CREDITO - CLIENTE: 80006031-GC REBOQUES VENDAS E LOCAÇÕES LTDA</t>
  </si>
  <si>
    <t>00003941-GEDECI JOSE</t>
  </si>
  <si>
    <t>TELEFONE(S): (61) 3344-5178  (16)19901-8979</t>
  </si>
  <si>
    <t>000000601022A-CC</t>
  </si>
  <si>
    <t>REF. LANC. CREDITO - CLIENTE: 00003941-GEDECI JOSE</t>
  </si>
  <si>
    <t>80005264-GEOVAN NASCIMENTO DE SOUSA</t>
  </si>
  <si>
    <t>TELEFONE(S):   (61)99447-2067</t>
  </si>
  <si>
    <t>TOT.DÉBITO: -0,81</t>
  </si>
  <si>
    <t>000000000561A-NF</t>
  </si>
  <si>
    <t>REF.DEV.: 000000000561-NF REF.DOC.: 000000002474-IF-016-24/11/2022 - PARC. 1/1&lt;&lt;csq&gt;&gt; - PAGTO.PARCIAL - DTA. REC.: 03/03/2023 - VR. ORIGINAL: -102,81 - VR. PAGO: -102,00</t>
  </si>
  <si>
    <t>02001548-GERMANY MOTORSPORT</t>
  </si>
  <si>
    <t>TELEFONE(S):   (61)99855-2121</t>
  </si>
  <si>
    <t>000000000935A-CC</t>
  </si>
  <si>
    <t>REF. LANC. CREDITO - CLIENTE: 02001548-GERMANY MOTORSPORT</t>
  </si>
  <si>
    <t>00000127-GERSONITA LIMA DOS SANTOS ME</t>
  </si>
  <si>
    <t>TOT.DÉBITO: -7,89</t>
  </si>
  <si>
    <t>000000000117A-CC</t>
  </si>
  <si>
    <t>REF. LANC. CREDITO - CLIENTE: 00000127-GERSONITA LIMA DOS SANTOS ME</t>
  </si>
  <si>
    <t>80005871-GESSE PEREIRA DE SOUSA</t>
  </si>
  <si>
    <t xml:space="preserve">TELEFONE(S): (61)98666-1552  </t>
  </si>
  <si>
    <t>000000002187A-CC</t>
  </si>
  <si>
    <t>LANC. CRED. REF. A  - PAGTO.PARCIAL - DTA. REC.: 29/10/2025 - VR. ORIGINAL: -159,00 - VR. PAGO: -158,82</t>
  </si>
  <si>
    <t>00004390-GILMAR MIRANDA DE ALMEIDA</t>
  </si>
  <si>
    <t xml:space="preserve">TELEFONE(S): (61)98220-6379  </t>
  </si>
  <si>
    <t>TOT.DÉBITO: 5.652,78</t>
  </si>
  <si>
    <t>000000000055A-CH</t>
  </si>
  <si>
    <t>DTA.TIT: 09/06/2022, REF. A CHQ. No: 000099, AGE: 1085_x000D_ EMITENTE: GILMAR MIRANDA DE ALMEIDA_x000D_ TELECHEQUE NÃO</t>
  </si>
  <si>
    <t>000000000068A-CH</t>
  </si>
  <si>
    <t>DTA.TIT: 09/06/2022, REF. A CHQ. No: 000100, AGE: 1085_x000D_ EMITENTE: GILMAR MIRANDA DE ALMEIDA_x000D_ TELECHEQUE NÃO</t>
  </si>
  <si>
    <t>02001004-GILVAN DE SOUSA DIAS - EIRELI</t>
  </si>
  <si>
    <t>TOT.DÉBITO: -34,73</t>
  </si>
  <si>
    <t>000000000351A-CC</t>
  </si>
  <si>
    <t>LANC. CRED. REF. A  - PAGTO.PARCIAL - DTA. REC.: 11/04/2023 - VR. ORIGINAL: -79,00 - VR. PAGO: -51,90</t>
  </si>
  <si>
    <t>000000000593A-CC</t>
  </si>
  <si>
    <t>REF. LANC. CREDITO - CLIENTE: 02001004-GILVAN DE SOUSA DIAS - EIRELI</t>
  </si>
  <si>
    <t>000000000799A-CC</t>
  </si>
  <si>
    <t>80005214-GL PARTICIPAÇOES S/A</t>
  </si>
  <si>
    <t xml:space="preserve">TELEFONE(S): (61) 3968-5009  </t>
  </si>
  <si>
    <t>TOT.DÉBITO: -4.760,12</t>
  </si>
  <si>
    <t>000000011127A-NF</t>
  </si>
  <si>
    <t>REF.DEV.: 000000011127-NF REF.DOC.: 000000009377-NF-012-11/07/2023 - PARC. 1/1&lt;&lt;csq&gt;&gt;</t>
  </si>
  <si>
    <t>000000034774A-NF</t>
  </si>
  <si>
    <t>000000034774B-NF</t>
  </si>
  <si>
    <t>80005512-GLEISSON ALVES DA SILVA</t>
  </si>
  <si>
    <t>TELEFONE(S):   (61)99692-0589</t>
  </si>
  <si>
    <t>TOT.DÉBITO: -1,31</t>
  </si>
  <si>
    <t>000000001346A-CC</t>
  </si>
  <si>
    <t>REF. LANC. CREDITO - CLIENTE: 80005512-GLEISSON ALVES DA SILVA</t>
  </si>
  <si>
    <t>04000124-GLEOMAR MARTINS BARBOSA DE ANDRADE</t>
  </si>
  <si>
    <t>TELEFONE(S):  (61)98300-4485 (61)98300-4485</t>
  </si>
  <si>
    <t>TOT.DÉBITO: -21,95</t>
  </si>
  <si>
    <t>000000402070A-CC</t>
  </si>
  <si>
    <t>REF. LANC. CREDITO - CLIENTE: 04000124-GLEOMAR MARTINS BARBOSA DE ANDRADE - PAGTO.PARCIAL - DTA. REC.: 28/11/2024 - VR. ORIGINAL: -4,00 - VR. PAGO: -0,05</t>
  </si>
  <si>
    <t>000000402618A-CC</t>
  </si>
  <si>
    <t>REF. LANC. CREDITO - CLIENTE: 04000124-GLEOMAR MARTINS BARBOSA DE ANDRADE</t>
  </si>
  <si>
    <t>80005356-GLOBAL 3 INCORPORAÇOES LTDA</t>
  </si>
  <si>
    <t>TELEFONE(S):   (61)99809-5111</t>
  </si>
  <si>
    <t>TOT.DÉBITO: -0,24</t>
  </si>
  <si>
    <t>000000001538A-CC</t>
  </si>
  <si>
    <t>LANC. CRED. REF. A  - PAGTO.PARCIAL - DTA. REC.: 12/01/2024 - VR. ORIGINAL: -583,52 - VR. PAGO: -583,28</t>
  </si>
  <si>
    <t>11005382-GN SERVICOS COMERCIO E CONSTRUCOES LTDA</t>
  </si>
  <si>
    <t>TELEFONE(S):   (61)98120-0272</t>
  </si>
  <si>
    <t>000000000132A-CC</t>
  </si>
  <si>
    <t>REF. LANC. CREDITO - CLIENTE: 11005382-GN SERVICOS COMERCIO E CONSTRUCOES LTDA</t>
  </si>
  <si>
    <t>80005533-GOIS CONSTRUTORA E INCORPORADORA DE IMOVEIS LTDA</t>
  </si>
  <si>
    <t xml:space="preserve">TELEFONE(S): (61)99424-6014  </t>
  </si>
  <si>
    <t>TOT.DÉBITO: -0,84</t>
  </si>
  <si>
    <t>000000001917A-CC</t>
  </si>
  <si>
    <t>LANC. CRED. REF. A  - PAGTO.PARCIAL - DTA. REC.: 06/08/2024 - VR. ORIGINAL: -732,84 - VR. PAGO: -732,00</t>
  </si>
  <si>
    <t>11005354-GP CONSTRUCOES METALICAS LTDA EPP</t>
  </si>
  <si>
    <t>TELEFONE(S):   (61)98401-4663</t>
  </si>
  <si>
    <t>000000024440A-NF</t>
  </si>
  <si>
    <t>04000198-GR8 MOTORS COMERCIO DE VEICULOS LTDA</t>
  </si>
  <si>
    <t xml:space="preserve">TELEFONE(S): (61) 3045-2337  </t>
  </si>
  <si>
    <t>TOT.DÉBITO: -32,82</t>
  </si>
  <si>
    <t>000000000754A-CC</t>
  </si>
  <si>
    <t>REF. LANC. CREDITO - CLIENTE: 04000198-GR8 MOTORS COMERCIO DE VEICULOS LTDA</t>
  </si>
  <si>
    <t>02000643-GRAFICA E EDITORA MOVIMENTO LTDA EPP</t>
  </si>
  <si>
    <t>TELEFONE(S): (61) 3361-0063  (61)99811-7141</t>
  </si>
  <si>
    <t>000000024061A-NF</t>
  </si>
  <si>
    <t>REF.DEV.: 000000024061-NF REF.DOC.: 000000024046-NF-014-14/11/2025 - PARC. 1/1&lt;&lt;csq&gt;&gt; - PAGTO.PARCIAL - DTA. REC.: 17/11/2025 - VR. ORIGINAL: -326,00 - VR. PAGO: -211,60 - PAGTO.PARCIAL - DTA. REC.: 18/11/2025 - VR. ORIGINAL: -114,40 - VR. PAGO: -114,00</t>
  </si>
  <si>
    <t>06000031-GREIDSON DOS SANTOS</t>
  </si>
  <si>
    <t xml:space="preserve">TELEFONE(S):  (61)98681-1809 </t>
  </si>
  <si>
    <t>TOT.DÉBITO: -11,30</t>
  </si>
  <si>
    <t>000000601090A-CC</t>
  </si>
  <si>
    <t>REF. LANC. CREDITO - CLIENTE: 06000031-GREIDSON DOS SANTOS</t>
  </si>
  <si>
    <t>00004780-GTR NIPPON LTDA</t>
  </si>
  <si>
    <t>TELEFONE(S): (61) 3036-7700  (61)98102-3456</t>
  </si>
  <si>
    <t>LIM.CRÉDITO: 9.000,00</t>
  </si>
  <si>
    <t>TOT.DÉBITO: 9.788,91</t>
  </si>
  <si>
    <t>001000001311A-AG</t>
  </si>
  <si>
    <t>REF. AGRUPAMENTO Nro. 001000001311 - PARC. 1 / 1 - DOC(S): 000000405311A/000000405315A/000000405322A/000000405333A/000000405337A/000000405344A/000000405345A/000000405349A/000000405350A/000000405357A/000000405359A/000000405362A/000000405370A/000000405374A/000000405375A/000000405380A/000000405385A - PAGTO.PARCIAL - DTA. REC.: 21/07/2025 - VR. ORIGINAL: 6.715,83 - VR. PAGO: 1.923,06</t>
  </si>
  <si>
    <t>001000001397A-AG</t>
  </si>
  <si>
    <t>REF. AGRUPAMENTO Nro. 001000001397 - PARC. 1 / 1 - DOC(S): 000000405750A/000000405761A/000000405796A/000000405801A/000000405841A - PAGTO.PARCIAL - DTA. REC.: 06/09/2022 - VR. ORIGINAL: 3.426,71 - VR. PAGO: 324,83 - PAGTO.PARCIAL - DTA. REC.: 01/11/2022 - VR. ORIGINAL: 3.426,71 - VR. PAGO: 1.874,00</t>
  </si>
  <si>
    <t>001000001429A-AG</t>
  </si>
  <si>
    <t>REF. AGRUPAMENTO Nro. 001000001429 - PARC. 1 / 1 - DOC(S): 000000405869A/000000405977A</t>
  </si>
  <si>
    <t>001000001454A-AG</t>
  </si>
  <si>
    <t>REF. AGRUPAMENTO Nro. 001000001454 - PARC. 1 / 1 - DOC(S): 000000406018A/000000406033A/000000406054A/000000406100A</t>
  </si>
  <si>
    <t>000000024247A-NF</t>
  </si>
  <si>
    <t>REFERENTE A FATURAMENTO - PARC. 1/1&lt;&lt;csq&gt;&gt; - PAGTO.PARCIAL - DTA. REC.: 11/12/2025 - VR. ORIGINAL: 3.071,20 - VR. PAGO: 1.120,18 - PAGTO.PARCIAL - DTA. REC.: 22/12/2025 - VR. ORIGINAL: 3.071,20 - VR. PAGO: 1.000,00</t>
  </si>
  <si>
    <t>02001711-GUILHERME ALMEIDA COELHO</t>
  </si>
  <si>
    <t xml:space="preserve">TELEFONE(S): (61)99451-5494  </t>
  </si>
  <si>
    <t>000000016477A-NF</t>
  </si>
  <si>
    <t>REF.DEV.: 000000016477-NF REF.DOC.: 000000016190-NF-014-01/06/2024 - PARC. 1/1&lt;&lt;csq&gt;&gt; - PAGTO.PARCIAL - DTA. REC.: 18/06/2024 - VR. ORIGINAL: -158,85 - VR. PAGO: -158,84</t>
  </si>
  <si>
    <t>02001769-GUILHERME ALVES DINIZ</t>
  </si>
  <si>
    <t xml:space="preserve">TELEFONE(S): (61)98578-4292  </t>
  </si>
  <si>
    <t>TOT.DÉBITO: -6,28</t>
  </si>
  <si>
    <t>000000023582A-NF</t>
  </si>
  <si>
    <t>REF.DEV.: 000000023582-NF REF.DOC.: 000000023573-NF-014-15/10/2025 - PARC. 1/1&lt;&lt;csq&gt;&gt; - PAGTO.PARCIAL - DTA. REC.: 16/10/2025 - VR. ORIGINAL: -57,28 - VR. PAGO: -51,00</t>
  </si>
  <si>
    <t>00000094-GUILHERME DE SOUZA OLIVEIRA SILVA</t>
  </si>
  <si>
    <t>TELEFONE(S): (61)98550-0263  (61)99598-6345</t>
  </si>
  <si>
    <t>000000000396A-CC</t>
  </si>
  <si>
    <t>LANC. CRED. REF. A  - PAGTO.PARCIAL - DTA. REC.: 22/12/2022 - VR. ORIGINAL: -5.292,95 - VR. PAGO: -5.288,05 - PAGTO.PARCIAL - DTA. REC.: 27/02/2023 - VR. ORIGINAL: -4,90 - VR. PAGO: -0,24 - PAGTO.PARCIAL - DTA. REC.: 30/06/2023 - VR. ORIGINAL: -4,66 - VR. PAGO: -0,18</t>
  </si>
  <si>
    <t>000002082023A-CC</t>
  </si>
  <si>
    <t>PREMIAÇÃO CAMPANHA DE ANIVERSARIO DAUTO TINTAS 26 ANOS&lt;&lt;csq&gt;&gt;&lt;&lt;csq&gt;&gt;&lt;&lt;csq&gt;&gt;</t>
  </si>
  <si>
    <t>000000601389A-CC</t>
  </si>
  <si>
    <t>REF. LANC. CREDITO - CLIENTE: 00000094-GUILHERME DE SOUZA OLIVEIRA SILVA</t>
  </si>
  <si>
    <t>04000236-GUILHERME MOURA CARRIJO DE PAULA 03869824140</t>
  </si>
  <si>
    <t xml:space="preserve">TELEFONE(S): (61)99279-2342  </t>
  </si>
  <si>
    <t>TOT.DÉBITO: 1.301,01</t>
  </si>
  <si>
    <t>001000001094C-AG</t>
  </si>
  <si>
    <t>REF. AGRUPAMENTO Nro. 001000001094 - PARC. 3 / 3 - DOC(S): 000000403187A/000000403204A</t>
  </si>
  <si>
    <t>11005312-GW PRIME SERVICOS AUTOMOTIVOS LTDA</t>
  </si>
  <si>
    <t>TELEFONE(S):   (61)98106-8298</t>
  </si>
  <si>
    <t>TOT.DÉBITO: 194,53</t>
  </si>
  <si>
    <t>000000019048A-NF</t>
  </si>
  <si>
    <t>REF.DEV.: 000000019048-NF REF.DOC.: 000000022240-IF-014-14/11/2024 - PARC. 1/1&lt;&lt;csq&gt;&gt; - PAGTO.PARCIAL - DTA. REC.: 19/11/2024 - VR. ORIGINAL: -98,27 - VR. PAGO: -95,00</t>
  </si>
  <si>
    <t>000000020141A-NF</t>
  </si>
  <si>
    <t>000000020142A-NF</t>
  </si>
  <si>
    <t>00003316-HANASHIRO ASSIST. TECN.DE MAQUINAS AGRICOLAS</t>
  </si>
  <si>
    <t xml:space="preserve">TELEFONE(S): (61) 3362-8789  </t>
  </si>
  <si>
    <t>TOT.DÉBITO: -40,00</t>
  </si>
  <si>
    <t>000000022466A-NF</t>
  </si>
  <si>
    <t>REF.DEV.: 000000022466-NF REF.DOC.: 000000027003-IF-014-26/07/2025 - PARC. 1/1&lt;&lt;csq&gt;&gt;</t>
  </si>
  <si>
    <t>04000242-HAWRISON VIEIRA TORRES</t>
  </si>
  <si>
    <t>TELEFONE(S):   (61)98611-5479</t>
  </si>
  <si>
    <t>TOT.DÉBITO: -6,63</t>
  </si>
  <si>
    <t>000000402480A-CC</t>
  </si>
  <si>
    <t>REF. LANC. CREDITO - CLIENTE: 04000242-HAWRISON VIEIRA TORRES</t>
  </si>
  <si>
    <t>80005294-HELIGLEITON SOUZA VIEIRA</t>
  </si>
  <si>
    <t>TELEFONE(S):   (61)99595-0022</t>
  </si>
  <si>
    <t>TOT.DÉBITO: 997,00</t>
  </si>
  <si>
    <t>000000004248A-IF</t>
  </si>
  <si>
    <t>000000004243A-IF</t>
  </si>
  <si>
    <t>REFERENTE A FATURAMENTO - PARC. 1/1&lt;&lt;csq&gt;&gt; - PAGTO.PARCIAL - DTA. REC.: 05/07/2023 - VR. ORIGINAL: 100,00 - VR. PAGO: 60,00</t>
  </si>
  <si>
    <t>11006018-HELOENE GRAFICA E PAPELARIA LTDA</t>
  </si>
  <si>
    <t>TELEFONE(S):   (61)99882-0000</t>
  </si>
  <si>
    <t>000000000122A-CC</t>
  </si>
  <si>
    <t>REF. LANC. CREDITO - CLIENTE: 11006018-HELOENE GRAFICA E PAPELARIA LTDA</t>
  </si>
  <si>
    <t>02002472-HIAGO RODRIGUES</t>
  </si>
  <si>
    <t>TELEFONE(S): (61)99847-1556  (61)99847-1556</t>
  </si>
  <si>
    <t>TOT.DÉBITO: -16,20</t>
  </si>
  <si>
    <t>000000001119A-CC</t>
  </si>
  <si>
    <t>LANC. CRED. REF. A  - PAGTO.PARCIAL - DTA. REC.: 12/09/2025 - VR. ORIGINAL: -316,20 - VR. PAGO: -300,00</t>
  </si>
  <si>
    <t>00000367-HIDELBRANDO MATOS</t>
  </si>
  <si>
    <t>000000003128A-CC</t>
  </si>
  <si>
    <t>PIX 24/11 - PAGTO.PARCIAL - DTA. REC.: 26/11/2025 - VR. ORIGINAL: -149,90 - VR. PAGO: -132,52</t>
  </si>
  <si>
    <t>80006604-HIDRAUMILLER LTDA</t>
  </si>
  <si>
    <t>TELEFONE(S): (38)99849-7738  (38)99849-7738</t>
  </si>
  <si>
    <t>000000003127A-NF</t>
  </si>
  <si>
    <t>11005561-HOME CENTER LOJAS SANSAO LTDA</t>
  </si>
  <si>
    <t xml:space="preserve">TELEFONE(S):  (61)93272-0036 </t>
  </si>
  <si>
    <t>TOT.DÉBITO: -345,97</t>
  </si>
  <si>
    <t>000000028054A-NF</t>
  </si>
  <si>
    <t>REF.DEV.: 000000028054-NF REF.DOC.: 000000027973-NF-009-13/11/2024 - PARC. 1/1&lt;&lt;csq&gt;&gt;</t>
  </si>
  <si>
    <t>03000022-HOSANA GONSALVES D. SILVA</t>
  </si>
  <si>
    <t>TELEFONE(S):  (61)99973-2144 (61)99113-6821</t>
  </si>
  <si>
    <t>000000002580A-CC</t>
  </si>
  <si>
    <t>LANC. CRED. REF. A  - PAGTO.PARCIAL - DTA. REC.: 21/11/2025 - VR. ORIGINAL: -128,50 - VR. PAGO: -128,32</t>
  </si>
  <si>
    <t>04000078-HRA LANTERNAGEM E PINTURA ME</t>
  </si>
  <si>
    <t>TELEFONE(S):  (61) 3456-2346 (61)98400-4706</t>
  </si>
  <si>
    <t>TOT.DÉBITO: 4.201,86</t>
  </si>
  <si>
    <t>000000401340A-CC</t>
  </si>
  <si>
    <t>LANC. CRED. REF. A  - PIX - PAGTO.PARCIAL - DTA. REC.: 10/05/2022 - VR. ORIGINAL: -1.350,10 - VR. PAGO: -1.174,47</t>
  </si>
  <si>
    <t>00004997-I.C.E PECAS, ACESSORIOS E SERVICOS AUTOMOTIVOS LTDA</t>
  </si>
  <si>
    <t>TELEFONE(S):   (61)99385-3731</t>
  </si>
  <si>
    <t>TOT.DÉBITO: 27.122,49</t>
  </si>
  <si>
    <t>001000001711E-AG</t>
  </si>
  <si>
    <t>001000001771B-AG</t>
  </si>
  <si>
    <t>REF. AGRUPAMENTO Nro. 001000001771 - PARC. 2 / 5 - DOC(S): 000000408003A/000000408005A/000000408022A/000000408026A/000000408030A/000000408032A/000000408035A/000000408036A/000000408038A/000000408039A/000000408043A/000000408055A/000000408057A/000000408064A/000000408067A/000000408071A/000000408079A/000000408084A/000000408087A/000000408089A/000000408091A/000000408095A/000000408102A/000000408115A/000000408116A/000000408117A/000000408122A/000000408123A/000000408127A/000000408133A/000000408137A/000000402059A</t>
  </si>
  <si>
    <t>001000001789A-AG</t>
  </si>
  <si>
    <t>REF. AGRUPAMENTO Nro. 001000001789 - PARC. 1 / 5 - DOC(S): 000000408139A/000000408141A/000000408147A/000000408149A/000000408151A/000000408155A/000000408156A/000000408158A/000000408163A/000000408167A/000000408169A/000000408170A/000000408173A/000000408174A/000000408176A/000000408177A/000000408178A/000000408184A/000000408186A/000000408187A/000000408192A/000000408197A/000000408199A/000000408200A/000000408201A/000000408202A - PAGTO.PARCIAL - DTA. REC.: 01/12/2025 - VR. ORIGINAL: 2.093,33 - VR. PAGO: 1.038,47</t>
  </si>
  <si>
    <t>001000001748D-AG</t>
  </si>
  <si>
    <t>REF. AGRUPAMENTO Nro. 001000001748 - PARC. 4 / 5 - DOC(S): 000000400151A/000000407861A/000000407863A/000000407868A/000000407874A/000000407877A/000000407878A/000000407879A/000000407881A/000000407898A/000000407900A/000000407902A/000000407906A/000000407909A/000000407926A/000000407927A/000000407931A/000000407934A/000000407936A/000000407942A/000000407944A/000000407949A/000000407951A/000000407954A/000000407956A/000000407958A/000000407960A/000000407967A/000000407969A/000000407973A/000000407974A/000000407975A/000000407977A/000000407979A/000000407981A/000000407986A/000000407990A/000000407994A/000000407998A/000000407999A/000000408001A</t>
  </si>
  <si>
    <t>001000001724E-AG</t>
  </si>
  <si>
    <t>REF. AGRUPAMENTO Nro. 001000001724 - PARC. 5 / 5 - DOC(S): 000000407647A/000000407650A/000000407656A/000000407657A/000000407661A/000000407673A/000000407676A/000000407684A/000000407687A/000000407701A/000000407711A/000000407717A/000000407723A/000000407727A/000000407730A/000000407737A/000000407742A/000000407749A/000000407764A/000000407765A/000000407766A/000000407769A/000000407771A/000000407772A/000000407774A/000000407776A/000000407780A/000000407785A/000000407790A/000000407794A/000000407797A/000000407801A/000000407802A/000000407803A/000000407804A/000000407811A/000000407812A/000000407813A/000000407814A/000000407815A/000000407825A/000000407826A/000000407827A/000000407830A/000000407831A/000000407846A/000000407855A</t>
  </si>
  <si>
    <t>001000001771C-AG</t>
  </si>
  <si>
    <t>REF. AGRUPAMENTO Nro. 001000001771 - PARC. 3 / 5 - DOC(S): 000000408003A/000000408005A/000000408022A/000000408026A/000000408030A/000000408032A/000000408035A/000000408036A/000000408038A/000000408039A/000000408043A/000000408055A/000000408057A/000000408064A/000000408067A/000000408071A/000000408079A/000000408084A/000000408087A/000000408089A/000000408091A/000000408095A/000000408102A/000000408115A/000000408116A/000000408117A/000000408122A/000000408123A/000000408127A/000000408133A/000000408137A/000000402059A</t>
  </si>
  <si>
    <t>001000001789B-AG</t>
  </si>
  <si>
    <t>REF. AGRUPAMENTO Nro. 001000001789 - PARC. 2 / 5 - DOC(S): 000000408139A/000000408141A/000000408147A/000000408149A/000000408151A/000000408155A/000000408156A/000000408158A/000000408163A/000000408167A/000000408169A/000000408170A/000000408173A/000000408174A/000000408176A/000000408177A/000000408178A/000000408184A/000000408186A/000000408187A/000000408192A/000000408197A/000000408199A/000000408200A/000000408201A/000000408202A</t>
  </si>
  <si>
    <t>001000001748E-AG</t>
  </si>
  <si>
    <t>REF. AGRUPAMENTO Nro. 001000001748 - PARC. 5 / 5 - DOC(S): 000000400151A/000000407861A/000000407863A/000000407868A/000000407874A/000000407877A/000000407878A/000000407879A/000000407881A/000000407898A/000000407900A/000000407902A/000000407906A/000000407909A/000000407926A/000000407927A/000000407931A/000000407934A/000000407936A/000000407942A/000000407944A/000000407949A/000000407951A/000000407954A/000000407956A/000000407958A/000000407960A/000000407967A/000000407969A/000000407973A/000000407974A/000000407975A/000000407977A/000000407979A/000000407981A/000000407986A/000000407990A/000000407994A/000000407998A/000000407999A/000000408001A</t>
  </si>
  <si>
    <t>001000001771D-AG</t>
  </si>
  <si>
    <t>REF. AGRUPAMENTO Nro. 001000001771 - PARC. 4 / 5 - DOC(S): 000000408003A/000000408005A/000000408022A/000000408026A/000000408030A/000000408032A/000000408035A/000000408036A/000000408038A/000000408039A/000000408043A/000000408055A/000000408057A/000000408064A/000000408067A/000000408071A/000000408079A/000000408084A/000000408087A/000000408089A/000000408091A/000000408095A/000000408102A/000000408115A/000000408116A/000000408117A/000000408122A/000000408123A/000000408127A/000000408133A/000000408137A/000000402059A</t>
  </si>
  <si>
    <t>001000001789C-AG</t>
  </si>
  <si>
    <t>REF. AGRUPAMENTO Nro. 001000001789 - PARC. 3 / 5 - DOC(S): 000000408139A/000000408141A/000000408147A/000000408149A/000000408151A/000000408155A/000000408156A/000000408158A/000000408163A/000000408167A/000000408169A/000000408170A/000000408173A/000000408174A/000000408176A/000000408177A/000000408178A/000000408184A/000000408186A/000000408187A/000000408192A/000000408197A/000000408199A/000000408200A/000000408201A/000000408202A</t>
  </si>
  <si>
    <t>001000001771E-AG</t>
  </si>
  <si>
    <t>REF. AGRUPAMENTO Nro. 001000001771 - PARC. 5 / 5 - DOC(S): 000000408003A/000000408005A/000000408022A/000000408026A/000000408030A/000000408032A/000000408035A/000000408036A/000000408038A/000000408039A/000000408043A/000000408055A/000000408057A/000000408064A/000000408067A/000000408071A/000000408079A/000000408084A/000000408087A/000000408089A/000000408091A/000000408095A/000000408102A/000000408115A/000000408116A/000000408117A/000000408122A/000000408123A/000000408127A/000000408133A/000000408137A/000000402059A</t>
  </si>
  <si>
    <t>001000001789D-AG</t>
  </si>
  <si>
    <t>REF. AGRUPAMENTO Nro. 001000001789 - PARC. 4 / 5 - DOC(S): 000000408139A/000000408141A/000000408147A/000000408149A/000000408151A/000000408155A/000000408156A/000000408158A/000000408163A/000000408167A/000000408169A/000000408170A/000000408173A/000000408174A/000000408176A/000000408177A/000000408178A/000000408184A/000000408186A/000000408187A/000000408192A/000000408197A/000000408199A/000000408200A/000000408201A/000000408202A</t>
  </si>
  <si>
    <t>001000001789E-AG</t>
  </si>
  <si>
    <t>REF. AGRUPAMENTO Nro. 001000001789 - PARC. 5 / 5 - DOC(S): 000000408139A/000000408141A/000000408147A/000000408149A/000000408151A/000000408155A/000000408156A/000000408158A/000000408163A/000000408167A/000000408169A/000000408170A/000000408173A/000000408174A/000000408176A/000000408177A/000000408178A/000000408184A/000000408186A/000000408187A/000000408192A/000000408197A/000000408199A/000000408200A/000000408201A/000000408202A</t>
  </si>
  <si>
    <t>80004951-IAURA DE ARAUJO OLIVEIRA</t>
  </si>
  <si>
    <t>TELEFONE(S):   (61)99450-2724</t>
  </si>
  <si>
    <t>TOT.DÉBITO: -30,76</t>
  </si>
  <si>
    <t>000000002550A-CC</t>
  </si>
  <si>
    <t>LANC. CRED. REF. A  - PAGTO.PARCIAL - DTA. REC.: 18/02/2025 - VR. ORIGINAL: -550,00 - VR. PAGO: -506,00 - PAGTO.PARCIAL - DTA. REC.: 26/03/2025 - VR. ORIGINAL: -44,00 - VR. PAGO: -35,12</t>
  </si>
  <si>
    <t>000000002974A-CC</t>
  </si>
  <si>
    <t>REF. LANC. CREDITO - CLIENTE: 80004951-IAURA DE ARAUJO OLIVEIRA</t>
  </si>
  <si>
    <t>000000000479A-NF</t>
  </si>
  <si>
    <t>REF.DEV.: 000000000479-NF REF.DOC.: 000000003787-IF-024-30/10/2025 - PARC. 1/1&lt;&lt;csq&gt;&gt; - PAGTO.PARCIAL - DTA. REC.: 03/11/2025 - VR. ORIGINAL: -379,00 - VR. PAGO: -363,00</t>
  </si>
  <si>
    <t>00003763-IDEAL SOLUCOES AUTOMOTIVAS LTDA ME</t>
  </si>
  <si>
    <t xml:space="preserve">TELEFONE(S): (61) 3346-0408  </t>
  </si>
  <si>
    <t>TOT.DÉBITO: 177,34</t>
  </si>
  <si>
    <t>000000002244A-NF</t>
  </si>
  <si>
    <t>80006421-IDEALCOLLOR COMERCIO E SERVICOS LTDA</t>
  </si>
  <si>
    <t>TELEFONE(S):   (61)99149-0225</t>
  </si>
  <si>
    <t>000000601357A-CC</t>
  </si>
  <si>
    <t>REF. LANC. CREDITO - CLIENTE: 80006421-IDEALCOLLOR COMERCIO E SERVICOS LTDA</t>
  </si>
  <si>
    <t>000000601360A-CC</t>
  </si>
  <si>
    <t>000000601382A-CC</t>
  </si>
  <si>
    <t>02000737-IG PLOTTER GRAFICA RAPIDA LTDA</t>
  </si>
  <si>
    <t>TELEFONE(S):  (61)97402-0789 (61)98165-5121</t>
  </si>
  <si>
    <t>TOT.DÉBITO: 41,90</t>
  </si>
  <si>
    <t>000000021312A-NF</t>
  </si>
  <si>
    <t>TOT.DÉBITO: -0,32</t>
  </si>
  <si>
    <t>00004310-IMPACTUS LANTERNAGEM E PINTURA LTDA ME</t>
  </si>
  <si>
    <t xml:space="preserve">TELEFONE(S): (61) 3465-2017 (61)99201-9947 </t>
  </si>
  <si>
    <t>TOT.DÉBITO: 3.858,83</t>
  </si>
  <si>
    <t>000000001913A-CC</t>
  </si>
  <si>
    <t>LANC. CRED. REF. A  - PAGTO.PARCIAL - DTA. REC.: 01/08/2024 - VR. ORIGINAL: -100,00 - VR. PAGO: -99,95</t>
  </si>
  <si>
    <t>00004205-IMPAKTO - LANTERNAGEM, PINTURA E SERVICOS EM GERAL LTDA - ME</t>
  </si>
  <si>
    <t>TOT.DÉBITO: 2.080,00</t>
  </si>
  <si>
    <t>001000000904C-AG</t>
  </si>
  <si>
    <t>REF. AGRUPAMENTO Nro. 001000000904 - PARC. 3 / 12 - DOC(S): 000000013250A/000000013262A/000000013279A/000000013291A/000000013316A/000000013319A/000000013339A/000000013350A/000000013352A/000000013356A/000000013364A/000000013368A/000000013383A/000000013394A/000000013402A/000000013418A_x000D_Em 08/02/2021, ocorreu prorrogação do vencimento. Operador: 020_x000D_Vencimento Original: 02/02/2021 - Vr.Original: 425,00_x000D_Novo Vencimento    : 04/03/2021 - Novo Valor : 425,00_x000D_Juros alterado de 0,00 para 0,00 por motivo de prorrogação do vencimento._x000D_</t>
  </si>
  <si>
    <t>001000000936C-AG</t>
  </si>
  <si>
    <t>REF. AGRUPAMENTO Nro. 001000000936 - PARC. 3 / 3 - DOC(S): 000000013447A/000000013475A/000000013541A/000000013574A/000000013629A/000000013634A</t>
  </si>
  <si>
    <t>001000000881E-AG</t>
  </si>
  <si>
    <t>REF. AGRUPAMENTO Nro. 001000000881 - PARC. 5 / 12 - DOC(S): 000000013042A/000000013063A/000000013070A/000000013083A/000000013093A/000000013106A/000000013131A/000000013138A/000000013139A/000000013145A/000000013152A/000000013160A/000000013164A/000000013165A/000000013175A/000000013179A/000000013181A/000000013185A/000000013202A/000000013216A/000000013227A/000000013236A/000000013237A/000000013241A</t>
  </si>
  <si>
    <t>001000000904D-AG</t>
  </si>
  <si>
    <t>REF. AGRUPAMENTO Nro. 001000000904 - PARC. 4 / 12 - DOC(S): 000000013250A/000000013262A/000000013279A/000000013291A/000000013316A/000000013319A/000000013339A/000000013350A/000000013352A/000000013356A/000000013364A/000000013368A/000000013383A/000000013394A/000000013402A/000000013418A</t>
  </si>
  <si>
    <t>001000000904E-AG</t>
  </si>
  <si>
    <t>REF. AGRUPAMENTO Nro. 001000000904 - PARC. 5 / 12 - DOC(S): 000000013250A/000000013262A/000000013279A/000000013291A/000000013316A/000000013319A/000000013339A/000000013350A/000000013352A/000000013356A/000000013364A/000000013368A/000000013383A/000000013394A/000000013402A/000000013418A</t>
  </si>
  <si>
    <t>00004832-IMPERIAL TINTAS COMERCIO AUTOMOTIVO</t>
  </si>
  <si>
    <t xml:space="preserve">TELEFONE(S):  (61) 3591-2805 </t>
  </si>
  <si>
    <t>000000000116A-CC</t>
  </si>
  <si>
    <t>REF. LANC. CREDITO - CLIENTE: 00004832-IMPERIAL TINTAS COMERCIO AUTOMOTIVO - PAGTO.PARCIAL - DTA. REC.: 31/10/2025 - VR. ORIGINAL: -14,90 - VR. PAGO: -0,88</t>
  </si>
  <si>
    <t>11005279-IMPERIO DAS CORES COMERCIO DE TINTAS LTDA</t>
  </si>
  <si>
    <t>TELEFONE(S):   (61)99329-3714</t>
  </si>
  <si>
    <t>000000028577A-NF</t>
  </si>
  <si>
    <t>REF.DEV.: 000000028577-NF REF.DOC.: 000000028432-NF-009-03/12/2024 - PARC. 1/1&lt;&lt;csq&gt;&gt;</t>
  </si>
  <si>
    <t>11004991-IMPERIO TINTAS E MATERIAIS DE CONSTRUCAO LTDA</t>
  </si>
  <si>
    <t>TELEFONE(S):   (61)99903-3875</t>
  </si>
  <si>
    <t>TOT.DÉBITO: -1.123,82</t>
  </si>
  <si>
    <t>000000000054A-CC</t>
  </si>
  <si>
    <t>REF. LANC. CREDITO - CLIENTE: 11004991-IMPERIO TINTAS E MATERIAIS DE CONSTRUCAO LTDA - PAGTO.PARCIAL - DTA. REC.: 29/07/2024 - VR. ORIGINAL: -5,86 - VR. PAGO: -5,50</t>
  </si>
  <si>
    <t>000000000055A-CC</t>
  </si>
  <si>
    <t>REF. LANC. CREDITO - CLIENTE: 11004991-IMPERIO TINTAS E MATERIAIS DE CONSTRUCAO LTDA</t>
  </si>
  <si>
    <t>000000252970A-CC</t>
  </si>
  <si>
    <t>REFERENTE A PAGAMENTO DE BOLETO QUE TINHA SIDO FEITO DEVOLUÇÃO.&lt;&lt;csq&gt;&gt;&lt;&lt;csq&gt;&gt;NF 25297&lt;&lt;csq&gt;&gt;&lt;&lt;csq&gt;&gt;LOUISE CIENTE.</t>
  </si>
  <si>
    <t>02002427-INC26 BRASAL INCORPORACOES IMOBILIARIAS</t>
  </si>
  <si>
    <t>TELEFONE(S): (61) 3462-8719  (61) 3462-8719</t>
  </si>
  <si>
    <t>TOT.DÉBITO: 90,00</t>
  </si>
  <si>
    <t>000000023061A-NF</t>
  </si>
  <si>
    <t>02002166-INDUSPINA AUTO PECAS LTDA</t>
  </si>
  <si>
    <t>TELEFONE(S): (61) 3245-6832  (61) 3245-6832</t>
  </si>
  <si>
    <t>000000000872A-CC</t>
  </si>
  <si>
    <t>REF. LANC. CREDITO - CLIENTE: 02002166-INDUSPINA AUTO PECAS LTDA</t>
  </si>
  <si>
    <t>04000295-INOVACAR</t>
  </si>
  <si>
    <t>TELEFONE(S):   (61)99924-5508</t>
  </si>
  <si>
    <t>TOT.DÉBITO: -17,95</t>
  </si>
  <si>
    <t>000000400122A-DV</t>
  </si>
  <si>
    <t>REF.DEV.: 000000400122-DV REF.DOC.: 000000406839-FF-004-18/04/2023 - PARC. 1/1&lt;&lt;csq&gt;&gt; - PAGTO.PARCIAL - DTA. REC.: 15/05/2023 - VR. ORIGINAL: -302,60 - VR. PAGO: -284,65</t>
  </si>
  <si>
    <t>00003660-INPRESS BRASIL COMUNIC VISUAL LTDA EPP</t>
  </si>
  <si>
    <t xml:space="preserve">TELEFONE(S): (61) 3342-2929  </t>
  </si>
  <si>
    <t>TOT.DÉBITO: 9.088,22</t>
  </si>
  <si>
    <t>000000022614A-NF</t>
  </si>
  <si>
    <t>REF.DEV.: 000000022614-NF REF.DOC.: 000000022613-NF-014-08/08/2025 - PARC. 1/1&lt;&lt;csq&gt;&gt; - PAGTO.PARCIAL - DTA. REC.: 08/08/2025 - VR. ORIGINAL: -726,39 - VR. PAGO: -717,62</t>
  </si>
  <si>
    <t>000000022273A-NF</t>
  </si>
  <si>
    <t>000000022407A-NF</t>
  </si>
  <si>
    <t>000000022408A-NF</t>
  </si>
  <si>
    <t>000000022273B-NF</t>
  </si>
  <si>
    <t>000000022407B-NF</t>
  </si>
  <si>
    <t>000000022492B-NF</t>
  </si>
  <si>
    <t>000000022273C-NF</t>
  </si>
  <si>
    <t>04000226-INPRESS BRASILIA COMUNICACAO VISUAL LTDA</t>
  </si>
  <si>
    <t>TELEFONE(S): (61) 3342-2929  (61)99205-7385</t>
  </si>
  <si>
    <t>TOT.DÉBITO: -133,30</t>
  </si>
  <si>
    <t>000000001194A-CC</t>
  </si>
  <si>
    <t>REF. LANC. CREDITO - CLIENTE: 04000226-INPRESS BRASILIA COMUNICACAO VISUAL LTDA</t>
  </si>
  <si>
    <t>05000504-ISMAEL BARBOSA DA SILVA</t>
  </si>
  <si>
    <t>000000002511A-NF</t>
  </si>
  <si>
    <t>REF.DEV.: 000000002511-NF REF.DOC.: 000000002445-NF-013-11/04/2022 - PARC. 1/1&lt;&lt;csq&gt;&gt; - PAGTO.PARCIAL - DTA. REC.: 20/04/2022 - VR. ORIGINAL: -56,00 - VR. PAGO: -54,90</t>
  </si>
  <si>
    <t>00000649-ISRAEL LIMA PESSOA</t>
  </si>
  <si>
    <t>TELEFONE(S): (61) 8546-2610  (61) 8528-7062</t>
  </si>
  <si>
    <t>000000001189A-CC</t>
  </si>
  <si>
    <t>REF. LANC. CREDITO - CLIENTE: 00000649-ISRAEL LIMA PESSOA</t>
  </si>
  <si>
    <t>02001545-ISRAEL LIMA PESSOA</t>
  </si>
  <si>
    <t xml:space="preserve">TELEFONE(S): (61)98603-7878  </t>
  </si>
  <si>
    <t>TOT.DÉBITO: -0,29</t>
  </si>
  <si>
    <t>000000001086A-CC</t>
  </si>
  <si>
    <t>REF. LANC. CREDITO - CLIENTE: 02001545-ISRAEL LIMA PESSOA</t>
  </si>
  <si>
    <t>00004931-ITALIA ESTETICA E HIGIENIZAÇÃO AUTOMOTIVA EIRELLI</t>
  </si>
  <si>
    <t xml:space="preserve">TELEFONE(S):  (61)99949-0488 </t>
  </si>
  <si>
    <t>TOT.DÉBITO: -367,80</t>
  </si>
  <si>
    <t>000000001429A-NF</t>
  </si>
  <si>
    <t>REF.DEV.: 000000001429-NF REF.DOC.: 000000001354-NF-014-28/09/2021 - PARC. 1/1&lt;&lt;csq&gt;&gt;</t>
  </si>
  <si>
    <t>80005018-ITALO HENRIQUE RODRIGUES PASSOS</t>
  </si>
  <si>
    <t xml:space="preserve">TELEFONE(S): (61)99696-2679  </t>
  </si>
  <si>
    <t>TOT.DÉBITO: 17,25</t>
  </si>
  <si>
    <t>000000001703A-NF</t>
  </si>
  <si>
    <t>REFERENTE A FATURAMENTO - PARC. 1/1&lt;&lt;csq&gt;&gt; - PAGTO.PARCIAL - DTA. REC.: 30/07/2021 - VR. ORIGINAL: 325,00 - VR. PAGO: 200,00 - PAGTO.PARCIAL - DTA. REC.: 04/08/2021 - VR. ORIGINAL: 325,00 - VR. PAGO: 110,00</t>
  </si>
  <si>
    <t>02001176-ITANIA DE MENEZES</t>
  </si>
  <si>
    <t xml:space="preserve">TELEFONE(S): (61)98318-6961  </t>
  </si>
  <si>
    <t>TOT.DÉBITO: -127,14</t>
  </si>
  <si>
    <t>000000001827A-NF</t>
  </si>
  <si>
    <t>REF.DEV.: 000000001827-NF REF.DOC.: 000000002064-IF-014-20/10/2021 - PARC. 1/1&lt;&lt;csq&gt;&gt;</t>
  </si>
  <si>
    <t>01000126-IVAN DE ARAUJO SOARES</t>
  </si>
  <si>
    <t>TELEFONE(S): (61) 3346-5189 (61)99163-7311 (61)99453-4670</t>
  </si>
  <si>
    <t>000000100266A-CH</t>
  </si>
  <si>
    <t>DTA.TIT: 29/09/2021, REF. A CHQ. No: 000957, AGE: 4515_x000D_ EMITENTE: IVAN DE ARAUJO SOARES_x000D_ TELECHEQUE NÃO</t>
  </si>
  <si>
    <t>000000100281A-CH</t>
  </si>
  <si>
    <t>DTA.TIT: 24/08/2021, REF. A CHQ. No: 000956, AGE: 4515_x000D_ EMITENTE: IVAN DE ARAUJO SOARES_x000D_ TELECHEQUE NÃO</t>
  </si>
  <si>
    <t>001000001275A-AG</t>
  </si>
  <si>
    <t>REF. AGRUPAMENTO Nro. 001000001275 - PARC. 1 / 1 - DOC(S): 000000115145A/000000115153A/000000115181A/000000115219A/000000115267A/000000115279A/000000115296A/000000115344A/000000115369A - PAGTO.PARCIAL - DTA. REC.: 07/03/2022 - VR. ORIGINAL: 1.628,50 - VR. PAGO: 441,73</t>
  </si>
  <si>
    <t>000000101802A-CC</t>
  </si>
  <si>
    <t>REFERENTE AO PIX - PAGTO.PARCIAL - DTA. REC.: 09/08/2022 - VR. ORIGINAL: -150,34 - VR. PAGO: -150,00</t>
  </si>
  <si>
    <t>000000102593A-CC</t>
  </si>
  <si>
    <t>LANC. CRED. REF. A  - PAGTO.PARCIAL - DTA. REC.: 20/06/2023 - VR. ORIGINAL: -50,00 - VR. PAGO: -46,00</t>
  </si>
  <si>
    <t>02001572-IVAN DE ARAUJO SOARES</t>
  </si>
  <si>
    <t xml:space="preserve">TELEFONE(S): (61)99163-7311  </t>
  </si>
  <si>
    <t>TOT.DÉBITO: 20.221,81</t>
  </si>
  <si>
    <t>000000001009C-AG</t>
  </si>
  <si>
    <t>REF. AGRUPAMENTO Nro. 000000001009 - PARC. 3 / 5 - DOC(S): 000000023950A/000000023958A/000000024014A/000000024114A/000000024115A/000000024172A/&lt;&lt;csq&gt;&gt;&lt;&lt;csq&gt;&gt;</t>
  </si>
  <si>
    <t>000000001009B-AG</t>
  </si>
  <si>
    <t>REF. AGRUPAMENTO Nro. 000000001009 - PARC. 2 / 5 - DOC(S): 000000023950A/000000023958A/000000024014A/000000024114A/000000024115A/000000024172A/000000024354A/000000024419A/000000024523A_x000D_Em 15/10/2024, ocorreu prorrogação do vencimento. Operador: 020_x000D_Vencimento Original: 30/09/2024 - Vr.Original: 988,00_x000D_Novo Vencimento    : 17/10/2024 - Novo Valor : 988,00_x000D_Juros alterado de 0,00 para 0,00 por motivo de prorrogação do vencimento._x000D__x000D_Em 08/11/2024, ocorreu prorrogação do vencimento. Operador: 020_x000D_Vencimento Original: 17/10/2024 - Vr.Original: 988,00_x000D_Novo Vencimento    : 22/11/2024 - Novo Valor : 988,00_x000D_Juros alterado de 0,00 para 0,00 por motivo de prorrogação do vencimento._x000D_ - PAGTO.PARCIAL - DTA. REC.: 19/05/2025 - VR. ORIGINAL: 988,00 - VR. PAGO: 201,90 - PAGTO.PARCIAL - DTA. REC.: 28/07/2025 - VR. ORIGINAL: 786,10 - VR. PAGO: 200,00 - PAGTO.PARCIAL - DTA. REC.: 18/08/2025 - VR. ORIGINAL: 586,10 - VR. PAGO: 200,00</t>
  </si>
  <si>
    <t>05000616-IVAN SILVA SANTOS</t>
  </si>
  <si>
    <t xml:space="preserve">TELEFONE(S):  (61)99269-1638 </t>
  </si>
  <si>
    <t>80006216-IVAN THIAGO FALCÃO RODRIGUES</t>
  </si>
  <si>
    <t>TELEFONE(S):   (61)98642-3343</t>
  </si>
  <si>
    <t>000000014139A-NF</t>
  </si>
  <si>
    <t>REF.DEV.: 000000014139-NF REF.DOC.: 000000051702-IF-006-23/04/2025 - PARC. 1/1&lt;&lt;csq&gt;&gt; - PAGTO.PARCIAL - DTA. REC.: 24/04/2025 - VR. ORIGINAL: -50,00 - VR. PAGO: -45,00</t>
  </si>
  <si>
    <t>80005329-IVM MATERIAIS PARA CONSTRUÇÃO LTDA</t>
  </si>
  <si>
    <t>TOT.DÉBITO: -12,32</t>
  </si>
  <si>
    <t>000000000644A-CC</t>
  </si>
  <si>
    <t>REF. LANC. CREDITO - CLIENTE: 80005329-IVM MATERIAIS PARA CONSTRUÇÃO LTDA</t>
  </si>
  <si>
    <t>05000605-IVO FERNANDES NERES</t>
  </si>
  <si>
    <t xml:space="preserve">TELEFONE(S):  (61)98305-9691 </t>
  </si>
  <si>
    <t>TOT.DÉBITO: -12,64</t>
  </si>
  <si>
    <t>000000005344A-NF</t>
  </si>
  <si>
    <t>REF.DEV.: 000000005344-NF REF.DOC.: 000000020331-IF-013-21/09/2023 - PARC. 1/1&lt;&lt;csq&gt;&gt; - PAGTO.PARCIAL - DTA. REC.: 14/10/2023 - VR. ORIGINAL: -41,86 - VR. PAGO: -30,00</t>
  </si>
  <si>
    <t>000000001537A-CC</t>
  </si>
  <si>
    <t>REF. LANC. CREDITO - CLIENTE: 05000605-IVO FERNANDES NERES</t>
  </si>
  <si>
    <t>04000276-J.A REFORMAS  IMOVEIS EIRELI ME</t>
  </si>
  <si>
    <t xml:space="preserve">TELEFONE(S): (61) 3401-2397 (61)99541-5980 </t>
  </si>
  <si>
    <t>TOT.DÉBITO: -20,99</t>
  </si>
  <si>
    <t>000000025112A-NF</t>
  </si>
  <si>
    <t>REF.DEV.: 000000025112-NF REF.DOC.: 000000025109-NF-004-13/09/2023 - PARC. 1/1&lt;&lt;csq&gt;&gt; - PAGTO.PARCIAL - DTA. REC.: 13/09/2023 - VR. ORIGINAL: -165,38 - VR. PAGO: -144,39</t>
  </si>
  <si>
    <t>80005026-J.T.B. DA COSTA - RECUPERADORA DE VEICULOS</t>
  </si>
  <si>
    <t>000000000877A-CC</t>
  </si>
  <si>
    <t>LANC. CRED. REF. A  - PAGTO.PARCIAL - DTA. REC.: 05/02/2026 - VR. ORIGINAL: -1.200,00 - VR. PAGO: -1.012,51</t>
  </si>
  <si>
    <t>00004250-JAELTO MONTEIRO DE FARIA</t>
  </si>
  <si>
    <t>TELEFONE(S): (61)98414-6014  (61)99435-2175</t>
  </si>
  <si>
    <t>TOT.DÉBITO: 1,18</t>
  </si>
  <si>
    <t>000000000445A-CC</t>
  </si>
  <si>
    <t>000000002865A-CC</t>
  </si>
  <si>
    <t>REF. LANC. CREDITO - CLIENTE: 00004250-JAELTO MONTEIRO DE FARIA</t>
  </si>
  <si>
    <t>000000039289A-IF</t>
  </si>
  <si>
    <t>REFERENTE A FATURAMENTO - PARC. 1/1&lt;&lt;csq&gt;&gt; - PAGTO.PARCIAL - DTA. REC.: 21/08/2025 - VR. ORIGINAL: 150,00 - VR. PAGO: 100,00 - PAGTO.PARCIAL - DTA. REC.: 21/08/2025 - VR. ORIGINAL: 150,00 - VR. PAGO: 48,00</t>
  </si>
  <si>
    <t>00001626-JAILSON ALVES</t>
  </si>
  <si>
    <t xml:space="preserve">TELEFONE(S): (61) 8428-2507  </t>
  </si>
  <si>
    <t>TOT.DÉBITO: -0,85</t>
  </si>
  <si>
    <t>05000315-JAIME DIAS DA SILVA</t>
  </si>
  <si>
    <t>TELEFONE(S):   (61)98449-2489</t>
  </si>
  <si>
    <t>000000003294A-CC</t>
  </si>
  <si>
    <t>REF. LANC. CREDITO - CLIENTE: 05000315-JAIME DIAS DA SILVA</t>
  </si>
  <si>
    <t>01000265-JAIR ALVES DA SILVA JUNIOR</t>
  </si>
  <si>
    <t>TELEFONE(S):   (61)98406-7405</t>
  </si>
  <si>
    <t>TOT.DÉBITO: -24,00</t>
  </si>
  <si>
    <t>000000000084A-CC</t>
  </si>
  <si>
    <t>LANC. CRED. REF. A  - PAGTO.PARCIAL - DTA. REC.: 01/02/2024 - VR. ORIGINAL: -58,00 - VR. PAGO: -34,00</t>
  </si>
  <si>
    <t>04000195-JAMILDO DE OLIVEIRA SILVA 34015019172</t>
  </si>
  <si>
    <t xml:space="preserve">TELEFONE(S): (61)98432-5748  </t>
  </si>
  <si>
    <t>TOT.DÉBITO: -1,29</t>
  </si>
  <si>
    <t>000000401660A-CC</t>
  </si>
  <si>
    <t>REF. LANC. CREDITO - CLIENTE: 04000195-JAMILDO DE OLIVEIRA SILVA 34015019172</t>
  </si>
  <si>
    <t>000000401726A-CC</t>
  </si>
  <si>
    <t>000000000390A-CC</t>
  </si>
  <si>
    <t>LANC. CRED. REF. A  - PAGTO.PARCIAL - DTA. REC.: 16/08/2023 - VR. ORIGINAL: -213,90 - VR. PAGO: -100,00 - PAGTO.PARCIAL - DTA. REC.: 16/08/2023 - VR. ORIGINAL: -113,90 - VR. PAGO: -113,70</t>
  </si>
  <si>
    <t>05000344-JAMILSON SILVA DE BARROS 04045876154</t>
  </si>
  <si>
    <t xml:space="preserve">TELEFONE(S):  (61)99595-7918 </t>
  </si>
  <si>
    <t>TOT.DÉBITO: 21,09</t>
  </si>
  <si>
    <t>001000001247A-AG</t>
  </si>
  <si>
    <t>REF. AGRUPAMENTO Nro. 001000001247 - PARC. 1 / 1 - DOC(S): 000000404832A/000000404977A - PAGTO.PARCIAL - DTA. REC.: 09/02/2022 - VR. ORIGINAL: 180,20 - VR. PAGO: 159,10</t>
  </si>
  <si>
    <t>11005539-JB EXCELENCIA EM CONSTRUCOES E PINTURAS LTDA</t>
  </si>
  <si>
    <t>TOT.DÉBITO: 7.275,71</t>
  </si>
  <si>
    <t>000000033489A-NF</t>
  </si>
  <si>
    <t>REF.DEV.: 000000033489-NF REF.DOC.: 000000032667-NF-009-15/05/2025 - PARC. 1/1&lt;&lt;csq&gt;&gt; - PAGTO.PARCIAL - DTA. REC.: 17/06/2025 - VR. ORIGINAL: -1.143,87 - VR. PAGO: -1.143,80</t>
  </si>
  <si>
    <t>000000032667B-NF</t>
  </si>
  <si>
    <t>000000034129A-NF</t>
  </si>
  <si>
    <t>000000032667C-NF</t>
  </si>
  <si>
    <t>000000034129B-NF</t>
  </si>
  <si>
    <t>04000229-JBM LANTERNAGEM E PINTURA</t>
  </si>
  <si>
    <t>TELEFONE(S):   (61)98486-8333</t>
  </si>
  <si>
    <t>TOT.DÉBITO: 261,40</t>
  </si>
  <si>
    <t>000000000208A-CH</t>
  </si>
  <si>
    <t>DTA.TIT: 15/01/2024, REF. A CHQ. No: 851288, AGE: 2912_x000D_ EMITENTE: JB LANTERNAGEM E PINTURA LTDA ME_x000D_ TELECHEQUE NÃO - PAGTO.PARCIAL - DTA. REC.: 10/10/2024 - VR. ORIGINAL: 485,00 - VR. PAGO: 223,60</t>
  </si>
  <si>
    <t>80004941-JEAN BRUNO VITAL DE JESUS</t>
  </si>
  <si>
    <t xml:space="preserve">TELEFONE(S): (61)99179-5548  </t>
  </si>
  <si>
    <t>TOT.DÉBITO: -18,98</t>
  </si>
  <si>
    <t>000000001521A-CC</t>
  </si>
  <si>
    <t>REF. LANC. CREDITO - CLIENTE: 80004941-JEAN BRUNO VITAL DE JESUS</t>
  </si>
  <si>
    <t>02000144-JEAN GILSON DE SOUZA E SILVA</t>
  </si>
  <si>
    <t xml:space="preserve">TELEFONE(S): (61)98469-7199  </t>
  </si>
  <si>
    <t>000000102940A-CC</t>
  </si>
  <si>
    <t>LANC. CRED. REF. A  - PAGTO.PARCIAL - DTA. REC.: 24/10/2023 - VR. ORIGINAL: -88,00 - VR. PAGO: -83,02</t>
  </si>
  <si>
    <t>80005403-JEAN MEIRELES</t>
  </si>
  <si>
    <t>000000001045A-CC</t>
  </si>
  <si>
    <t>REF. LANC. CREDITO - CLIENTE: 80005403-JEAN MEIRELES</t>
  </si>
  <si>
    <t>80005611-JEAN SERVIÇOS DE LANTERNAGEM E PINTURA LTDA</t>
  </si>
  <si>
    <t>TELEFONE(S): (38)98402-2185 (38)98402-2185 (38)98402-2185</t>
  </si>
  <si>
    <t>000000003059A-NF</t>
  </si>
  <si>
    <t>000000000908A-CC</t>
  </si>
  <si>
    <t>80005558-JECSAN RIBEIRO DA SILVA</t>
  </si>
  <si>
    <t>TELEFONE(S):   (61)99265-6549</t>
  </si>
  <si>
    <t>000000000537A-CC</t>
  </si>
  <si>
    <t>REF. LANC. CREDITO - CLIENTE: 80005558-JECSAN RIBEIRO DA SILVA</t>
  </si>
  <si>
    <t>000000000895A-CC</t>
  </si>
  <si>
    <t>06000242-JEFFET PEREIRA DE GODOI</t>
  </si>
  <si>
    <t>TELEFONE(S):  (62)99109-3462 (62)99109-3462</t>
  </si>
  <si>
    <t>000000002324A-CC</t>
  </si>
  <si>
    <t>REF. LANC. CREDITO - CLIENTE: 06000242-JEFFET PEREIRA DE GODOI</t>
  </si>
  <si>
    <t>LIM.CRÉDITO: 60.000,00</t>
  </si>
  <si>
    <t>80006042-JEREMY ALVES SILVA</t>
  </si>
  <si>
    <t>000000000591A-CC</t>
  </si>
  <si>
    <t>LANC. CRED. REF. A  - PAGTO.PARCIAL - DTA. REC.: 26/11/2025 - VR. ORIGINAL: -16,00 - VR. PAGO: -15,50</t>
  </si>
  <si>
    <t>00000452-JERONIMO DIAS</t>
  </si>
  <si>
    <t>TELEFONE(S): (61) 3376-6278  (61)99105-1575</t>
  </si>
  <si>
    <t>000000006070A-NF</t>
  </si>
  <si>
    <t>REF.DEV.: 000000006070-NF REF.DOC.: 000000023566-IF-013-06/02/2024 - PARC. 1/1&lt;&lt;csq&gt;&gt; - PAGTO.PARCIAL - DTA. REC.: 20/03/2024 - VR. ORIGINAL: -41,74 - VR. PAGO: -41,56</t>
  </si>
  <si>
    <t>00004297-JESAIAS LIMA DOS SANTOS SOUZA</t>
  </si>
  <si>
    <t xml:space="preserve">TELEFONE(S):  (61)98635-6434 </t>
  </si>
  <si>
    <t>LIM.CRÉDITO: 3.257,69</t>
  </si>
  <si>
    <t>TOT.DÉBITO: -0,67</t>
  </si>
  <si>
    <t>000000000028A-CC</t>
  </si>
  <si>
    <t>REF. LANC. CREDITO - CLIENTE: 00004297-JESAIAS LIMA DOS SANTOS SOUZA</t>
  </si>
  <si>
    <t>000000000812A-CC</t>
  </si>
  <si>
    <t>LANC. CRED. REF. A  - PAGTO.PARCIAL - DTA. REC.: 09/11/2022 - VR. ORIGINAL: -500,00 - VR. PAGO: -209,97 - PAGTO.PARCIAL - DTA. REC.: 10/11/2022 - VR. ORIGINAL: -290,03 - VR. PAGO: -290,00</t>
  </si>
  <si>
    <t>000000003207A-CC</t>
  </si>
  <si>
    <t>00003659-JHS COMERCIO DE TINTAS LTDA EPP</t>
  </si>
  <si>
    <t xml:space="preserve">TELEFONE(S): (61) 3358-5061  </t>
  </si>
  <si>
    <t>000000038580A-NF</t>
  </si>
  <si>
    <t>REF.DEV.: 000000038580-NF REF.DOC.: 000000038535-NF-009-19/11/2025 - PARC. 1/1&lt;&lt;csq&gt;&gt;</t>
  </si>
  <si>
    <t>000000038587A-NF</t>
  </si>
  <si>
    <t>02001133-JHT SP COMERCIO DE PRODUTOS E EQUIPAMENTOS ESPORTIVOS EIRELI</t>
  </si>
  <si>
    <t xml:space="preserve">TELEFONE(S): (61)98217-8822  </t>
  </si>
  <si>
    <t>000000017147A-NF</t>
  </si>
  <si>
    <t>REF.DEV.: 000000017147-NF REF.DOC.: 000000016972-NF-012-27/06/2025 - PARC. 1/1&lt;&lt;csq&gt;&gt;</t>
  </si>
  <si>
    <t>00004348-JK VIDROS E ESTRUTURAS DE ALUMINIO EIRELI ME</t>
  </si>
  <si>
    <t>TELEFONE(S):   (61)99314-3100</t>
  </si>
  <si>
    <t>TOT.DÉBITO: -20,40</t>
  </si>
  <si>
    <t>000000002811A-CC</t>
  </si>
  <si>
    <t>LANC. CRED. REF. A  - PAGTO.PARCIAL - DTA. REC.: 17/04/2025 - VR. ORIGINAL: -311,00 - VR. PAGO: -310,60 &lt;&lt;csq&gt;&gt; - DUPLICATA ESTORNADA: 17/04/2025 000000002811A - SEQ: 1 - ESP: CC - EMP: 008 - DTA. REC.: 17/04/2025 - VR. REC.: -310,60 - PAGTO.PARCIAL - DTA. REC.: 19/04/2025 - VR. ORIGINAL: -311,00 - VR. PAGO: -310,60 &lt;&lt;csq&gt;&gt; - DUPLICATA ESTORNADA: 19/04/2025 000000002811A - SEQ: 1 - ESP: CC - EMP: 008 - DTA. REC.: 19/04/2025 - VR. REC.: -310,60 - PAGTO.PARCIAL - DTA. REC.: 22/04/2025 - VR. ORIGINAL: -311,00 - VR. PAGO: -310,60</t>
  </si>
  <si>
    <t>000000000027A-CC</t>
  </si>
  <si>
    <t>REF. LANC. CREDITO - CLIENTE: 00004348-JK VIDROS E ESTRUTURAS DE ALUMINIO EIRELI ME</t>
  </si>
  <si>
    <t>80005447-JKR DISTRIBUIDORA LTDA</t>
  </si>
  <si>
    <t>TELEFONE(S):   (61) 9921-9961</t>
  </si>
  <si>
    <t>000000002247A-CC</t>
  </si>
  <si>
    <t>LANC. CRED. REF. A  - PAGTO.PARCIAL - DTA. REC.: 27/11/2024 - VR. ORIGINAL: -478,70 - VR. PAGO: -478,00</t>
  </si>
  <si>
    <t>11005562-JLSF MATERIAIS PARA CONSTRUCAO EIRELI-ME</t>
  </si>
  <si>
    <t xml:space="preserve">TELEFONE(S):  (61)93336-1123 </t>
  </si>
  <si>
    <t>000000038117C-NF</t>
  </si>
  <si>
    <t>000000039307B-NF</t>
  </si>
  <si>
    <t>00000136-JN ELETRONICA</t>
  </si>
  <si>
    <t xml:space="preserve">TELEFONE(S): (61) 3567-2790  </t>
  </si>
  <si>
    <t>TOT.DÉBITO: 241,83</t>
  </si>
  <si>
    <t>000000018825A-NF</t>
  </si>
  <si>
    <t>REF.DEV.: 000000018825-NF REF.DOC.: 000000037838-IF-001-29/11/2022 - PARC. 1/1&lt;&lt;csq&gt;&gt; - PAGTO.PARCIAL - DTA. REC.: 16/12/2022 - VR. ORIGINAL: -62,08 - VR. PAGO: -62,00</t>
  </si>
  <si>
    <t>000000020361A-NF</t>
  </si>
  <si>
    <t>REF.DEV.: 000000020361-NF REF.DOC.: 000000046263-IF-001-02/10/2023 - PARC. 1/1&lt;&lt;csq&gt;&gt;</t>
  </si>
  <si>
    <t>00004403-JOANA DARC VIEIRA DE FREITAS -ME</t>
  </si>
  <si>
    <t>TELEFONE(S): (61) 3567-9114 (61)98158-5586 (61)99307-7170</t>
  </si>
  <si>
    <t>000000001087A-CC</t>
  </si>
  <si>
    <t>REF. LANC. CREDITO - CLIENTE: 00004403-JOANA DARC VIEIRA DE FREITAS -ME</t>
  </si>
  <si>
    <t>000000001308A-CC</t>
  </si>
  <si>
    <t>LANC. CRED. REF. A  - PAGTO.PARCIAL - DTA. REC.: 07/04/2025 - VR. ORIGINAL: -983,29 - VR. PAGO: -981,00</t>
  </si>
  <si>
    <t>80006001-JOAO BATISTA CAVALHO</t>
  </si>
  <si>
    <t>TOT.DÉBITO: -0,23</t>
  </si>
  <si>
    <t>000000002318A-CC</t>
  </si>
  <si>
    <t>LANC. CRED. REF. A  - PAGTO.PARCIAL - DTA. REC.: 10/12/2024 - VR. ORIGINAL: -1.235,23 - VR. PAGO: -1.235,00</t>
  </si>
  <si>
    <t>80005460-JOÃO BATISTA PEREIRA DOS SANTOS</t>
  </si>
  <si>
    <t xml:space="preserve">TELEFONE(S): (61)98128-1234  </t>
  </si>
  <si>
    <t>REF. LANC. CREDITO - CLIENTE: 80005460-JOÃO BATISTA PEREIRA DOS SANTOS</t>
  </si>
  <si>
    <t>11004906-JOAO EDUARDO ALVES DE IRINEU</t>
  </si>
  <si>
    <t>TELEFONE(S):   (61)98340-8343</t>
  </si>
  <si>
    <t>000000101420A-CC</t>
  </si>
  <si>
    <t>REFERENTE AO PIX - PAGTO.PARCIAL - DTA. REC.: 07/06/2022 - VR. ORIGINAL: -145,02 - VR. PAGO: -145,00</t>
  </si>
  <si>
    <t>01000138-JOAO FRANCELINO DA SILVA 47584637515</t>
  </si>
  <si>
    <t xml:space="preserve">TELEFONE(S): (61)99621-3362  </t>
  </si>
  <si>
    <t>00000290-JOAO PEREIRA DE SANTANA</t>
  </si>
  <si>
    <t xml:space="preserve">TELEFONE(S): (61)99832-4417  </t>
  </si>
  <si>
    <t>TOT.DÉBITO: 298,13</t>
  </si>
  <si>
    <t>000000000170A-CC</t>
  </si>
  <si>
    <t>REF. LANC. CREDITO - CLIENTE: 00000290-JOAO PEREIRA DE SANTANA</t>
  </si>
  <si>
    <t>80005545-JOAQUIM BATISTA</t>
  </si>
  <si>
    <t>TELEFONE(S):   (61)99261-2147</t>
  </si>
  <si>
    <t>11006267-JOAQUIM DA SILVA SANTOS</t>
  </si>
  <si>
    <t xml:space="preserve">TELEFONE(S):  (61) 3465-5068 </t>
  </si>
  <si>
    <t>TOT.DÉBITO: -4,40</t>
  </si>
  <si>
    <t xml:space="preserve">REF. LANC. CREDITO - CLIENTE: 11006267-JOAQUIM DA SILVA SANTOS </t>
  </si>
  <si>
    <t>80006240-JOCELMO BEZERRA DA SILVA</t>
  </si>
  <si>
    <t xml:space="preserve">TELEFONE(S):  (61)99150-0330 </t>
  </si>
  <si>
    <t>000000003281A-CC</t>
  </si>
  <si>
    <t>REF. LANC. CREDITO - CLIENTE: 80006240-JOCELMO BEZERRA DA SILVA</t>
  </si>
  <si>
    <t>01000142-JORGE PINTO GUIMARAES</t>
  </si>
  <si>
    <t xml:space="preserve">TELEFONE(S): (61)98186-7464  </t>
  </si>
  <si>
    <t>TOT.DÉBITO: -0,16</t>
  </si>
  <si>
    <t>000000102670A-CC</t>
  </si>
  <si>
    <t>LANC. CRED. REF. A  - PAGTO.PARCIAL - DTA. REC.: 17/07/2023 - VR. ORIGINAL: -6,00 - VR. PAGO: -5,84</t>
  </si>
  <si>
    <t>00004675-JORGE SUGUIURA</t>
  </si>
  <si>
    <t>TELEFONE(S):   (61)99973-6407</t>
  </si>
  <si>
    <t>000000402309A-CC</t>
  </si>
  <si>
    <t>LANC. CRED. REF. A  - PAGTO.PARCIAL - DTA. REC.: 09/07/2024 - VR. ORIGINAL: -900,00 - VR. PAGO: -899,98</t>
  </si>
  <si>
    <t>000000402711A-CC</t>
  </si>
  <si>
    <t>REF. LANC. CREDITO - CLIENTE: 00004675-JORGE SUGUIURA</t>
  </si>
  <si>
    <t>03000129-JOSE ADAO RODRIGUES DARCIS</t>
  </si>
  <si>
    <t xml:space="preserve">TELEFONE(S): (61)98199-5841  </t>
  </si>
  <si>
    <t>TOT.DÉBITO: 826,73</t>
  </si>
  <si>
    <t>000000002692A-CC</t>
  </si>
  <si>
    <t>LANC. CRED. REF. A  - PAGTO.PARCIAL - DTA. REC.: 27/01/2026 - VR. ORIGINAL: -1.477,74 - VR. PAGO: -1.477,47</t>
  </si>
  <si>
    <t>05000270-JOSE ALEX SILVA FERREIRA</t>
  </si>
  <si>
    <t xml:space="preserve">TELEFONE(S):  (61) 9831-3820 </t>
  </si>
  <si>
    <t>TOT.DÉBITO: -0,76</t>
  </si>
  <si>
    <t>000000002311A-CC</t>
  </si>
  <si>
    <t>LANC. CRED. REF. A  - PAGTO.PARCIAL - DTA. REC.: 27/11/2024 - VR. ORIGINAL: -754,00 - VR. PAGO: -753,24</t>
  </si>
  <si>
    <t>06000120-JOSE CICERO RAMOS DOS SANTOS</t>
  </si>
  <si>
    <t xml:space="preserve">TELEFONE(S): (61)99501-4382 (61) 3628-2754 </t>
  </si>
  <si>
    <t>TOT.DÉBITO: -0,71</t>
  </si>
  <si>
    <t>000000601340A-CC</t>
  </si>
  <si>
    <t>REF. LANC. CREDITO - CLIENTE: 06000120-JOSE CICERO RAMOS DOS SANTOS</t>
  </si>
  <si>
    <t>000000601368A-CC</t>
  </si>
  <si>
    <t>REF. LANC. CREDITO - CLIENTE: 06000120-JOSE CICERO RAMOS DOS SANTOS - PAGTO.PARCIAL - DTA. REC.: 29/11/2025 - VR. ORIGINAL: -18,43 - VR. PAGO: -18,00</t>
  </si>
  <si>
    <t>00002708-JOSE CORREA DE MELO</t>
  </si>
  <si>
    <t>TELEFONE(S): (61) 9567-6300  (61) 9261-4555</t>
  </si>
  <si>
    <t>000000102838A-CC</t>
  </si>
  <si>
    <t>LANC. CRED. REF. A  - PAGTO.PARCIAL - DTA. REC.: 19/09/2023 - VR. ORIGINAL: -1.010,00 - VR. PAGO: -1.009,89</t>
  </si>
  <si>
    <t>00002011-JOSE DE RIBAMAR ALVES ROSENO</t>
  </si>
  <si>
    <t xml:space="preserve">TELEFONE(S): (61) 3022-2936  </t>
  </si>
  <si>
    <t>000000000194A-CC</t>
  </si>
  <si>
    <t>000000000444A-CC</t>
  </si>
  <si>
    <t>REF. LANC. CREDITO - CLIENTE: 00002011-JOSE DE RIBAMAR ALVES ROSENO</t>
  </si>
  <si>
    <t>000000000490A-CC</t>
  </si>
  <si>
    <t>00003906-JOSE DE RIBAMAR ALVES ROSENO</t>
  </si>
  <si>
    <t xml:space="preserve">TELEFONE(S): (61)99551-3897  </t>
  </si>
  <si>
    <t>TOT.DÉBITO: -7,00</t>
  </si>
  <si>
    <t>000000000001A-DV</t>
  </si>
  <si>
    <t>REF.DEV.: 000000000001-DV REF.DOC.: 000000000074-FF-014-06/07/2021 - PARC. 1/1&lt;&lt;csq&gt;&gt; - PAGTO.PARCIAL - DTA. REC.: 09/07/2021 - VR. ORIGINAL: -45,00 - VR. PAGO: -36,00 - PAGTO.PARCIAL - DTA. REC.: 13/07/2021 - VR. ORIGINAL: -9,00 - VR. PAGO: -2,00</t>
  </si>
  <si>
    <t>04000188-JOSE DONIZETE DA COSTA FONSECA</t>
  </si>
  <si>
    <t xml:space="preserve">TELEFONE(S): (61)98272-8518  </t>
  </si>
  <si>
    <t>TOT.DÉBITO: 7.432,57</t>
  </si>
  <si>
    <t>000000400001A-CH</t>
  </si>
  <si>
    <t>DTA.TIT: 16/12/2020, REF. A CHQ. No: 000029, AGE: 4406_x000D_ EMITENTE: JOSE DONIZETE DA COSTA FONSECA_x000D_ TELECHEQUE NÃO</t>
  </si>
  <si>
    <t>000000100203A-CH</t>
  </si>
  <si>
    <t>DTA.TIT: 02/02/2021, REF. A CHQ. No: 000031, AGE: 4406_x000D_ EMITENTE: JOSE DONIZETE DA COSTA FONSECA_x000D_ TELECHEQUE NÃO</t>
  </si>
  <si>
    <t>80005156-JOSE GERALDO VIEIRA DA SILVA</t>
  </si>
  <si>
    <t>TELEFONE(S):   (61)99977-7427</t>
  </si>
  <si>
    <t>000000000501A-CC</t>
  </si>
  <si>
    <t>LANC. CRED. REF. A  - PAGTO.PARCIAL - DTA. REC.: 05/04/2023 - VR. ORIGINAL: -350,00 - VR. PAGO: -249,50 - PAGTO.PARCIAL - DTA. REC.: 05/04/2023 - VR. ORIGINAL: -100,50 - VR. PAGO: -100,00</t>
  </si>
  <si>
    <t>00003424-JOSE GUEDES DA COSTA SOBRINHO</t>
  </si>
  <si>
    <t>TELEFONE(S): (61) 3622-3406  (61) 9677-7241</t>
  </si>
  <si>
    <t>TOT.DÉBITO: 172,00</t>
  </si>
  <si>
    <t>000000000003A-CC</t>
  </si>
  <si>
    <t>000000000265A-AG</t>
  </si>
  <si>
    <t>REF. AGRUPAMENTO Nro. 000000000265 - PARC. 1 / 1 - DOC(S): 000000000564A - PAGTO.PARCIAL - DTA. REC.: 25/11/2021 - VR. ORIGINAL: 540,00 - VR. PAGO: 344,00</t>
  </si>
  <si>
    <t>02000897-JOSE JUNIOR DE OLIVEIRA AMORIM</t>
  </si>
  <si>
    <t xml:space="preserve">TELEFONE(S): (61)99977-7777  </t>
  </si>
  <si>
    <t>000000001533A-NF</t>
  </si>
  <si>
    <t>REF.DEV.: 000000001533-NF REF.DOC.: 000000001530-NF-014-07/10/2021 - PARC. 1/1&lt;&lt;csq&gt;&gt; - PAGTO.PARCIAL - DTA. REC.: 08/10/2021 - VR. ORIGINAL: -32,90 - VR. PAGO: -30,90</t>
  </si>
  <si>
    <t>06000060-JOSÉ MARCOS DA COSTA BARBOSA</t>
  </si>
  <si>
    <t xml:space="preserve">TELEFONE(S):  (61)99804-8558 </t>
  </si>
  <si>
    <t>000000601398A-CC</t>
  </si>
  <si>
    <t>REF. LANC. CREDITO - CLIENTE: 06000060-JOSÉ MARCOS DA COSTA BARBOSA</t>
  </si>
  <si>
    <t>000000601407A-CC</t>
  </si>
  <si>
    <t>00004321-JOSE MARTINS DA SILVA</t>
  </si>
  <si>
    <t xml:space="preserve">TELEFONE(S): (61)99604-1538  </t>
  </si>
  <si>
    <t>000000401444A-CC</t>
  </si>
  <si>
    <t>LANC. CRED. REF. A  - PIX - PAGTO.PARCIAL - DTA. REC.: 22/07/2022 - VR. ORIGINAL: -32,00 - VR. PAGO: -31,30</t>
  </si>
  <si>
    <t>00004660-JOSE NOVALDO SILVA</t>
  </si>
  <si>
    <t>TELEFONE(S): (61) 3967-1139  (61) 9992-2633</t>
  </si>
  <si>
    <t>TOT.DÉBITO: 2.443,05</t>
  </si>
  <si>
    <t>001000001110A-AG</t>
  </si>
  <si>
    <t>REF. AGRUPAMENTO Nro. 001000001110 - PARC. 1 / 1 - DOC(S): 000000113021A/000000113062A/000000113068A/000000113090A/000000113098A/000000113135A/000000113142A/000000113146A/000000113342A/000000113353A/000000113354A/000000113372A/000000113374A/000000113407A/000000113414A/000000113434A/000000113447A/000000113469A - PAGTO.PARCIAL - DTA. REC.: 28/06/2021 - VR. ORIGINAL: 3.555,03 - VR. PAGO: 1.993,05 - PAGTO.PARCIAL - DTA. REC.: 27/09/2021 - VR. ORIGINAL: 3.555,03 - VR. PAGO: 300,00</t>
  </si>
  <si>
    <t>001000001151A-AG</t>
  </si>
  <si>
    <t>REF. AGRUPAMENTO Nro. 001000001151 - PARC. 1 / 1 - DOC(S): 000000113516A/000000113527A/000000113539A/000000113569A/000000113587A/000000113606A/000000113641A</t>
  </si>
  <si>
    <t>000000002070A-CC</t>
  </si>
  <si>
    <t>LANC. CRED. REF. A  - PAGTO.PARCIAL - DTA. REC.: 30/09/2025 - VR. ORIGINAL: -93,00 - VR. PAGO: -92,76</t>
  </si>
  <si>
    <t>00000040-JOSE RONALDO FRUTUOSO</t>
  </si>
  <si>
    <t xml:space="preserve">TELEFONE(S): (62) 9170-6050  </t>
  </si>
  <si>
    <t>REF. LANC. CREDITO - CLIENTE: 00000040-JOSE RONALDO FRUTUOSO</t>
  </si>
  <si>
    <t>00002693-JOSE WALLASTON DE MENDONCA</t>
  </si>
  <si>
    <t>TELEFONE(S): (61) 3245-1250  (61)98001-1292</t>
  </si>
  <si>
    <t>000000001740A-CC</t>
  </si>
  <si>
    <t>LANC. CRED. REF. A  - PAGTO.PARCIAL - DTA. REC.: 23/06/2025 - VR. ORIGINAL: -1.600,00 - VR. PAGO: -1.482,38</t>
  </si>
  <si>
    <t>80004957-JOSELITO DA FONSECA</t>
  </si>
  <si>
    <t xml:space="preserve">TELEFONE(S): (61)99612-7340  </t>
  </si>
  <si>
    <t>REF. LANC. CREDITO - CLIENTE: 80004957-JOSELITO DA FONSECA</t>
  </si>
  <si>
    <t>00002593-JOSIMAR GOMES DE GODOI</t>
  </si>
  <si>
    <t>TELEFONE(S):   (61)99183-8443</t>
  </si>
  <si>
    <t>TOT.DÉBITO: -9,90</t>
  </si>
  <si>
    <t>000000023964A-NF</t>
  </si>
  <si>
    <t>REF.DEV.: 000000023964-NF REF.DOC.: 000000009310-IF-004-14/04/2023 - PARC. 1/1&lt;&lt;csq&gt;&gt; - PAGTO.PARCIAL - DTA. REC.: 22/04/2023 - VR. ORIGINAL: -49,90 - VR. PAGO: -40,00</t>
  </si>
  <si>
    <t>02000881-JOSINALDO RODRIGUES COSTA</t>
  </si>
  <si>
    <t xml:space="preserve">TELEFONE(S): (61) 3245-2548 (61) 3245-2385 </t>
  </si>
  <si>
    <t>TOT.DÉBITO: -4,87</t>
  </si>
  <si>
    <t>000000000777A-CC</t>
  </si>
  <si>
    <t>REF. LANC. CREDITO - CLIENTE: 02000881-JOSINALDO RODRIGUES COSTA</t>
  </si>
  <si>
    <t>80005301-JOSUE HOLANDA BARROS</t>
  </si>
  <si>
    <t>TELEFONE(S):  (61)99141-9855 (61)99141-9855</t>
  </si>
  <si>
    <t>TOT.DÉBITO: -27,04</t>
  </si>
  <si>
    <t>000000001406A-NF</t>
  </si>
  <si>
    <t>REF.DEV.: 000000001406-NF REF.DOC.: 000000017717-IF-016-18/07/2025 - PARC. 1/1&lt;&lt;csq&gt;&gt; - PAGTO.PARCIAL - DTA. REC.: 30/07/2025 - VR. ORIGINAL: -20,14 - VR. PAGO: -17,00</t>
  </si>
  <si>
    <t>REF. LANC. CREDITO - CLIENTE: 80005301-JOSUE HOLANDA BARROS</t>
  </si>
  <si>
    <t>11005081-JOZIEL DIAS DE MATOS 92672256187</t>
  </si>
  <si>
    <t>TOT.DÉBITO: -88,14</t>
  </si>
  <si>
    <t>000000000134A-CC</t>
  </si>
  <si>
    <t>REF. LANC. CREDITO - CLIENTE: 11005081-JOZIEL DIAS DE MATOS 92672256187</t>
  </si>
  <si>
    <t>000000000156A-CC</t>
  </si>
  <si>
    <t>11005303-JPW CENTRO AUTOMOTIVO LTDA</t>
  </si>
  <si>
    <t>TELEFONE(S):  (61)99234-0902 (61) 8409-9071</t>
  </si>
  <si>
    <t>000000035410A-NF</t>
  </si>
  <si>
    <t>REF.DEV.: 000000035410-NF REF.DOC.: 000000035364-NF-009-14/08/2025 - PARC. 1/1&lt;&lt;csq&gt;&gt; - PAGTO.PARCIAL - DTA. REC.: 19/08/2025 - VR. ORIGINAL: -681,99 - VR. PAGO: -620,91</t>
  </si>
  <si>
    <t>80005212-JUAREZ DA SILVA ROSA</t>
  </si>
  <si>
    <t>TELEFONE(S):   (61)99459-6581</t>
  </si>
  <si>
    <t>TOT.DÉBITO: -0,65</t>
  </si>
  <si>
    <t>000000001271A-CC</t>
  </si>
  <si>
    <t>REF. LANC. CREDITO - CLIENTE: 80005212-JUAREZ DA SILVA ROSA</t>
  </si>
  <si>
    <t>000000001323A-CC</t>
  </si>
  <si>
    <t>000000000847A-CC</t>
  </si>
  <si>
    <t>05000684-JULIO CESAR DOS SANTOS RODRIGUES</t>
  </si>
  <si>
    <t xml:space="preserve">TELEFONE(S):  (61)98654-2596 </t>
  </si>
  <si>
    <t>000000009339A-NF</t>
  </si>
  <si>
    <t>04000288-JULIO PEDRO CAIXETA</t>
  </si>
  <si>
    <t>TELEFONE(S):   (61)99935-1899</t>
  </si>
  <si>
    <t>TOT.DÉBITO: -3,51</t>
  </si>
  <si>
    <t>000000401602A-CC</t>
  </si>
  <si>
    <t>REF. LANC. CREDITO - CLIENTE: 04000288-JULIO PEDRO CAIXETA</t>
  </si>
  <si>
    <t>06000038-JUNIOR MARTELINHO DE OURO</t>
  </si>
  <si>
    <t xml:space="preserve">TELEFONE(S): (61)99135-4936  </t>
  </si>
  <si>
    <t>TOT.DÉBITO: 1.552,69</t>
  </si>
  <si>
    <t>000000049589A-IF</t>
  </si>
  <si>
    <t>000000049562A-IF</t>
  </si>
  <si>
    <t>REFERENTE A FATURAMENTO - PARC. 1/1&lt;&lt;csq&gt;&gt; - PAGTO.PARCIAL - DTA. REC.: 04/12/2024 - VR. ORIGINAL: 236,50 - VR. PAGO: 157,44</t>
  </si>
  <si>
    <t>000000049713A-IF</t>
  </si>
  <si>
    <t>000000049723A-IF</t>
  </si>
  <si>
    <t>000000049728A-IF</t>
  </si>
  <si>
    <t>000000049730A-IF</t>
  </si>
  <si>
    <t>000000049818A-IF</t>
  </si>
  <si>
    <t>000000049703A-IF</t>
  </si>
  <si>
    <t>REFERENTE A FATURAMENTO - PARC. 1/1&lt;&lt;csq&gt;&gt; - PAGTO.PARCIAL - DTA. REC.: 17/01/2025 - VR. ORIGINAL: 722,73 - VR. PAGO: 296,16 &lt;&lt;csq&gt;&gt; - DUPLICATA ESTORNADA: 20/01/2025 000000049703A - SEQ: 1 - ESP: IF - EMP: 006 - DTA. REC.: 17/01/2025 - VR. REC.: 296,16</t>
  </si>
  <si>
    <t>000000014661A-NF</t>
  </si>
  <si>
    <t>REF.DEV.: 000000014661-NF REF.DOC.: 000000053924-IF-006-23/09/2025 - PARC. 1/1&lt;&lt;csq&gt;&gt; - PAGTO.PARCIAL - DTA. REC.: 23/09/2025 - VR. ORIGINAL: -7,98 - VR. PAGO: -7,80</t>
  </si>
  <si>
    <t>000000601370A-CC</t>
  </si>
  <si>
    <t>REF. LANC. CREDITO - CLIENTE: 06000038-JUNIOR MARTELINHO DE OURO - PAGTO.PARCIAL - DTA. REC.: 09/12/2025 - VR. ORIGINAL: -65,00 - VR. PAGO: -63,00</t>
  </si>
  <si>
    <t>05000337-JUNIOR'S CAR PINTURAS AUTOMOTIVAS PERSONALIZADAS LTDA</t>
  </si>
  <si>
    <t>TOT.DÉBITO: 6.475,09</t>
  </si>
  <si>
    <t>001000000880A-AG</t>
  </si>
  <si>
    <t>REF. AGRUPAMENTO Nro. 001000000880 - PARC. 1 / 1 - DOC(S): 000000002864A/000000002865A/000000002872A/000000002881A/000000002888A/000000002896A/000000002904A/000000002917A/000000002926A/000000002929A/000000002932A/000000002977A/000000002993A/000000002997A - PAGTO.PARCIAL - DTA. REC.: 16/08/2022 - VR. ORIGINAL: 7.258,36 - VR. PAGO: 27,38 - PAGTO.PARCIAL - DTA. REC.: 31/08/2022 - VR. ORIGINAL: 7.258,36 - VR. PAGO: 3.500,00 - PAGTO.PARCIAL - DTA. REC.: 31/08/2022 - VR. ORIGINAL: 7.258,36 - VR. PAGO: 9,38 - PAGTO.PARCIAL - DTA. REC.: 04/11/2022 - VR. ORIGINAL: 7.258,36 - VR. PAGO: 1.000,00 - PAGTO.PARCIAL - DTA. REC.: 25/11/2022 - VR. ORIGINAL: 7.258,36 - VR. PAGO: 1.000,00</t>
  </si>
  <si>
    <t>001000000900A-AG</t>
  </si>
  <si>
    <t>REF. AGRUPAMENTO Nro. 001000000900 - PARC. 1 / 1 - DOC(S): 000000003080A/000000003082A/000000003085A/000000003105A/000000003116A/000000003153A/000000003161A/000000003168A/000000003178A/000000003229A</t>
  </si>
  <si>
    <t>05000413-JURACI PEREIRA FONTENELO</t>
  </si>
  <si>
    <t>000000000031A-CC</t>
  </si>
  <si>
    <t>80005380-JURANDIR SOUSA BARBOSA DE ARRUDA</t>
  </si>
  <si>
    <t xml:space="preserve">TELEFONE(S):  (61)99266-6509 </t>
  </si>
  <si>
    <t>000000000894A-CC</t>
  </si>
  <si>
    <t>80005492-JUSSIVAN DOS SANTOS DE MACEDO</t>
  </si>
  <si>
    <t>TELEFONE(S):   (61)00000-0000</t>
  </si>
  <si>
    <t>000000031751A-NF</t>
  </si>
  <si>
    <t>11005258-JW COMERCIO DE COSMETICOS PERFUMARIA E ACESSORIOS LTDA</t>
  </si>
  <si>
    <t xml:space="preserve">TELEFONE(S): (61)99853-7403  </t>
  </si>
  <si>
    <t>REF. LANC. CREDITO - CLIENTE: 11005258-JW COMERCIO DE COSMETICOS PERFUMARIA E ACESSORIOS LTDA</t>
  </si>
  <si>
    <t>11004968-KAMALEAO TINTAS AUTOMOTIVAS LTDA</t>
  </si>
  <si>
    <t xml:space="preserve">TELEFONE(S): (61) 3631-2562  </t>
  </si>
  <si>
    <t>TOT.DÉBITO: 12.421,54</t>
  </si>
  <si>
    <t>000000015763F-NF</t>
  </si>
  <si>
    <t>REFERENTE A FATURAMENTO - PARC. 6/7&lt;&lt;csq&gt;&gt; - PAGTO.PARCIAL - DTA. REC.: 27/09/2023 - VR. ORIGINAL: 650,16 - VR. PAGO: 124,33</t>
  </si>
  <si>
    <t>000000015929C-NF</t>
  </si>
  <si>
    <t>000000015763G-NF</t>
  </si>
  <si>
    <t>REFERENTE A FATURAMENTO - PARC. 7/7&lt;&lt;csq&gt;&gt;</t>
  </si>
  <si>
    <t>000000015929D-NF</t>
  </si>
  <si>
    <t>000000015929E-NF</t>
  </si>
  <si>
    <t>02000989-KELVI GALVAO DE OLIVEIRA</t>
  </si>
  <si>
    <t>TELEFONE(S):   (61)98461-1721</t>
  </si>
  <si>
    <t>TOT.DÉBITO: 243,17</t>
  </si>
  <si>
    <t>000000000433A-CC</t>
  </si>
  <si>
    <t>REF. LANC. CREDITO - CLIENTE: 02000989-KELVI GALVAO DE OLIVEIRA</t>
  </si>
  <si>
    <t>000000017705A-IF</t>
  </si>
  <si>
    <t>REFERENTE A FATURAMENTO - PARC. 1/1&lt;&lt;csq&gt;&gt; - PAGTO.PARCIAL - DTA. REC.: 20/01/2025 - VR. ORIGINAL: 677,79 - VR. PAGO: 343,00 - PAGTO.PARCIAL - DTA. REC.: 03/02/2025 - VR. ORIGINAL: 677,79 - VR. PAGO: 89,52</t>
  </si>
  <si>
    <t>01000054-KITRATO SERVIÇOS E ACESSO AUTO LTDA ME</t>
  </si>
  <si>
    <t xml:space="preserve">TELEFONE(S): (61)99557-3720  </t>
  </si>
  <si>
    <t>TOT.DÉBITO: -66,40</t>
  </si>
  <si>
    <t>000000015891A-NF</t>
  </si>
  <si>
    <t>REF.DEV.: 000000015891-NF REF.DOC.: 000000015887-NF-001-23/10/2021 - PARC. 1/1&lt;&lt;csq&gt;&gt; - PAGTO.PARCIAL - DTA. REC.: 26/10/2021 - VR. ORIGINAL: -13,00 - VR. PAGO: -11,70 - PAGTO.PARCIAL - DTA. REC.: 06/12/2021 - VR. ORIGINAL: -1,30 - VR. PAGO: -0,90</t>
  </si>
  <si>
    <t>000000102077A-CC</t>
  </si>
  <si>
    <t>LANC. CRED. REF. A  - PAGTO.PARCIAL - DTA. REC.: 01/12/2022 - VR. ORIGINAL: -200,00 - VR. PAGO: -134,00</t>
  </si>
  <si>
    <t>80005001-KLEBER FERNANDES C OLIVEIRA</t>
  </si>
  <si>
    <t>TELEFONE(S):  (61)99850-5639 (61)99850-5639</t>
  </si>
  <si>
    <t>LIM.CRÉDITO: 15.500,00</t>
  </si>
  <si>
    <t>000000000114A-CH</t>
  </si>
  <si>
    <t>DTA.TIT: 26/11/2022, REF. A CHQ. No: UA-000136, AGE: 4356_x000D_ EMITENTE: KLEBER FERNANDES C OLIVEIRA_x000D_ TELECHEQUE NÃO</t>
  </si>
  <si>
    <t>000000001866A-NF</t>
  </si>
  <si>
    <t>000000000289A-AG</t>
  </si>
  <si>
    <t>REF. AGRUPAMENTO Nro. 000000000289 - PARC. 1 / 1 - DOC(S): 000000005699A/000000005711A/000000005717A/000000005726A/000000005749A/000000005758A/000000005759A/000000005780A/000000005791A/000000005811A/000000005827A - PAGTO.PARCIAL - DTA. REC.: 11/05/2023 - VR. ORIGINAL: 5.711,15 - VR. PAGO: 500,00 - PAGTO.PARCIAL - DTA. REC.: 18/05/2023 - VR. ORIGINAL: 5.711,15 - VR. PAGO: 500,00 - PAGTO.PARCIAL - DTA. REC.: 19/06/2023 - VR. ORIGINAL: 5.711,15 - VR. PAGO: 1.000,00</t>
  </si>
  <si>
    <t>000000000121A-CH</t>
  </si>
  <si>
    <t>DTA.TIT: 24/03/2023, REF. A CHQ. No: UA-000150, AGE: 4356_x000D_ EMITENTE: KLEBER FERNANDES C OLIVEIRA_x000D_ TELECHEQUE NÃO</t>
  </si>
  <si>
    <t>000000000122A-CH</t>
  </si>
  <si>
    <t>DTA.TIT: 25/01/2023, REF. A CHQ. No: UA-000172, AGE: 4356_x000D_ EMITENTE: KLEBER FERNANDES C OLIVEIRA_x000D_ TELECHEQUE NÃO</t>
  </si>
  <si>
    <t>000000000123A-CH</t>
  </si>
  <si>
    <t>DTA.TIT: 24/02/2023, REF. A CHQ. No: UA-000179, AGE: 4356_x000D_ EMITENTE: KLEBER FERNANDES C OLIVEIRA_x000D_ TELECHEQUE NÃO</t>
  </si>
  <si>
    <t>000000000129A-CH</t>
  </si>
  <si>
    <t>DTA.TIT: 24/03/2023, REF. A CHQ. No: UA-000149, AGE: 4356_x000D_ EMITENTE: KLEBER FERNANDES C OLIVEIRA_x000D_ TELECHEQUE NÃO</t>
  </si>
  <si>
    <t>000000000132A-CH</t>
  </si>
  <si>
    <t>DTA.TIT: 24/02/2023, REF. A CHQ. No: UA-000180, AGE: 4356_x000D_ EMITENTE: KLEBER FERNANDES C OLIVEIRA_x000D_ TELECHEQUE NÃO</t>
  </si>
  <si>
    <t>000000000141A-CH</t>
  </si>
  <si>
    <t>DTA.TIT: 24/03/2023, REF. A CHQ. No: UA-000154, AGE: 4356_x000D_ EMITENTE: KLEBER FERNANDES C OLIVEIRA_x000D_ TELECHEQUE NÃO</t>
  </si>
  <si>
    <t>000000000142A-CH</t>
  </si>
  <si>
    <t>DTA.TIT: 24/02/2023, REF. A CHQ. No: UA-000177, AGE: 4356_x000D_ EMITENTE: KLEBER FERNANDES C OLIVEIRA_x000D_ TELECHEQUE NÃO</t>
  </si>
  <si>
    <t>05000571-KM CENTRO AUTOMOTIVO E VEICULOS LTDA</t>
  </si>
  <si>
    <t>TELEFONE(S):  (61) 3397-5755 (61)98505-7209</t>
  </si>
  <si>
    <t>TOT.DÉBITO: 13.519,64</t>
  </si>
  <si>
    <t>000000002775A-CC</t>
  </si>
  <si>
    <t>REF. LANC. CREDITO - CLIENTE: 05000571-KM CENTRO AUTOMOTIVO E VEICULOS LTDA</t>
  </si>
  <si>
    <t>001000001473C-AG</t>
  </si>
  <si>
    <t>REF. AGRUPAMENTO Nro. 001000001473 - PARC. 3 / 5 - DOC(S): 000000012311A/000000012381A/000000012382A/000000012387A/000000012413A/000000012416A/000000012428A/000000012429A/000000012467A/000000012521A/000000012523A/000000012525A/000000012540A/000000012542A/000000012557A/000000012560A/000000012562A/000000012593A/000000012597A/000000012609A/000000012620A/000000012621A/000000012650A/000000012673A/000000012705A/000000012706A</t>
  </si>
  <si>
    <t>001000001499A-AG</t>
  </si>
  <si>
    <t>REF. AGRUPAMENTO Nro. 001000001499 - PARC. 1 / 3 - DOC(S): 000000013092A/000000013095A/000000013116A/000000013143A/000000013149A/000000013151A/000000013154A/000000013157A/000000013158A/000000013160A/000000013181A/000000013202A/000000013214A/000000013243A/000000013263A/000000013295A/000000013296A/000000013300A/000000013311A/000000013316A/000000013324A/000000013325A/000000013326A/000000013351A/000000013359A/000000013360A/000000013388A/000000013394A/000000013399A/000000013431A/000000013434A</t>
  </si>
  <si>
    <t>001000001486C-AG</t>
  </si>
  <si>
    <t>REF. AGRUPAMENTO Nro. 001000001486 - PARC. 3 / 3 - DOC(S): 000000012712A/000000012718A/000000012720A/000000012731A/000000012732A/000000012740A/000000012744A/000000012778A/000000012779A/000000012780A/000000012783A/000000012803A/000000012857A/000000012860A/000000012866A/000000012867A/000000012886A/000000012893A/000000012984A/000000013001A/000000013023A/000000013025A/000000013035A/000000013037A/000000013038A/000000013055A</t>
  </si>
  <si>
    <t>001000001514A-AG</t>
  </si>
  <si>
    <t>REF. AGRUPAMENTO Nro. 001000001514 - PARC. 1 / 3 - DOC(S): 000000013445A/000000013468A/000000013473A/000000013481A/000000013504A/000000013516A/000000013527A/000000013551A/000000013567A/000000013568A/000000013655A/000000013659A/000000013673A/000000013680A</t>
  </si>
  <si>
    <t>001000001473D-AG</t>
  </si>
  <si>
    <t>REF. AGRUPAMENTO Nro. 001000001473 - PARC. 4 / 5 - DOC(S): 000000012311A/000000012381A/000000012382A/000000012387A/000000012413A/000000012416A/000000012428A/000000012429A/000000012467A/000000012521A/000000012523A/000000012525A/000000012540A/000000012542A/000000012557A/000000012560A/000000012562A/000000012593A/000000012597A/000000012609A/000000012620A/000000012621A/000000012650A/000000012673A/000000012705A/000000012706A</t>
  </si>
  <si>
    <t>001000001499B-AG</t>
  </si>
  <si>
    <t>REF. AGRUPAMENTO Nro. 001000001499 - PARC. 2 / 3 - DOC(S): 000000013092A/000000013095A/000000013116A/000000013143A/000000013149A/000000013151A/000000013154A/000000013157A/000000013158A/000000013160A/000000013181A/000000013202A/000000013214A/000000013243A/000000013263A/000000013295A/000000013296A/000000013300A/000000013311A/000000013316A/000000013324A/000000013325A/000000013326A/000000013351A/000000013359A/000000013360A/000000013388A/000000013394A/000000013399A/000000013431A/000000013434A</t>
  </si>
  <si>
    <t>001000001528A-AG</t>
  </si>
  <si>
    <t>REF. AGRUPAMENTO Nro. 001000001528 - PARC. 1 / 3 - DOC(S): 000000013827A/000000013840A/000000013847A/000000013854A/000000013862A/000000013874A/000000013877A/000000013892A/000000013894A/000000013929A/000000013935A/000000013970A/000000013976A/000000014035A/000000014038A</t>
  </si>
  <si>
    <t>00004932-KMLUB SUPER TROCA DE OLEO</t>
  </si>
  <si>
    <t xml:space="preserve">TELEFONE(S): (61)99639-1080  </t>
  </si>
  <si>
    <t>LIM.CRÉDITO: 1.530,00</t>
  </si>
  <si>
    <t>TOT.DÉBITO: 129,62</t>
  </si>
  <si>
    <t>000000000552A-AG</t>
  </si>
  <si>
    <t>REF. AGRUPAMENTO Nro. 000000000552 - PARC. 1 / 1 - DOC(S): 000000000713A/000000000761A</t>
  </si>
  <si>
    <t>80005207-KSILVERMANN FUNILARIA AUTOPAINT LTDA</t>
  </si>
  <si>
    <t>TELEFONE(S): (61) 3465-2105 (61)99278-5263 (61)99669-7464</t>
  </si>
  <si>
    <t>02000810-KUSTOMIZE RESTAURADORA VEICULOS ANTIGOS</t>
  </si>
  <si>
    <t xml:space="preserve">TELEFONE(S): (61) 3702-1111  </t>
  </si>
  <si>
    <t>TOT.DÉBITO: 544,00</t>
  </si>
  <si>
    <t>000000005705A-IF</t>
  </si>
  <si>
    <t>02001195-KYOTO COMERCIO DE VEICULOS LTDA</t>
  </si>
  <si>
    <t xml:space="preserve">TELEFONE(S): (61) 2103-5900  </t>
  </si>
  <si>
    <t>TOT.DÉBITO: -4,11</t>
  </si>
  <si>
    <t>000000014162A-NF</t>
  </si>
  <si>
    <t>REF.DEV.: 000000014162-NF REF.DOC.: 000000014107-NF-014-17/01/2024 - PARC. 1/1&lt;&lt;csq&gt;&gt; - PAGTO.PARCIAL - DTA. REC.: 25/03/2024 - VR. ORIGINAL: -224,24 - VR. PAGO: -220,13</t>
  </si>
  <si>
    <t>80005807-L A PEREIRA PEÇAS E SERVIÇOS PARA MOTOS</t>
  </si>
  <si>
    <t>000000000347A-CC</t>
  </si>
  <si>
    <t>LANC. CRED. REF. A  - PAGTO.PARCIAL - DTA. REC.: 29/09/2025 - VR. ORIGINAL: -146,00 - VR. PAGO: -136,00</t>
  </si>
  <si>
    <t>02000733-L V M DE SOUZA SERVICOS DE LANTERNAGEM MECANICA E GUINHO</t>
  </si>
  <si>
    <t>TELEFONE(S):  (61) 9300-5488 (61) 9112-7827</t>
  </si>
  <si>
    <t>11005672-L&amp;R COMERCIO DE TINTAS LTDA</t>
  </si>
  <si>
    <t xml:space="preserve">TELEFONE(S):  (61)99912-0656 </t>
  </si>
  <si>
    <t>11005509-L. A. LOPES &amp; J. P. DE SOUSA LTDA</t>
  </si>
  <si>
    <t>TELEFONE(S):  (61)99407-9689 (61)99407-9689</t>
  </si>
  <si>
    <t>TOT.DÉBITO: -530,51</t>
  </si>
  <si>
    <t>000000000162A-CC</t>
  </si>
  <si>
    <t>00002276-LAGO SUL TINTAS LTDA EPP</t>
  </si>
  <si>
    <t xml:space="preserve">TELEFONE(S): (61) 3248-2742  </t>
  </si>
  <si>
    <t>TOT.DÉBITO: -99,02</t>
  </si>
  <si>
    <t>000000032051A-NF</t>
  </si>
  <si>
    <t>REF.DEV.: 000000032051-NF REF.DOC.: 000000031251-NF-009-24/03/2025 - PARC. 1/1&lt;&lt;csq&gt;&gt; - PAGTO.PARCIAL - DTA. REC.: 24/04/2025 - VR. ORIGINAL: -338,78 - VR. PAGO: -239,76</t>
  </si>
  <si>
    <t>00000236-LANDERSON  SERVICOS E PECA PARA AUTOS LTDA</t>
  </si>
  <si>
    <t>TELEFONE(S):   (61) 9649-7624</t>
  </si>
  <si>
    <t>TOT.DÉBITO: 444,91</t>
  </si>
  <si>
    <t>000000000888A-AG</t>
  </si>
  <si>
    <t>REF. AGRUPAMENTO Nro. 000000000888 - PARC. 1 / 1 - DOC(S): 000000000021A/000000000042A/000000000089A</t>
  </si>
  <si>
    <t>01000157-LANTERNAGEM BRASILIA COM. PEÇAS E SERV. AUTOMOTIVOS EIRELI</t>
  </si>
  <si>
    <t xml:space="preserve">TELEFONE(S): (61) 3972-2121  </t>
  </si>
  <si>
    <t>000000101822A-CC</t>
  </si>
  <si>
    <t>LANC. CRED. REF. A  - PAGTO.PARCIAL - DTA. REC.: 15/08/2022 - VR. ORIGINAL: -849,70 - VR. PAGO: -834,70 - PAGTO.PARCIAL - DTA. REC.: 17/08/2022 - VR. ORIGINAL: -15,00 - VR. PAGO: -12,37</t>
  </si>
  <si>
    <t>000000000423A-CC</t>
  </si>
  <si>
    <t>REF. LANC. CREDITO - CLIENTE: 01000157-LANTERNAGEM BRASILIA COM. PEÇAS E SERV. AUTOMOTIVOS EIRELI</t>
  </si>
  <si>
    <t>000000019225A-IF</t>
  </si>
  <si>
    <t>000000019285A-IF</t>
  </si>
  <si>
    <t>00003686-LANTERNAGEM E PINTURA BOA SORTE LTDA</t>
  </si>
  <si>
    <t xml:space="preserve">TELEFONE(S): (61) 3389-3661  </t>
  </si>
  <si>
    <t>TOT.DÉBITO: -0,15</t>
  </si>
  <si>
    <t>000000001895A-CC</t>
  </si>
  <si>
    <t>LANC. CRED. REF. A  - PAGTO.PARCIAL - DTA. REC.: 23/07/2024 - VR. ORIGINAL: -65,95 - VR. PAGO: -65,80</t>
  </si>
  <si>
    <t>80006507-LANTERNAGEM E PINTURA FAMILIA  AUTO CENTER FAMILIA</t>
  </si>
  <si>
    <t xml:space="preserve">TELEFONE(S): (61)98470-8169  </t>
  </si>
  <si>
    <t>000000402723A-CC</t>
  </si>
  <si>
    <t>REF. LANC. CREDITO - CLIENTE: 80006507-LANTERNAGEM E PINTURA FAMILIA  AUTO CENTER FAMILIA</t>
  </si>
  <si>
    <t>00004573-LANTERNAGEM E PINTURA PRIMO</t>
  </si>
  <si>
    <t>TELEFONE(S): (61) 3395-2136  (61) 9185-4984</t>
  </si>
  <si>
    <t>LIM.CRÉDITO: 3.343,44</t>
  </si>
  <si>
    <t>TOT.DÉBITO: 4.838,00</t>
  </si>
  <si>
    <t>000000008641C-NF</t>
  </si>
  <si>
    <t>000000008921A-NF</t>
  </si>
  <si>
    <t>000000008178D-NF</t>
  </si>
  <si>
    <t>000000009128A-NF</t>
  </si>
  <si>
    <t>000000008641D-NF</t>
  </si>
  <si>
    <t>000000008921B-NF</t>
  </si>
  <si>
    <t>000000009128B-NF</t>
  </si>
  <si>
    <t>000000008921C-NF</t>
  </si>
  <si>
    <t>000000009128C-NF</t>
  </si>
  <si>
    <t>00004266-LANTERNAGEN PINTURA NUNES</t>
  </si>
  <si>
    <t xml:space="preserve">TELEFONE(S): (61) 3567-0700 (61)99241-2299 </t>
  </si>
  <si>
    <t>80005339-LARA DE CASTRO HABKA</t>
  </si>
  <si>
    <t>TELEFONE(S):   (61) 8274-0035</t>
  </si>
  <si>
    <t>TOT.DÉBITO: -0,46</t>
  </si>
  <si>
    <t>000000001299A-CC</t>
  </si>
  <si>
    <t>LANC. CRED. REF. A  - PAGTO.PARCIAL - DTA. REC.: 21/08/2023 - VR. ORIGINAL: -822,46 - VR. PAGO: -822,00</t>
  </si>
  <si>
    <t>05000673-LAVA JATO AMERICAN</t>
  </si>
  <si>
    <t xml:space="preserve">TELEFONE(S): (61)98408-2595  </t>
  </si>
  <si>
    <t>REF. LANC. CREDITO - CLIENTE: 05000673-LAVA JATO AMERICAN</t>
  </si>
  <si>
    <t>02000579-LAVA JATO VANESSA</t>
  </si>
  <si>
    <t xml:space="preserve">TELEFONE(S): (61)99275-5456  </t>
  </si>
  <si>
    <t>LANC. CRED. REF. A  - PAGTO.PARCIAL - DTA. REC.: 03/12/2021 - VR. ORIGINAL: -153,00 - VR. PAGO: -146,00</t>
  </si>
  <si>
    <t>06000208-LAZARO FERRIRA DA SILVA</t>
  </si>
  <si>
    <t>000000601147A-CC</t>
  </si>
  <si>
    <t>000000601229A-CC</t>
  </si>
  <si>
    <t>LANC. CRED. REF. A  - PAGTO.PARCIAL - DTA. REC.: 03/11/2025 - VR. ORIGINAL: -3,90 - VR. PAGO: -3,00</t>
  </si>
  <si>
    <t>03000099-LC SERVIÇOS DE LANTERNAGEM E PINTURA AUTOMOTIVA LTDA</t>
  </si>
  <si>
    <t xml:space="preserve">TELEFONE(S): (61)99218-1624  </t>
  </si>
  <si>
    <t>000000000661A-CC</t>
  </si>
  <si>
    <t>TRANSFERENCIA VIA PIX - PAGTO.PARCIAL - DTA. REC.: 21/03/2022 - VR. ORIGINAL: -1.016,00 - VR. PAGO: -949,60</t>
  </si>
  <si>
    <t>80006109-LEANDRO GOMES NUNES ROSA</t>
  </si>
  <si>
    <t>TELEFONE(S): (61)98462-3444  (61)98462-3444</t>
  </si>
  <si>
    <t>TOT.DÉBITO: -0,51</t>
  </si>
  <si>
    <t>000000002704A-CC</t>
  </si>
  <si>
    <t>REF. LANC. CREDITO - CLIENTE: 80006109-LEANDRO GOMES NUNES ROSA</t>
  </si>
  <si>
    <t>80005654-LEANDRO MARTINS GOMES 04423588650</t>
  </si>
  <si>
    <t>TELEFONE(S): (38)99904-2680  (38)99904-2680</t>
  </si>
  <si>
    <t>000000000911A-CC</t>
  </si>
  <si>
    <t>LANC. CRED. REF. A  - PAGTO.PARCIAL - DTA. REC.: 11/02/2026 - VR. ORIGINAL: -1.200,00 - VR. PAGO: -1.154,80</t>
  </si>
  <si>
    <t>00003205-LEANDRO PEREIRA VIVEIROS</t>
  </si>
  <si>
    <t>TELEFONE(S): (61) 3613-3499  (61)98263-3039</t>
  </si>
  <si>
    <t>TOT.DÉBITO: -0,38</t>
  </si>
  <si>
    <t>000000001243A-CC</t>
  </si>
  <si>
    <t>REF. LANC. CREDITO - CLIENTE: 00003205-LEANDRO PEREIRA VIVEIROS</t>
  </si>
  <si>
    <t>03000007-LEANDRO PIRES DA SILVA (MEC. CAMPUS)</t>
  </si>
  <si>
    <t xml:space="preserve">TELEFONE(S):  (61)98510-6977 </t>
  </si>
  <si>
    <t>000000301208A-CC</t>
  </si>
  <si>
    <t>11005377-LEAO TINTAS E MATERIAIS DE CONSTRUCAO LTDA</t>
  </si>
  <si>
    <t xml:space="preserve">TELEFONE(S):  (61)93377-0956 </t>
  </si>
  <si>
    <t>000000022746A-NF</t>
  </si>
  <si>
    <t>REF.DEV.: 000000022746-NF REF.DOC.: 000000022618-NF-009-17/04/2024 - PARC. 1/1&lt;&lt;csq&gt;&gt; - PAGTO.PARCIAL - DTA. REC.: 26/04/2024 - VR. ORIGINAL: -1.026,56 - VR. PAGO: -234,97 - PAGTO.PARCIAL - DTA. REC.: 30/04/2024 - VR. ORIGINAL: -791,59 - VR. PAGO: -791,39</t>
  </si>
  <si>
    <t>11005048-LEITE &amp; FLORES COM. DE TINTAS LTDA</t>
  </si>
  <si>
    <t>000000000108A-CC</t>
  </si>
  <si>
    <t>REF. LANC. CREDITO - CLIENTE: 11005048-LEITE &amp; FLORES COM. DE TINTAS LTDA</t>
  </si>
  <si>
    <t>000000000112A-CC</t>
  </si>
  <si>
    <t>000000000125A-CC</t>
  </si>
  <si>
    <t>80005275-LEONARDO CASSIMIRO DO NASCIMENTO</t>
  </si>
  <si>
    <t xml:space="preserve">TELEFONE(S):  (61) 9158-9577 </t>
  </si>
  <si>
    <t>TOT.DÉBITO: -3,43</t>
  </si>
  <si>
    <t>000000000091A-CC</t>
  </si>
  <si>
    <t>LANC. CRED. REF. A  - PAGTO.PARCIAL - DTA. REC.: 21/07/2025 - VR. ORIGINAL: -139,80 - VR. PAGO: -136,37</t>
  </si>
  <si>
    <t>80005427-LEONARDO JUNIOR DE FREITAS</t>
  </si>
  <si>
    <t xml:space="preserve">TELEFONE(S):  (61)99343-4496 </t>
  </si>
  <si>
    <t>TOT.DÉBITO: -88,15</t>
  </si>
  <si>
    <t>000000002536A-NF</t>
  </si>
  <si>
    <t>REF.DEV.: 000000002536-NF REF.DOC.: 000000024064-IF-008-21/02/2024 - PARC. 1/1&lt;&lt;csq&gt;&gt;</t>
  </si>
  <si>
    <t>000000002535A-NF</t>
  </si>
  <si>
    <t>REF.DEV.: 000000002535-NF REF.DOC.: 000000024064-IF-008-21/02/2024 - PARC. 1/1&lt;&lt;csq&gt;&gt; - PAGTO.PARCIAL - DTA. REC.: 21/02/2024 - VR. ORIGINAL: -171,43 - VR. PAGO: -119,00</t>
  </si>
  <si>
    <t>80005305-LEONARDO RODOLFO</t>
  </si>
  <si>
    <t xml:space="preserve">TELEFONE(S):  (61)99664-1932 </t>
  </si>
  <si>
    <t>TOT.DÉBITO: -9,05</t>
  </si>
  <si>
    <t>000000000097A-CC</t>
  </si>
  <si>
    <t>LANC. CRED. REF. A  - PAGTO.PARCIAL - DTA. REC.: 21/07/2025 - VR. ORIGINAL: -389,90 - VR. PAGO: -380,90</t>
  </si>
  <si>
    <t>000000000178A-CC</t>
  </si>
  <si>
    <t>REF. LANC. CREDITO - CLIENTE: 80005305-LEONARDO RODOLFO</t>
  </si>
  <si>
    <t>02000172-LEONARDO RODRIGO DA SILVA CAMPOS</t>
  </si>
  <si>
    <t xml:space="preserve">TELEFONE(S): (61)99134-9464 (61)98673-7124 </t>
  </si>
  <si>
    <t>TOT.DÉBITO: 1.270,70</t>
  </si>
  <si>
    <t>001000000584A-AG</t>
  </si>
  <si>
    <t>&lt;&lt;csq&gt;&gt;&lt;&lt;csq&gt;&gt;&lt;&lt;csq&gt;&gt;REF. AGRUPAMENTO Nro. 001000000584 - PARC. 1 / 1 - DOC(S): 000000009495A/000000009510A&lt;&lt;csq&gt;&gt;Em 25/02/2021, ocorreu prorrogação do vencimento. Operador: 020&lt;&lt;csq&gt;&gt;Vencimento Original: 10/02/2021 - Vr.Original: 1.601,20&lt;&lt;csq&gt;&gt;Novo Vencimento    : 10/03/2021 - Novo Valor : 1.601,20&lt;&lt;csq&gt;&gt;Juros alterado de 0,00 para 0,00 por motivo de prorrogação do vencimento.&lt;&lt;csq&gt;&gt; - PAGTO.PARCIAL - DTA. REC.: 18/06/2021 - VR. ORIGINAL: 1.601,20 - VR. PAGO: 500,00</t>
  </si>
  <si>
    <t>001000000618A-AG</t>
  </si>
  <si>
    <t>REF. AGRUPAMENTO Nro. 001000000618 - PARC. 1 / 1 - DOC(S): 000000009601A</t>
  </si>
  <si>
    <t>00000062-LEONCIO ALVES AMORIM</t>
  </si>
  <si>
    <t>TELEFONE(S): (61) 8524-1214  (61)98524-1214</t>
  </si>
  <si>
    <t>000000003293A-CC</t>
  </si>
  <si>
    <t>00000422-LEONIDAS DA MOTA CORREA ME</t>
  </si>
  <si>
    <t>TELEFONE(S): (61) 3335-1274  (61)99365-6387</t>
  </si>
  <si>
    <t>TOT.DÉBITO: -48,34</t>
  </si>
  <si>
    <t>000000000129A-CC</t>
  </si>
  <si>
    <t>LANC. CRED. REF. A  - PAGTO.PARCIAL - DTA. REC.: 29/11/2021 - VR. ORIGINAL: -566,00 - VR. PAGO: -520,00</t>
  </si>
  <si>
    <t>000000004476A-NF</t>
  </si>
  <si>
    <t>REF.DEV.: 000000004476-NF REF.DOC.: 000000004796-IF-014-26/03/2022 - PARC. 1/1&lt;&lt;csq&gt;&gt; - PAGTO.PARCIAL - DTA. REC.: 28/03/2022 - VR. ORIGINAL: -131,22 - VR. PAGO: -128,88</t>
  </si>
  <si>
    <t>05000496-LETICIA  ALVES DE SOUSA</t>
  </si>
  <si>
    <t>000000000378A-CC</t>
  </si>
  <si>
    <t>04000329-LIBANÊS CENTRO AUTOMOTIVA</t>
  </si>
  <si>
    <t>TELEFONE(S):   (61)99559-9696</t>
  </si>
  <si>
    <t>TOT.DÉBITO: -12,00</t>
  </si>
  <si>
    <t>000000402654A-CC</t>
  </si>
  <si>
    <t>REF. LANC. CREDITO - CLIENTE: 04000329-LIBANÊS CENTRO AUTOMOTIVA</t>
  </si>
  <si>
    <t>00004606-LIDER CENTRO AUTOMOTIVO LTDA. -  ME</t>
  </si>
  <si>
    <t>TELEFONE(S): (61) 3042-9290 (61) 9986-2159 (61) 9986-2159</t>
  </si>
  <si>
    <t>TOT.DÉBITO: 5.088,96</t>
  </si>
  <si>
    <t>000000011465A-NF</t>
  </si>
  <si>
    <t>REF.DEV.: 000000011465-NF REF.DOC.: 000000007626-NF-014-22/09/2022 - PARC. 1/1&lt;&lt;csq&gt;&gt; - PAGTO.PARCIAL - DTA. REC.: 17/07/2023 - VR. ORIGINAL: -50,26 - VR. PAGO: -39,44</t>
  </si>
  <si>
    <t>000000020804A-NF</t>
  </si>
  <si>
    <t>000000020955A-NF</t>
  </si>
  <si>
    <t>001000002163A-AG</t>
  </si>
  <si>
    <t>REF. AGRUPAMENTO Nro. 001000002163 - PARC. 1 / 1 - DOC(S): 000000020533A/000000020717A</t>
  </si>
  <si>
    <t>000000000917A-CC</t>
  </si>
  <si>
    <t>REF. LANC. CREDITO - CLIENTE: 00004606-LIDER CENTRO AUTOMOTIVO LTDA. -  ME</t>
  </si>
  <si>
    <t>000000021071A-NF</t>
  </si>
  <si>
    <t>000000020248C-NF</t>
  </si>
  <si>
    <t>000000000928A-CC</t>
  </si>
  <si>
    <t>000000020733B-NF</t>
  </si>
  <si>
    <t>000000020009D-NF</t>
  </si>
  <si>
    <t>000000021298A-NF</t>
  </si>
  <si>
    <t>000000021305A-NF</t>
  </si>
  <si>
    <t>000000020955B-NF</t>
  </si>
  <si>
    <t>000000020550C-NF</t>
  </si>
  <si>
    <t>000000021071B-NF</t>
  </si>
  <si>
    <t>000000020248D-NF</t>
  </si>
  <si>
    <t>000000021477A-NF</t>
  </si>
  <si>
    <t>000000021526A-NF</t>
  </si>
  <si>
    <t>000000020733C-NF</t>
  </si>
  <si>
    <t>000000021541A-NF</t>
  </si>
  <si>
    <t>000000021298B-NF</t>
  </si>
  <si>
    <t>000000021752A-NF</t>
  </si>
  <si>
    <t>000000021071C-NF</t>
  </si>
  <si>
    <t>000000021477B-NF</t>
  </si>
  <si>
    <t>000000020733D-NF</t>
  </si>
  <si>
    <t>000000021298C-NF</t>
  </si>
  <si>
    <t>000000021752B-NF</t>
  </si>
  <si>
    <t>000000022208A-NF</t>
  </si>
  <si>
    <t>000000021477C-NF</t>
  </si>
  <si>
    <t>000000021752C-NF</t>
  </si>
  <si>
    <t>000000022208B-NF</t>
  </si>
  <si>
    <t>000000021752D-NF</t>
  </si>
  <si>
    <t>00004301-LIDER PARA-CHOQUES E ACESSORIOS P/ VEICULOS LTDA-ME</t>
  </si>
  <si>
    <t xml:space="preserve">TELEFONE(S): (61)33465-2345  </t>
  </si>
  <si>
    <t>000000002719A-CC</t>
  </si>
  <si>
    <t>LANC. CRED. REF. A  - PAGTO.PARCIAL - DTA. REC.: 06/02/2026 - VR. ORIGINAL: -388,00 - VR. PAGO: -387,80</t>
  </si>
  <si>
    <t>00000017-LIDER TAXI  AÉREO S/A-AIR BRASIL</t>
  </si>
  <si>
    <t xml:space="preserve">TELEFONE(S): (61) 2104-1000 (61) 3490-4500 </t>
  </si>
  <si>
    <t>LIM.CRÉDITO: 8.000,00</t>
  </si>
  <si>
    <t>000000040289A-NF</t>
  </si>
  <si>
    <t>REF.DEV.: 000000040289-NF REF.DOC.: 000000040215-NF-009-21/01/2026 - PARC. 1/1&lt;&lt;csq&gt;&gt;</t>
  </si>
  <si>
    <t>00004979-LIDER TRATAMENTO AUTOMOTIVO LTDA</t>
  </si>
  <si>
    <t xml:space="preserve">TELEFONE(S): (61)98540-8166  </t>
  </si>
  <si>
    <t>LIM.CRÉDITO: 70.000,00</t>
  </si>
  <si>
    <t>TOT.DÉBITO: 65.638,29</t>
  </si>
  <si>
    <t>000000000044C-AG</t>
  </si>
  <si>
    <t>REF. AGRUPAMENTO Nro. 000000000044 - PARC. 3 / 5 - DOC(S): 000000611700A/000000611703A/000000611704A/000000611706A/000000611711A/000000611715A/000000611718A/000000611727A/000000611730A/000000611736A/000000611740A/000000611743A/000000611745A/000000611748A/000000611750A - PAGTO.PARCIAL - DTA. REC.: 30/09/2025 - VR. ORIGINAL: 2.679,00 - VR. PAGO: 519,25</t>
  </si>
  <si>
    <t>000000000060B-AG</t>
  </si>
  <si>
    <t>REF. AGRUPAMENTO Nro. 000000000060 - PARC. 2 / 5 - DOC(S): 000000611755A/000000611759A/000000611760A/000000611761A/000000611768A/000000611769A/000000611772A/000000611773A/000000611779A/000000611783A/000000611787A/000000611792A/000000611793A/000000611797A/000000611801A/000000611806A/000000611809A/000000611811A</t>
  </si>
  <si>
    <t>000000000073A-AG</t>
  </si>
  <si>
    <t>REF. AGRUPAMENTO Nro. 000000000073 - PARC. 1 / 5 - DOC(S): 000000611814A/000000611817A/000000611819A/000000611823A/000000611828A/000000611831A/000000611832A/000000611835A/000000611838A/000000611841A/000000611843A/000000611844A/000000611845A/000000611848A/000000611851A/000000611852A/000000611854A/000000611858A</t>
  </si>
  <si>
    <t>000000000031E-AG</t>
  </si>
  <si>
    <t>REF. AGRUPAMENTO Nro. 000000000031 - PARC. 5 / 5 - DOC(S): 000000611641A/000000611644A/000000611645A/000000611651A/000000611652A/000000611653A/000000611655A/000000611662A/000000611664A/000000611666A/000000611675A/000000611676A/000000611680A/000000611683A/000000611688A/000000611690A/000000611691A/000000611695A/000000611696A</t>
  </si>
  <si>
    <t>000000000044D-AG</t>
  </si>
  <si>
    <t>REF. AGRUPAMENTO Nro. 000000000044 - PARC. 4 / 5 - DOC(S): 000000611700A/000000611703A/000000611704A/000000611706A/000000611711A/000000611715A/000000611718A/000000611727A/000000611730A/000000611736A/000000611740A/000000611743A/000000611745A/000000611748A/000000611750A</t>
  </si>
  <si>
    <t>000000000060C-AG</t>
  </si>
  <si>
    <t>REF. AGRUPAMENTO Nro. 000000000060 - PARC. 3 / 5 - DOC(S): 000000611755A/000000611759A/000000611760A/000000611761A/000000611768A/000000611769A/000000611772A/000000611773A/000000611779A/000000611783A/000000611787A/000000611792A/000000611793A/000000611797A/000000611801A/000000611806A/000000611809A/000000611811A</t>
  </si>
  <si>
    <t>000000000073B-AG</t>
  </si>
  <si>
    <t>REF. AGRUPAMENTO Nro. 000000000073 - PARC. 2 / 5 - DOC(S): 000000611814A/000000611817A/000000611819A/000000611823A/000000611828A/000000611831A/000000611832A/000000611835A/000000611838A/000000611841A/000000611843A/000000611844A/000000611845A/000000611848A/000000611851A/000000611852A/000000611854A/000000611858A</t>
  </si>
  <si>
    <t>000000000088A-AG</t>
  </si>
  <si>
    <t>REF. AGRUPAMENTO Nro. 000000000088 - PARC. 1 / 5 - DOC(S): 000000611860A/000000611865A/000000611867A/000000611868A/000000611869A/000000611871A/000000611877A/000000611882A/000000611885A/000000611890A/000000611893A/000000611896A/000000611903A</t>
  </si>
  <si>
    <t>000000000044E-AG</t>
  </si>
  <si>
    <t>REF. AGRUPAMENTO Nro. 000000000044 - PARC. 5 / 5 - DOC(S): 000000611700A/000000611703A/000000611704A/000000611706A/000000611711A/000000611715A/000000611718A/000000611727A/000000611730A/000000611736A/000000611740A/000000611743A/000000611745A/000000611748A/000000611750A</t>
  </si>
  <si>
    <t>000000000060D-AG</t>
  </si>
  <si>
    <t>REF. AGRUPAMENTO Nro. 000000000060 - PARC. 4 / 5 - DOC(S): 000000611755A/000000611759A/000000611760A/000000611761A/000000611768A/000000611769A/000000611772A/000000611773A/000000611779A/000000611783A/000000611787A/000000611792A/000000611793A/000000611797A/000000611801A/000000611806A/000000611809A/000000611811A</t>
  </si>
  <si>
    <t>000000000073C-AG</t>
  </si>
  <si>
    <t>REF. AGRUPAMENTO Nro. 000000000073 - PARC. 3 / 5 - DOC(S): 000000611814A/000000611817A/000000611819A/000000611823A/000000611828A/000000611831A/000000611832A/000000611835A/000000611838A/000000611841A/000000611843A/000000611844A/000000611845A/000000611848A/000000611851A/000000611852A/000000611854A/000000611858A</t>
  </si>
  <si>
    <t>000000000088B-AG</t>
  </si>
  <si>
    <t>REF. AGRUPAMENTO Nro. 000000000088 - PARC. 2 / 5 - DOC(S): 000000611860A/000000611865A/000000611867A/000000611868A/000000611869A/000000611871A/000000611877A/000000611882A/000000611885A/000000611890A/000000611893A/000000611896A/000000611903A</t>
  </si>
  <si>
    <t>000000000100A-AG</t>
  </si>
  <si>
    <t>REF. AGRUPAMENTO Nro. 000000000100 - PARC. 1 / 5 - DOC(S): 000000611909A/000000611912A/000000611917A/000000611923A/000000611925A/000000611926A/000000611929A/000000611930A/000000611937A/000000611940A/000000611947A/000000611951A</t>
  </si>
  <si>
    <t>000000000111A-AG</t>
  </si>
  <si>
    <t>REF. AGRUPAMENTO Nro. 000000000111 - PARC. 1 / 5 - DOC(S): 000000611958A/000000611964A/000000611968A/000000611969A/000000611975A/000000611979A/000000611980A/000000611985A/000000611988A/000000611990A/000000611991A/000000611993A/000000611994A/000000611998A</t>
  </si>
  <si>
    <t>000000000060E-AG</t>
  </si>
  <si>
    <t>REF. AGRUPAMENTO Nro. 000000000060 - PARC. 5 / 5 - DOC(S): 000000611755A/000000611759A/000000611760A/000000611761A/000000611768A/000000611769A/000000611772A/000000611773A/000000611779A/000000611783A/000000611787A/000000611792A/000000611793A/000000611797A/000000611801A/000000611806A/000000611809A/000000611811A</t>
  </si>
  <si>
    <t>000000000073D-AG</t>
  </si>
  <si>
    <t>REF. AGRUPAMENTO Nro. 000000000073 - PARC. 4 / 5 - DOC(S): 000000611814A/000000611817A/000000611819A/000000611823A/000000611828A/000000611831A/000000611832A/000000611835A/000000611838A/000000611841A/000000611843A/000000611844A/000000611845A/000000611848A/000000611851A/000000611852A/000000611854A/000000611858A</t>
  </si>
  <si>
    <t>000000000088C-AG</t>
  </si>
  <si>
    <t>REF. AGRUPAMENTO Nro. 000000000088 - PARC. 3 / 5 - DOC(S): 000000611860A/000000611865A/000000611867A/000000611868A/000000611869A/000000611871A/000000611877A/000000611882A/000000611885A/000000611890A/000000611893A/000000611896A/000000611903A</t>
  </si>
  <si>
    <t>000000000100B-AG</t>
  </si>
  <si>
    <t>REF. AGRUPAMENTO Nro. 000000000100 - PARC. 2 / 5 - DOC(S): 000000611909A/000000611912A/000000611917A/000000611923A/000000611925A/000000611926A/000000611929A/000000611930A/000000611937A/000000611940A/000000611947A/000000611951A</t>
  </si>
  <si>
    <t>000000600975A-CC</t>
  </si>
  <si>
    <t>REF. LANC. CREDITO - CLIENTE: 00004979-LIDER TRATAMENTO AUTOMOTIVO LTDA</t>
  </si>
  <si>
    <t>000000000088D-AG</t>
  </si>
  <si>
    <t>REF. AGRUPAMENTO Nro. 000000000088 - PARC. 4 / 5 - DOC(S): 000000611860A/000000611865A/000000611867A/000000611868A/000000611869A/000000611871A/000000611877A/000000611882A/000000611885A/000000611890A/000000611893A/000000611896A/000000611903A</t>
  </si>
  <si>
    <t>000000000073E-AG</t>
  </si>
  <si>
    <t>REF. AGRUPAMENTO Nro. 000000000073 - PARC. 5 / 5 - DOC(S): 000000611814A/000000611817A/000000611819A/000000611823A/000000611828A/000000611831A/000000611832A/000000611835A/000000611838A/000000611841A/000000611843A/000000611844A/000000611845A/000000611848A/000000611851A/000000611852A/000000611854A/000000611858A - PAGTO.PARCIAL - DTA. REC.: 12/08/2025 - VR. ORIGINAL: 2.301,00 - VR. PAGO: 759,23</t>
  </si>
  <si>
    <t>000000000100C-AG</t>
  </si>
  <si>
    <t>REF. AGRUPAMENTO Nro. 000000000100 - PARC. 3 / 5 - DOC(S): 000000611909A/000000611912A/000000611917A/000000611923A/000000611925A/000000611926A/000000611929A/000000611930A/000000611937A/000000611940A/000000611947A/000000611951A</t>
  </si>
  <si>
    <t>000000000111C-AG</t>
  </si>
  <si>
    <t>REF. AGRUPAMENTO Nro. 000000000111 - PARC. 3 / 5 - DOC(S): 000000611958A/000000611964A/000000611968A/000000611969A/000000611975A/000000611979A/000000611980A/000000611985A/000000611988A/000000611990A/000000611991A/000000611993A/000000611994A/000000611998A</t>
  </si>
  <si>
    <t>000000000088E-AG</t>
  </si>
  <si>
    <t>REF. AGRUPAMENTO Nro. 000000000088 - PARC. 5 / 5 - DOC(S): 000000611860A/000000611865A/000000611867A/000000611868A/000000611869A/000000611871A/000000611877A/000000611882A/000000611885A/000000611890A/000000611893A/000000611896A/000000611903A</t>
  </si>
  <si>
    <t>000000000100D-AG</t>
  </si>
  <si>
    <t>REF. AGRUPAMENTO Nro. 000000000100 - PARC. 4 / 5 - DOC(S): 000000611909A/000000611912A/000000611917A/000000611923A/000000611925A/000000611926A/000000611929A/000000611930A/000000611937A/000000611940A/000000611947A/000000611951A</t>
  </si>
  <si>
    <t>000000000111D-AG</t>
  </si>
  <si>
    <t>REF. AGRUPAMENTO Nro. 000000000111 - PARC. 4 / 5 - DOC(S): 000000611958A/000000611964A/000000611968A/000000611969A/000000611975A/000000611979A/000000611980A/000000611985A/000000611988A/000000611990A/000000611991A/000000611993A/000000611994A/000000611998A</t>
  </si>
  <si>
    <t>000000000100E-AG</t>
  </si>
  <si>
    <t>REF. AGRUPAMENTO Nro. 000000000100 - PARC. 5 / 5 - DOC(S): 000000611909A/000000611912A/000000611917A/000000611923A/000000611925A/000000611926A/000000611929A/000000611930A/000000611937A/000000611940A/000000611947A/000000611951A</t>
  </si>
  <si>
    <t>000000000111E-AG</t>
  </si>
  <si>
    <t>REF. AGRUPAMENTO Nro. 000000000111 - PARC. 5 / 5 - DOC(S): 000000611958A/000000611964A/000000611968A/000000611969A/000000611975A/000000611979A/000000611980A/000000611985A/000000611988A/000000611990A/000000611991A/000000611993A/000000611994A/000000611998A</t>
  </si>
  <si>
    <t>80005032-LILIAN CRISTINA SAAVEDRA DOS SANTOS</t>
  </si>
  <si>
    <t>000000000605A-CC</t>
  </si>
  <si>
    <t>REF. LANC. CREDITO - CLIENTE: 80005032-LILIAN CRISTINA SAAVEDRA DOS SANTOS</t>
  </si>
  <si>
    <t>80006191-LINCE AUTO CENTER</t>
  </si>
  <si>
    <t xml:space="preserve">TELEFONE(S): (61)99686-7021 (61)99686-7021 </t>
  </si>
  <si>
    <t>000000007237A-IF</t>
  </si>
  <si>
    <t>02001748-LINDERBERG MICHETI</t>
  </si>
  <si>
    <t xml:space="preserve">TELEFONE(S): (61)99609-1010  </t>
  </si>
  <si>
    <t>REF. LANC. CREDITO - CLIENTE: 02001748-LINDERBERG MICHETI</t>
  </si>
  <si>
    <t>05000383-LINDERMI BARBOSA DOS REIS</t>
  </si>
  <si>
    <t xml:space="preserve">TELEFONE(S):  (61)99883-4479 </t>
  </si>
  <si>
    <t>TOT.DÉBITO: 0,01</t>
  </si>
  <si>
    <t>000000000626A-NF</t>
  </si>
  <si>
    <t>REFERENTE A FATURAMENTO - PARC. 1/1&lt;&lt;csq&gt;&gt; - PAGTO.PARCIAL - DTA. REC.: 25/04/2023 - VR. ORIGINAL: 1.449,93 - VR. PAGO: 1.449,92</t>
  </si>
  <si>
    <t>01000011-LINDOMAR FERREIRA  COSTA</t>
  </si>
  <si>
    <t xml:space="preserve">TELEFONE(S): (61)98147-0306  </t>
  </si>
  <si>
    <t>TOT.DÉBITO: 49,69</t>
  </si>
  <si>
    <t>000000103003A-CC</t>
  </si>
  <si>
    <t>LANC. CRED. REF. A  - PAGTO.PARCIAL - DTA. REC.: 10/11/2023 - VR. ORIGINAL: -200,00 - VR. PAGO: -199,82</t>
  </si>
  <si>
    <t>000000002393A-NF</t>
  </si>
  <si>
    <t>00004538-LINOX SERVICOS AUTOMOTIVOS LTDA ME</t>
  </si>
  <si>
    <t xml:space="preserve">TELEFONE(S): (61) 3353-3030  </t>
  </si>
  <si>
    <t>LIM.CRÉDITO: 500.000,00</t>
  </si>
  <si>
    <t>000000031743A-NF</t>
  </si>
  <si>
    <t>REF.DEV.: 000000031743-NF REF.DOC.: 000000031729-NF-004-08/01/2026 - PARC. 1/1&lt;&lt;csq&gt;&gt;</t>
  </si>
  <si>
    <t>000000031857A-NF</t>
  </si>
  <si>
    <t>REF.DEV.: 000000031857-NF REF.DOC.: 000000031844-NF-004-23/01/2026 - PARC. 1/1&lt;&lt;csq&gt;&gt;</t>
  </si>
  <si>
    <t>000000031916A-NF</t>
  </si>
  <si>
    <t>REF.DEV.: 000000031916-NF REF.DOC.: 000000031905-NF-004-31/01/2026 - PARC. 1/1&lt;&lt;csq&gt;&gt;</t>
  </si>
  <si>
    <t>REFERENTE A FATURAMENTO - PARC. 1/5&lt;&lt;csq&gt;&gt;</t>
  </si>
  <si>
    <t>02000286-LIVING SUPER QUADRAS PARK SUL</t>
  </si>
  <si>
    <t xml:space="preserve">TELEFONE(S): (61) 3051-2503  </t>
  </si>
  <si>
    <t>000000022305A-NF</t>
  </si>
  <si>
    <t>REF.DEV.: 000000022305-NF REF.DOC.: 000000022043-NF-014-24/06/2025 - PARC. 1/1&lt;&lt;csq&gt;&gt; - PAGTO.PARCIAL - DTA. REC.: 15/07/2025 - VR. ORIGINAL: -128,27 - VR. PAGO: -50,00 - PAGTO.PARCIAL - DTA. REC.: 16/07/2025 - VR. ORIGINAL: -78,27 - VR. PAGO: -78,00</t>
  </si>
  <si>
    <t>00004519-LOBAO ARTS E PINTURAS LTDA-EPP</t>
  </si>
  <si>
    <t>TELEFONE(S): (61)98122-4721  (61)98122-4721</t>
  </si>
  <si>
    <t>TOT.DÉBITO: -16,87</t>
  </si>
  <si>
    <t>000000402734A-CC</t>
  </si>
  <si>
    <t>REF. LANC. CREDITO - CLIENTE: 00004519-LOBAO ARTS E PINTURAS LTDA-EPP - PAGTO.PARCIAL - DTA. REC.: 06/01/2026 - VR. ORIGINAL: -224,77 - VR. PAGO: -224,00</t>
  </si>
  <si>
    <t>000000402738A-CC</t>
  </si>
  <si>
    <t>REF. LANC. CREDITO - CLIENTE: 00004519-LOBAO ARTS E PINTURAS LTDA-EPP</t>
  </si>
  <si>
    <t>000000402741A-CC</t>
  </si>
  <si>
    <t>REF. LANC. CREDITO - CLIENTE: 00004519-LOBAO ARTS E PINTURAS LTDA-EPP - PAGTO.PARCIAL - DTA. REC.: 14/01/2026 - VR. ORIGINAL: -27,10 - VR. PAGO: -27,00</t>
  </si>
  <si>
    <t>03000055-LORIVAL  CENTRO AUTOMOTIVO</t>
  </si>
  <si>
    <t>TELEFONE(S):  (61) 3039-6143 (61)98272-9242</t>
  </si>
  <si>
    <t>000000000603A-CC</t>
  </si>
  <si>
    <t>REF. LANC. CREDITO - CLIENTE: 03000055-LORIVAL  CENTRO AUTOMOTIVO</t>
  </si>
  <si>
    <t>00004304-LOURISMAR RIBEIRO DOS SANTOS</t>
  </si>
  <si>
    <t>TELEFONE(S):   (61) 9805-1674</t>
  </si>
  <si>
    <t>TOT.DÉBITO: 11.355,47</t>
  </si>
  <si>
    <t>000000000844B-AG</t>
  </si>
  <si>
    <t>REF. AGRUPAMENTO Nro. 000000000844 - PARC. 2 / 3 - DOC(S): 000000004961A/000000004964A/000000004965A/000000004968A/000000004969A/000000004973A/000000004975A/000000004978A/000000004979A/000000004981A/000000004983A/000000004986A/000000004992A/000000004993A/000000004996A/000000004997A/000000005001A/000000005002A/000000005004A/000000005009A/000000005011A/000000005014A/000000005015A/000000005018A/000000005020A/000000005021A_x000D_Em 29/01/2025, ocorreu prorrogação do vencimento. Operador: 020_x000D_Vencimento Original: 03/01/2025 - Vr.Original: 1.040,00_x000D_Novo Vencimento    : 05/02/2025 - Novo Valor : 1.040,00_x000D_Juros alterado de 0,00 para 0,00 por motivo de prorrogação do vencimento._x000D__x000D_Em 05/03/2025, ocorreu prorrogação do vencimento. Operador: 020_x000D_Vencimento Original: 05/02/2025 - Vr.Original: 1.040,00_x000D_Novo Vencimento    : 08/03/2025 - Novo Valor : 1.040,00_x000D_Juros alterado de 0,00 para 0,00 por motivo de prorrogação do vencimento._x000D__x000D_Em 17/03/2025, ocorreu prorrogação do vencimento. Operador: 020_x000D_Vencimento Original: 08/03/2025 - Vr.Original: 1.040,00_x000D_Novo Vencimento    : 12/04/2025 - Novo Valor : 1.040,00_x000D_Juros alterado de 0,00 para 0,00 por motivo de prorrogação do vencimento._x000D__x000D_Em 23/04/2025, ocorreu prorrogação do vencimento. Operador: 020_x000D_Vencimento Original: 12/04/2025 - Vr.Original: 1.040,00_x000D_Novo Vencimento    : 07/05/2025 - Novo Valor : 1.040,00_x000D_Juros alterado de 0,00 para 0,00 por motivo de prorrogação do vencimento._x000D__x000D_Em 08/05/2025, ocorreu prorrogação do vencimento. Operador: 020_x000D_Vencimento Original: 07/05/2025 - Vr.Original: 1.040,00_x000D_Novo Vencimento    : 11/06/2025 - Novo Valor : 1.040,00_x000D_Juros alterado de 0,00 para 0,00 por motivo de prorrogação do vencimento._x000D__x000D_Em 12/06/2025, ocorreu prorrogação do vencimento. Operador: 020_x000D_Vencimento Original: 11/06/2025 - Vr.Original: 1.040,00_x000D_Novo Vencimento    : 04/07/2025 - Novo Valor : 1.040,00_x000D_Juros alterado de 0,00 para 0,00 por motivo de prorrogação do vencimento._x000D_</t>
  </si>
  <si>
    <t>000000000865A-AG</t>
  </si>
  <si>
    <t>REF. AGRUPAMENTO Nro. 000000000865 - PARC. 1 / 4 - DOC(S): 000000005024A/000000005026A/000000005027A/000000005029A/000000005030A/000000005032A/000000005036A/000000005037A/000000005040A/000000005041A/000000005043A/000000005046A/000000005047A/000000005048A/000000005049A/000000005050A/000000005051A/000000005053A/000000005054A/000000005057A/000000005061A/000000005062A/000000005066A/000000005068A/000000005069A/000000005071A/000000005074A/000000005076A_x000D_Em 29/01/2025, ocorreu prorrogação do vencimento. Operador: 020_x000D_Vencimento Original: 03/01/2025 - Vr.Original: 1.668,57_x000D_Novo Vencimento    : 08/02/2025 - Novo Valor : 1.668,57_x000D_Juros alterado de 0,00 para 0,00 por motivo de prorrogação do vencimento._x000D__x000D_Em 05/03/2025, ocorreu prorrogação do vencimento. Operador: 020_x000D_Vencimento Original: 08/02/2025 - Vr.Original: 1.668,57_x000D_Novo Vencimento    : 17/03/2025 - Novo Valor : 1.668,57_x000D_Juros alterado de 0,00 para 0,00 por motivo de prorrogação do vencimento._x000D__x000D_Em 21/03/2025, ocorreu prorrogação do vencimento. Operador: 020_x000D_Vencimento Original: 17/03/2025 - Vr.Original: 1.668,57_x000D_Novo Vencimento    : 04/04/2025 - Novo Valor : 1.668,57_x000D_Juros alterado de 0,00 para 0,00 por motivo de prorrogação do vencimento._x000D__x000D_Em 07/04/2025, ocorreu prorrogação do vencimento. Operador: 020_x000D_Vencimento Original: 04/04/2025 - Vr.Original: 1.668,57_x000D_Novo Vencimento    : 18/06/2025 - Novo Valor : 1.668,57_x000D_Juros alterado de 0,00 para 0,00 por motivo de prorrogação do vencimento._x000D_</t>
  </si>
  <si>
    <t>000000000844C-AG</t>
  </si>
  <si>
    <t>REF. AGRUPAMENTO Nro. 000000000844 - PARC. 3 / 3 - DOC(S): 000000004961A/000000004964A/000000004965A/000000004968A/000000004969A/000000004973A/000000004975A/000000004978A/000000004979A/000000004981A/000000004983A/000000004986A/000000004992A/000000004993A/000000004996A/000000004997A/000000005001A/000000005002A/000000005004A/000000005009A/000000005011A/000000005014A/000000005015A/000000005018A/000000005020A/000000005021A_x000D_Em 05/03/2025, ocorreu prorrogação do vencimento. Operador: 020_x000D_Vencimento Original: 02/02/2025 - Vr.Original: 1.040,00_x000D_Novo Vencimento    : 11/03/2025 - Novo Valor : 1.040,00_x000D_Juros alterado de 0,00 para 0,00 por motivo de prorrogação do vencimento._x000D__x000D_Em 17/03/2025, ocorreu prorrogação do vencimento. Operador: 020_x000D_Vencimento Original: 11/03/2025 - Vr.Original: 1.040,00_x000D_Novo Vencimento    : 05/04/2025 - Novo Valor : 1.040,00_x000D_Juros alterado de 0,00 para 0,00 por motivo de prorrogação do vencimento._x000D__x000D_Em 08/04/2025, ocorreu prorrogação do vencimento. Operador: 020_x000D_Vencimento Original: 05/04/2025 - Vr.Original: 1.040,00_x000D_Novo Vencimento    : 06/05/2025 - Novo Valor : 1.040,00_x000D_Juros alterado de 0,00 para 0,00 por motivo de prorrogação do vencimento._x000D__x000D_Em 08/05/2025, ocorreu prorrogação do vencimento. Operador: 020_x000D_Vencimento Original: 06/05/2025 - Vr.Original: 1.040,00_x000D_Novo Vencimento    : 30/05/2025 - Novo Valor : 1.040,00_x000D_Juros alterado de 0,00 para 0,00 por motivo de prorrogação do vencimento._x000D__x000D_Em 01/06/2025, ocorreu prorrogação do vencimento. Operador: 020_x000D_Vencimento Original: 30/05/2025 - Vr.Original: 1.040,00_x000D_Novo Vencimento    : 13/06/2025 - Novo Valor : 1.040,00_x000D_Juros alterado de 0,00 para 0,00 por motivo de prorrogação do vencimento._x000D_</t>
  </si>
  <si>
    <t>000000000865B-AG</t>
  </si>
  <si>
    <t>REF. AGRUPAMENTO Nro. 000000000865 - PARC. 2 / 4 - DOC(S): 000000005024A/000000005026A/000000005027A/000000005029A/000000005030A/000000005032A/000000005036A/000000005037A/000000005040A/000000005041A/000000005043A/000000005046A/000000005047A/000000005048A/000000005049A/000000005050A/000000005051A/000000005053A/000000005054A/000000005057A/000000005061A/000000005062A/000000005066A/000000005068A/000000005069A/000000005071A/000000005074A/000000005076A_x000D_Em 05/03/2025, ocorreu prorrogação do vencimento. Operador: 020_x000D_Vencimento Original: 02/02/2025 - Vr.Original: 1.668,00_x000D_Novo Vencimento    : 14/03/2025 - Novo Valor : 1.668,00_x000D_Juros alterado de 0,00 para 0,00 por motivo de prorrogação do vencimento._x000D__x000D_Em 17/03/2025, ocorreu prorrogação do vencimento. Operador: 020_x000D_Vencimento Original: 14/03/2025 - Vr.Original: 1.668,00_x000D_Novo Vencimento    : 08/04/2025 - Novo Valor : 1.668,00_x000D_Juros alterado de 0,00 para 0,00 por motivo de prorrogação do vencimento._x000D__x000D_Em 10/04/2025, ocorreu prorrogação do vencimento. Operador: 020_x000D_Vencimento Original: 08/04/2025 - Vr.Original: 1.668,00_x000D_Novo Vencimento    : 10/05/2025 - Novo Valor : 1.668,00_x000D_Juros alterado de 0,00 para 0,00 por motivo de prorrogação do vencimento._x000D__x000D_Em 22/05/2025, ocorreu prorrogação do vencimento. Operador: 020_x000D_Vencimento Original: 10/05/2025 - Vr.Original: 1.668,00_x000D_Novo Vencimento    : 07/06/2025 - Novo Valor : 1.668,00_x000D_Juros alterado de 0,00 para 0,00 por motivo de prorrogação do vencimento._x000D__x000D_Em 12/06/2025, ocorreu prorrogação do vencimento. Operador: 020_x000D_Vencimento Original: 07/06/2025 - Vr.Original: 1.668,00_x000D_Novo Vencimento    : 18/07/2025 - Novo Valor : 1.668,00_x000D_Juros alterado de 0,00 para 0,00 por motivo de prorrogação do vencimento._x000D_</t>
  </si>
  <si>
    <t>000000000077C-AG</t>
  </si>
  <si>
    <t>REF. AGRUPAMENTO Nro. 000000000077 - PARC. 3 / 3 - DOC(S): 000000004912A/000000004914A/000000004916A/000000004917A/000000004920A/000000004925A/000000004927A/000000004929A/000000004930A/000000004933A/000000004936A/000000004937A/000000004938A/000000004943A/000000004944A/000000004945A/000000004949A/000000004950A/000000004951A/000000004957A/000000004958A/000000004959A_x000D_Em 29/01/2025, ocorreu prorrogação do vencimento. Operador: 020_x000D_Vencimento Original: 14/01/2025 - Vr.Original: 815,00_x000D_Novo Vencimento    : 03/02/2025 - Novo Valor : 815,00_x000D_Juros alterado de 0,00 para 0,00 por motivo de prorrogação do vencimento._x000D__x000D_Em 05/03/2025, ocorreu prorrogação do vencimento. Operador: 020_x000D_Vencimento Original: 03/02/2025 - Vr.Original: 815,00_x000D_Novo Vencimento    : 07/03/2025 - Novo Valor : 815,00_x000D_Juros alterado de 0,00 para 0,00 por motivo de prorrogação do vencimento._x000D__x000D_Em 17/03/2025, ocorreu prorrogação do vencimento. Operador: 020_x000D_Vencimento Original: 07/03/2025 - Vr.Original: 815,00_x000D_Novo Vencimento    : 04/04/2025 - Novo Valor : 815,00_x000D_Juros alterado de 0,00 para 0,00 por motivo de prorrogação do vencimento._x000D_ - PAGTO.PARCIAL - DTA. REC.: 31/03/2025 - VR. ORIGINAL: 815,00 - VR. PAGO: 300,00 - PAGTO.PARCIAL - DTA. REC.: 09/04/2025 - VR. ORIGINAL: 815,00 - VR. PAGO: 300,00</t>
  </si>
  <si>
    <t>000000000884A-AG</t>
  </si>
  <si>
    <t>REF. AGRUPAMENTO Nro. 000000000884 - PARC. 1 / 3 - DOC(S): 000000005087A/000000005088A/000000005089A/000000005090A/000000005091A/000000005094A/000000005096A/000000005098A/000000005099A/000000005100A/000000005102A/000000005105A/000000005106A/000000005108A/000000005110A/000000005113A/000000005114A/000000005115A/000000005116A/000000005118A/000000005120A/000000005121A/000000005123A/000000005129A/000000005130A_x000D_Em 05/03/2025, ocorreu prorrogação do vencimento. Operador: 020_x000D_Vencimento Original: 07/02/2025 - Vr.Original: 769,69_x000D_Novo Vencimento    : 21/03/2025 - Novo Valor : 769,69_x000D_Juros alterado de 0,00 para 0,00 por motivo de prorrogação do vencimento._x000D__x000D_Em 24/03/2025, ocorreu prorrogação do vencimento. Operador: 020_x000D_Vencimento Original: 21/03/2025 - Vr.Original: 769,69_x000D_Novo Vencimento    : 04/04/2025 - Novo Valor : 769,69_x000D_Juros alterado de 0,00 para 0,00 por motivo de prorrogação do vencimento._x000D__x000D_Em 07/04/2025, ocorreu prorrogação do vencimento. Operador: 020_x000D_Vencimento Original: 04/04/2025 - Vr.Original: 769,69_x000D_Novo Vencimento    : 30/06/2025 - Novo Valor : 769,69_x000D_Juros alterado de 0,00 para 0,00 por motivo de prorrogação do vencimento._x000D_</t>
  </si>
  <si>
    <t>000000000900A-AG</t>
  </si>
  <si>
    <t>REF. AGRUPAMENTO Nro. 000000000900 - PARC. 1 / 1 - DOC(S): 000000005136A</t>
  </si>
  <si>
    <t>000000000865C-AG</t>
  </si>
  <si>
    <t>REF. AGRUPAMENTO Nro. 000000000865 - PARC. 3 / 4 - DOC(S): 000000005024A/000000005026A/000000005027A/000000005029A/000000005030A/000000005032A/000000005036A/000000005037A/000000005040A/000000005041A/000000005043A/000000005046A/000000005047A/000000005048A/000000005049A/000000005050A/000000005051A/000000005053A/000000005054A/000000005057A/000000005061A/000000005062A/000000005066A/000000005068A/000000005069A/000000005071A/000000005074A/000000005076A_x000D_Em 17/03/2025, ocorreu prorrogação do vencimento. Operador: 020_x000D_Vencimento Original: 04/03/2025 - Vr.Original: 1.668,00_x000D_Novo Vencimento    : 16/04/2025 - Novo Valor : 1.668,00_x000D_Juros alterado de 0,00 para 0,00 por motivo de prorrogação do vencimento._x000D__x000D_Em 23/04/2025, ocorreu prorrogação do vencimento. Operador: 020_x000D_Vencimento Original: 16/04/2025 - Vr.Original: 1.668,00_x000D_Novo Vencimento    : 09/05/2025 - Novo Valor : 1.668,00_x000D_Juros alterado de 0,00 para 0,00 por motivo de prorrogação do vencimento._x000D__x000D_Em 13/05/2025, ocorreu prorrogação do vencimento. Operador: 020_x000D_Vencimento Original: 09/05/2025 - Vr.Original: 1.668,00_x000D_Novo Vencimento    : 06/06/2025 - Novo Valor : 1.668,00_x000D_Juros alterado de 0,00 para 0,00 por motivo de prorrogação do vencimento._x000D__x000D_Em 12/06/2025, ocorreu prorrogação do vencimento. Operador: 020_x000D_Vencimento Original: 06/06/2025 - Vr.Original: 1.668,00_x000D_Novo Vencimento    : 21/07/2025 - Novo Valor : 1.668,00_x000D_Juros alterado de 0,00 para 0,00 por motivo de prorrogação do vencimento._x000D_</t>
  </si>
  <si>
    <t>000000000884B-AG</t>
  </si>
  <si>
    <t>REF. AGRUPAMENTO Nro. 000000000884 - PARC. 2 / 3 - DOC(S): 000000005087A/000000005088A/000000005089A/000000005090A/000000005091A/000000005094A/000000005096A/000000005098A/000000005099A/000000005100A/000000005102A/000000005105A/000000005106A/000000005108A/000000005110A/000000005113A/000000005114A/000000005115A/000000005116A/000000005118A/000000005120A/000000005121A/000000005123A/000000005129A/000000005130A_x000D_Em 17/03/2025, ocorreu prorrogação do vencimento. Operador: 020_x000D_Vencimento Original: 07/03/2025 - Vr.Original: 767,00_x000D_Novo Vencimento    : 02/04/2025 - Novo Valor : 767,00_x000D_Juros alterado de 0,00 para 0,00 por motivo de prorrogação do vencimento._x000D__x000D_Em 08/04/2025, ocorreu prorrogação do vencimento. Operador: 020_x000D_Vencimento Original: 02/04/2025 - Vr.Original: 767,00_x000D_Novo Vencimento    : 09/05/2025 - Novo Valor : 767,00_x000D_Juros alterado de 0,00 para 0,00 por motivo de prorrogação do vencimento._x000D__x000D_Em 22/05/2025, ocorreu prorrogação do vencimento. Operador: 020_x000D_Vencimento Original: 09/05/2025 - Vr.Original: 767,00_x000D_Novo Vencimento    : 06/06/2025 - Novo Valor : 767,00_x000D_Juros alterado de 0,00 para 0,00 por motivo de prorrogação do vencimento._x000D__x000D_Em 12/06/2025, ocorreu prorrogação do vencimento. Operador: 020_x000D_Vencimento Original: 06/06/2025 - Vr.Original: 767,00_x000D_Novo Vencimento    : 31/07/2025 - Novo Valor : 767,00_x000D_Juros alterado de 0,00 para 0,00 por motivo de prorrogação do vencimento._x000D_</t>
  </si>
  <si>
    <t>000000000865D-AG</t>
  </si>
  <si>
    <t>REF. AGRUPAMENTO Nro. 000000000865 - PARC. 4 / 4 - DOC(S): 000000005024A/000000005026A/000000005027A/000000005029A/000000005030A/000000005032A/000000005036A/000000005037A/000000005040A/000000005041A/000000005043A/000000005046A/000000005047A/000000005048A/000000005049A/000000005050A/000000005051A/000000005053A/000000005054A/000000005057A/000000005061A/000000005062A/000000005066A/000000005068A/000000005069A/000000005071A/000000005074A/000000005076A_x000D_Em 07/04/2025, ocorreu prorrogação do vencimento. Operador: 020_x000D_Vencimento Original: 03/04/2025 - Vr.Original: 1.668,00_x000D_Novo Vencimento    : 30/05/2025 - Novo Valor : 1.668,00_x000D_Juros alterado de 0,00 para 0,00 por motivo de prorrogação do vencimento._x000D__x000D_Em 04/06/2025, ocorreu prorrogação do vencimento. Operador: 020_x000D_Vencimento Original: 30/05/2025 - Vr.Original: 1.668,00_x000D_Novo Vencimento    : 28/06/2025 - Novo Valor : 1.668,00_x000D_Juros alterado de 0,00 para 0,00 por motivo de prorrogação do vencimento._x000D_</t>
  </si>
  <si>
    <t>000000000884C-AG</t>
  </si>
  <si>
    <t>REF. AGRUPAMENTO Nro. 000000000884 - PARC. 3 / 3 - DOC(S): 000000005087A/000000005088A/000000005089A/000000005090A/000000005091A/000000005094A/000000005096A/000000005098A/000000005099A/000000005100A/000000005102A/000000005105A/000000005106A/000000005108A/000000005110A/000000005113A/000000005114A/000000005115A/000000005116A/000000005118A/000000005120A/000000005121A/000000005123A/000000005129A/000000005130A_x000D_Em 08/04/2025, ocorreu prorrogação do vencimento. Operador: 020_x000D_Vencimento Original: 07/04/2025 - Vr.Original: 767,00_x000D_Novo Vencimento    : 28/05/2025 - Novo Valor : 767,00_x000D_Juros alterado de 0,00 para 0,00 por motivo de prorrogação do vencimento._x000D__x000D_Em 01/06/2025, ocorreu prorrogação do vencimento. Operador: 020_x000D_Vencimento Original: 28/05/2025 - Vr.Original: 767,00_x000D_Novo Vencimento    : 04/06/2025 - Novo Valor : 767,00_x000D_Juros alterado de 0,00 para 0,00 por motivo de prorrogação do vencimento._x000D__x000D_Em 12/06/2025, ocorreu prorrogação do vencimento. Operador: 020_x000D_Vencimento Original: 04/06/2025 - Vr.Original: 767,00_x000D_Novo Vencimento    : 04/07/2025 - Novo Valor : 767,00_x000D_Juros alterado de 0,00 para 0,00 por motivo de prorrogação do vencimento._x000D_</t>
  </si>
  <si>
    <t>11005076-LR COMERCIO DE TINTAS LTDA</t>
  </si>
  <si>
    <t xml:space="preserve">TELEFONE(S): (61) 3354-7770  </t>
  </si>
  <si>
    <t>000000037708A-NF</t>
  </si>
  <si>
    <t>REF.DEV.: 000000037708-NF REF.DOC.: 000000037638-NF-009-22/10/2025 - PARC. 1/1&lt;&lt;csq&gt;&gt;</t>
  </si>
  <si>
    <t>06000252-LUCAS MATEUS FERREIRA SENRA</t>
  </si>
  <si>
    <t>TELEFONE(S):  (61)98540-6041 (61)98540-6041</t>
  </si>
  <si>
    <t>000000601351A-CC</t>
  </si>
  <si>
    <t>REF. LANC. CREDITO - CLIENTE: 06000252-LUCAS MATEUS FERREIRA SENRA</t>
  </si>
  <si>
    <t>80005489-LUCAS MATEUS ROCHA DE ARAUJO</t>
  </si>
  <si>
    <t>REF. LANC. CREDITO - CLIENTE: 80005489-LUCAS MATEUS ROCHA DE ARAUJO</t>
  </si>
  <si>
    <t>80005710-LUCIANO CANDIDO</t>
  </si>
  <si>
    <t xml:space="preserve">TELEFONE(S): (61)99353-0113  </t>
  </si>
  <si>
    <t>00004815-LUCIANO DOS SANTOS</t>
  </si>
  <si>
    <t xml:space="preserve">TELEFONE(S):  (61)99113-8225 </t>
  </si>
  <si>
    <t>000000008654A-NF</t>
  </si>
  <si>
    <t>000000003200A-CC</t>
  </si>
  <si>
    <t>LANC. CRED. REF. A  - PAGTO.PARCIAL - DTA. REC.: 24/12/2025 - VR. ORIGINAL: -33,00 - VR. PAGO: -32,99</t>
  </si>
  <si>
    <t>80006307-LUCIANO GONÇALVES DE FARIAS FILHO</t>
  </si>
  <si>
    <t>TELEFONE(S):   (61)98514-5909</t>
  </si>
  <si>
    <t>TOT.DÉBITO: -5,72</t>
  </si>
  <si>
    <t>000000002490A-CC</t>
  </si>
  <si>
    <t>REF. LANC. CREDITO - CLIENTE: 80006307-LUCIANO GONÇALVES DE FARIAS FILHO</t>
  </si>
  <si>
    <t>05000518-LUCIEL BATISTA DE OLIVEIRA</t>
  </si>
  <si>
    <t>TELEFONE(S):  (61)98436-2710 (61)98628-8765</t>
  </si>
  <si>
    <t>TOT.DÉBITO: -0,74</t>
  </si>
  <si>
    <t>000000003223A-CC</t>
  </si>
  <si>
    <t>REF. LANC. CREDITO - CLIENTE: 05000518-LUCIEL BATISTA DE OLIVEIRA</t>
  </si>
  <si>
    <t>00002680-LUCIMAR DO CARMO VILELA</t>
  </si>
  <si>
    <t>TELEFONE(S): (61) 3567-4423 (61)98540-6857 (61)99257-2761</t>
  </si>
  <si>
    <t>000000000018A-DV</t>
  </si>
  <si>
    <t>REF.DEV.: 000000000018-DV REF.DOC.: 000000002945-FF-022-29/07/2024 - PARC. 1/1&lt;&lt;csq&gt;&gt;</t>
  </si>
  <si>
    <t>000000002511A-CC</t>
  </si>
  <si>
    <t>LANC. CRED. REF. A  - PAGTO.PARCIAL - DTA. REC.: 09/02/2026 - VR. ORIGINAL: -1.900,00 - VR. PAGO: -1.773,57</t>
  </si>
  <si>
    <t>000000002533A-CC</t>
  </si>
  <si>
    <t>02000731-LUIZ ALBERTO MORAIS</t>
  </si>
  <si>
    <t xml:space="preserve">TELEFONE(S):  (61)99983-6420 </t>
  </si>
  <si>
    <t>000000026192A-NF</t>
  </si>
  <si>
    <t>REF.DEV.: 000000026192-NF REF.DOC.: 000000011669-IF-004-05/12/2023 - PARC. 1/1&lt;&lt;csq&gt;&gt; - PAGTO.PARCIAL - DTA. REC.: 23/02/2024 - VR. ORIGINAL: -166,01 - VR. PAGO: -166,00</t>
  </si>
  <si>
    <t>03000064-LUIZ CARLOS MOREIRA BARBOSA</t>
  </si>
  <si>
    <t>TOT.DÉBITO: -87,50</t>
  </si>
  <si>
    <t>000000000086A-CC</t>
  </si>
  <si>
    <t>REF. LANC. CREDITO - CLIENTE: 03000064-LUIZ CARLOS MOREIRA BARBOSA</t>
  </si>
  <si>
    <t>01000225-LUIZ CLAUDIO LIMA COSTA</t>
  </si>
  <si>
    <t xml:space="preserve">TELEFONE(S): (61)98281-6499  </t>
  </si>
  <si>
    <t>TOT.DÉBITO: -2,10</t>
  </si>
  <si>
    <t>000000000989A-CC</t>
  </si>
  <si>
    <t>LANC. CRED. REF. A  - PAGTO.PARCIAL - DTA. REC.: 12/12/2024 - VR. ORIGINAL: -80,00 - VR. PAGO: -77,90</t>
  </si>
  <si>
    <t>00001041-LUIZ FERNANDO TAKESHI TURUTA</t>
  </si>
  <si>
    <t>TELEFONE(S): (61) 4102-8086  (61) 9314-3599</t>
  </si>
  <si>
    <t>TOT.DÉBITO: 69,90</t>
  </si>
  <si>
    <t>001000001230A-AG</t>
  </si>
  <si>
    <t>REF. AGRUPAMENTO Nro. 001000001230 - PARC. 1 / 1 - DOC(S): 000000404783A</t>
  </si>
  <si>
    <t>TOT.DÉBITO: -0,40</t>
  </si>
  <si>
    <t>80004981-LUIZ RICARDO MENDES BARTELI</t>
  </si>
  <si>
    <t>TELEFONE(S):   (61)99535-6524</t>
  </si>
  <si>
    <t>000000000567A-NF</t>
  </si>
  <si>
    <t>REF.DEV.: 000000000567-NF REF.DOC.: 000000004655-IF-024-25/11/2025 - PARC. 1/1&lt;&lt;csq&gt;&gt;</t>
  </si>
  <si>
    <t>80006222-LUKAS CAPISTRANO DA SILVA</t>
  </si>
  <si>
    <t>TELEFONE(S):   (61)99366-2107</t>
  </si>
  <si>
    <t>00003359-LUSMAR FERNANDES GUIMARES</t>
  </si>
  <si>
    <t xml:space="preserve">TELEFONE(S): (61) 3465-2248 (61)99647-8965 </t>
  </si>
  <si>
    <t>00001454-LUZIANO NERIS DOS SANTOS</t>
  </si>
  <si>
    <t xml:space="preserve">TELEFONE(S): (61) 3381-0266  </t>
  </si>
  <si>
    <t>TOT.DÉBITO: -3,35</t>
  </si>
  <si>
    <t>000000101676A-CC</t>
  </si>
  <si>
    <t>000000102068A-CC</t>
  </si>
  <si>
    <t>LANC. CRED. REF. A  - PAGTO.PARCIAL - DTA. REC.: 29/11/2022 - VR. ORIGINAL: -198,00 - VR. PAGO: -128,34 - PAGTO.PARCIAL - DTA. REC.: 27/07/2023 - VR. ORIGINAL: -69,66 - VR. PAGO: -66,50</t>
  </si>
  <si>
    <t>04000154-M &amp; F LANTERNAGEM E PINTURA  AUTOMOTIVA EIRELI</t>
  </si>
  <si>
    <t xml:space="preserve">TELEFONE(S): (61)99692-4939  </t>
  </si>
  <si>
    <t>TOT.DÉBITO: 1.696,37</t>
  </si>
  <si>
    <t>000000401297A-CC</t>
  </si>
  <si>
    <t>000000000018003-AG</t>
  </si>
  <si>
    <t>REF. AGRUPAMENTO Nro. 000000000018 - PARC. 3 / 4 - DOC(S): 001000000815A/001000000838A</t>
  </si>
  <si>
    <t>000000000018004-AG</t>
  </si>
  <si>
    <t>REF. AGRUPAMENTO Nro. 000000000018 - PARC. 4 / 4 - DOC(S): 001000000815A/001000000838A</t>
  </si>
  <si>
    <t>11005392-M M COMERCIO LTDA</t>
  </si>
  <si>
    <t>TELEFONE(S):   (61)99619-3038</t>
  </si>
  <si>
    <t>TOT.DÉBITO: -507,64</t>
  </si>
  <si>
    <t>000000000171A-CC</t>
  </si>
  <si>
    <t>REF. LANC. CREDITO - CLIENTE: 11005392-M M COMERCIO LTDA</t>
  </si>
  <si>
    <t>00004261-M R C GALDINO COMERCIO TINT E ACESS AUTOMOTIVOS</t>
  </si>
  <si>
    <t>TELEFONE(S): (61)98540-1009  (61)98596-3883</t>
  </si>
  <si>
    <t>TOT.DÉBITO: 2.224,91</t>
  </si>
  <si>
    <t>000000003080A-NF</t>
  </si>
  <si>
    <t>REFERENTE A FATURAMENTO - PARC. 1/3&lt;&lt;csq&gt;&gt; - PAGTO.PARCIAL - DTA. REC.: 31/01/2023 - VR. ORIGINAL: 344,07 - VR. PAGO: 234,00</t>
  </si>
  <si>
    <t>000000003100A-NF</t>
  </si>
  <si>
    <t>000000003109A-NF</t>
  </si>
  <si>
    <t>001000000902A-AG</t>
  </si>
  <si>
    <t>REF. AGRUPAMENTO Nro. 001000000902 - PARC. 1 / 2 - DOC(S): 000000003012A/000000003037A/000000003040A/000000003045A/000000003049A/000000003101A</t>
  </si>
  <si>
    <t>000000003080B-NF</t>
  </si>
  <si>
    <t>001000000902B-AG</t>
  </si>
  <si>
    <t>REF. AGRUPAMENTO Nro. 001000000902 - PARC. 2 / 2 - DOC(S): 000000003012A/000000003037A/000000003040A/000000003045A/000000003049A/000000003101A</t>
  </si>
  <si>
    <t>000000003080C-NF</t>
  </si>
  <si>
    <t>000000001586A-CC</t>
  </si>
  <si>
    <t>REF. LANC. CREDITO - CLIENTE: 00004261-M R C GALDINO COMERCIO TINT E ACESS AUTOMOTIVOS</t>
  </si>
  <si>
    <t>11005571-M&amp;T MATERIAIS LTDA</t>
  </si>
  <si>
    <t>TOT.DÉBITO: 3.154,59</t>
  </si>
  <si>
    <t>000000031799A-NF</t>
  </si>
  <si>
    <t>000000031004B-NF</t>
  </si>
  <si>
    <t>000000031799B-NF</t>
  </si>
  <si>
    <t>000000031004C-NF</t>
  </si>
  <si>
    <t>000000031799C-NF</t>
  </si>
  <si>
    <t>00004185-M3 LANTERNAGEM E PINTURA LTDA ME</t>
  </si>
  <si>
    <t xml:space="preserve">TELEFONE(S): (61) 3547-9419  </t>
  </si>
  <si>
    <t>TOT.DÉBITO: 1.412,62</t>
  </si>
  <si>
    <t>001000000883A-AG</t>
  </si>
  <si>
    <t>REF. AGRUPAMENTO Nro. 001000000883 - PARC. 1 / 1 - DOC(S): 000000002898A/000000002900A/000000002925A/000000002975A - PAGTO.PARCIAL - DTA. REC.: 12/07/2022 - VR. ORIGINAL: 901,70 - VR. PAGO: 259,61 - PAGTO.PARCIAL - DTA. REC.: 29/05/2024 - VR. ORIGINAL: 901,70 - VR. PAGO: 118,11</t>
  </si>
  <si>
    <t>001000000903A-AG</t>
  </si>
  <si>
    <t>REF. AGRUPAMENTO Nro. 001000000903 - PARC. 1 / 1 - DOC(S): 000000003113A</t>
  </si>
  <si>
    <t>01000042-MAC SINALIZAÇAO CORPORATIVA LTDA EPP</t>
  </si>
  <si>
    <t xml:space="preserve">TELEFONE(S):  (61) 3475-1214 </t>
  </si>
  <si>
    <t>000000000475A-CC</t>
  </si>
  <si>
    <t>REF. LANC. CREDITO - CLIENTE: 01000042-MAC SINALIZAÇAO CORPORATIVA LTDA EPP</t>
  </si>
  <si>
    <t>11004943-MACEDO &amp; SILVA CENTRO AUTOMOTIVO LTDA</t>
  </si>
  <si>
    <t>TOT.DÉBITO: -50,76</t>
  </si>
  <si>
    <t>REF. LANC. CREDITO - CLIENTE: 11004943-MACEDO &amp; SILVA CENTRO AUTOMOTIVO LTDA</t>
  </si>
  <si>
    <t>00004821-MAJU TINTAS EMPRESA INDIVIDUAL</t>
  </si>
  <si>
    <t>TELEFONE(S): (61)03471-1048 (61) 3471-1048 (61)98410-7034</t>
  </si>
  <si>
    <t>000000000063A-CC</t>
  </si>
  <si>
    <t>REF. LANC. CREDITO - CLIENTE: 00004821-MAJU TINTAS EMPRESA INDIVIDUAL</t>
  </si>
  <si>
    <t>02001984-MANHATTAN INVESTIMENTOS IMOBILIARIOS LTD</t>
  </si>
  <si>
    <t xml:space="preserve">TELEFONE(S): (61)33333-3333  </t>
  </si>
  <si>
    <t>000000102052A-CC</t>
  </si>
  <si>
    <t>REFEENTEA DEPOSITO BANCARIO. - PAGTO.PARCIAL - DTA. REC.: 16/12/2025 - VR. ORIGINAL: -2.801,00 - VR. PAGO: -2.800,20</t>
  </si>
  <si>
    <t>04000190-MANOEL DIAS RODRIGUES</t>
  </si>
  <si>
    <t xml:space="preserve">TELEFONE(S): (61)98567-7942  </t>
  </si>
  <si>
    <t>TOT.DÉBITO: 824,44</t>
  </si>
  <si>
    <t>001000001030A-AG</t>
  </si>
  <si>
    <t>REF. AGRUPAMENTO Nro. 001000001030 - PARC. 1 / 1 - DOC(S): 000000017984A - PAGTO.PARCIAL - DTA. REC.: 14/05/2021 - VR. ORIGINAL: 4.200,00 - VR. PAGO: 853,46_x000D_Em 28/05/2021, ocorreu prorrogação do vencimento. Operador: 020_x000D_Vencimento Original: 15/05/2021 - Vr.Original: 3.346,54_x000D_Novo Vencimento    : 10/08/2021 - Novo Valor : 3.346,54_x000D_Juros alterado de 0,00 para 0,00 por motivo de prorrogação do vencimento._x000D_ - PAGTO.PARCIAL - DTA. REC.: 24/06/2021 - VR. ORIGINAL: 4.200,00 - VR. PAGO: 1.116,00 - PAGTO.PARCIAL - DTA. REC.: 27/07/2021 - VR. ORIGINAL: 4.200,00 - VR. PAGO: 1.000,00 - PAGTO.PARCIAL - DTA. REC.: 07/10/2021 - VR. ORIGINAL: 4.200,00 - VR. PAGO: 306,10 - PAGTO.PARCIAL - DTA. REC.: 08/03/2022 - VR. ORIGINAL: 4.200,00 - VR. PAGO: 100,00</t>
  </si>
  <si>
    <t>11004939-MANOEL VIDAL DE SOUZA</t>
  </si>
  <si>
    <t>TOT.DÉBITO: 21,31</t>
  </si>
  <si>
    <t>000000000050A-CC</t>
  </si>
  <si>
    <t>REF. LANC. CREDITO - CLIENTE: 11004939-MANOEL VIDAL DE SOUZA</t>
  </si>
  <si>
    <t>02001211-MARCELO CARNEIRO DA SILVA</t>
  </si>
  <si>
    <t xml:space="preserve">TELEFONE(S): (61)98512-6462  </t>
  </si>
  <si>
    <t>TOT.DÉBITO: -32,40</t>
  </si>
  <si>
    <t>000000008136A-NF</t>
  </si>
  <si>
    <t>REF.DEV.: 000000008136-NF REF.DOC.: 000000008091-NF-014-20/10/2022 - PARC. 1/1&lt;&lt;csq&gt;&gt; - PAGTO.PARCIAL - DTA. REC.: 24/10/2022 - VR. ORIGINAL: -49,90 - VR. PAGO: -49,00</t>
  </si>
  <si>
    <t>000000008138A-NF</t>
  </si>
  <si>
    <t>REF.DEV.: 000000008138-NF REF.DOC.: 000000008137-NF-014-24/10/2022 - PARC. 1/1&lt;&lt;csq&gt;&gt;</t>
  </si>
  <si>
    <t>00001998-MARCELO HENRIQUE DE PAIVA - ME</t>
  </si>
  <si>
    <t>TELEFONE(S): (61) 3233-6492  (61)98436-8732</t>
  </si>
  <si>
    <t>000000002520A-CC</t>
  </si>
  <si>
    <t>80004949-MARCELO PASINI JUNIOR</t>
  </si>
  <si>
    <t xml:space="preserve">TELEFONE(S):  (61) 9961-3713 </t>
  </si>
  <si>
    <t>TOT.DÉBITO: 5.491,23</t>
  </si>
  <si>
    <t>000000000110A-AG</t>
  </si>
  <si>
    <t>REF. AGRUPAMENTO Nro. 000000000110 - PARC. 1 / 1 - DOC(S): 000000001704A/000000001705A - PAGTO.PARCIAL - DTA. REC.: 03/03/2021 - VR. ORIGINAL: 11.380,88 - VR. PAGO: 1.000,00 - PAGTO.PARCIAL - DTA. REC.: 18/03/2021 - VR. ORIGINAL: 11.380,88 - VR. PAGO: 1.000,00&lt;&lt;csq&gt;&gt;&lt;&lt;csq&gt;&gt;Vencimento Original: 18/03/2021 - Vr.Original: 9.436,24&lt;&lt;csq&gt;&gt;Novo Vencimento    : 30/04/2021 - Novo Valor : 9.436,24&lt;&lt;csq&gt;&gt;Juros alterado de 0,00 para 0,00 por motivo de prorrogação do vencimento.&lt;&lt;csq&gt;&gt; - PAGTO.PARCIAL - DTA. REC.: 26/03/2021 - VR. ORIGINAL: 11.380,88 - VR. PAGO: 1.000,00 - PAGTO.PARCIAL - DTA. REC.: 08/04/2021 - VR. ORIGINAL: 11.380,88 - VR. PAGO: 200,00 - PAGTO.PARCIAL - DTA. REC.: 27/04/2021 - VR. ORIGINAL: 11.380,88 - VR. PAGO: 461,01 - PAGTO.PARCIAL - DTA. REC.: 10/05/2021 - VR. ORIGINAL: 7.775,23 - VR. PAGO: 500,00 - PAGTO.PARCIAL - DTA. REC.: 17/05/2021 - VR. ORIGINAL: 7.275,23 - VR. PAGO: 500,00&lt;&lt;csq&gt;&gt;Em 28/05/2021, ocorreu prorrogação do vencimento. Operador: 020&lt;&lt;csq&gt;&gt;Vencimento Original: 05/05/2021 - Vr.Original: 6.775,23&lt;&lt;csq&gt;&gt;Novo Vencimento    : 07/07/2021 - Novo Valor : 6.775,23&lt;&lt;csq&gt;&gt;Juros alterado de 0,00 para 0,00 por motivo de prorrogação do vencimento.&lt;&lt;csq&gt;&gt; - PAGTO.PARCIAL - DTA. REC.: 31/05/2021 - VR. ORIGINAL: 6.775,23 - VR. PAGO: 500,00 - PAGTO.PARCIAL - DTA. REC.: 05/01/2022 - VR. ORIGINAL: 6.275,23 - VR. PAGO: 484,00 - PAGTO.PARCIAL - DTA. REC.: 04/05/2022 - VR. ORIGINAL: 11.380,88 - VR. PAGO: 300,00</t>
  </si>
  <si>
    <t>80005097-MARCELO PASINI JUNIOR - EIRELI</t>
  </si>
  <si>
    <t xml:space="preserve">TELEFONE(S):  (61)99961-3713 </t>
  </si>
  <si>
    <t>000000000643A-CC</t>
  </si>
  <si>
    <t>REF. LANC. CREDITO - CLIENTE: 80005097-MARCELO PASINI JUNIOR - EIRELI - PAGTO.PARCIAL - DTA. REC.: 07/08/2023 - VR. ORIGINAL: -262,40 - VR. PAGO: -262,00</t>
  </si>
  <si>
    <t>11005269-MARCIA ISABEL SILVA MENDES LTDA</t>
  </si>
  <si>
    <t>TOT.DÉBITO: -1,97</t>
  </si>
  <si>
    <t xml:space="preserve">REF. LANC. CREDITO - CLIENTE: 11005269-MARCIA ISABEL SILVA MENDES LTDA </t>
  </si>
  <si>
    <t>01000059-MARCIO BOLZON</t>
  </si>
  <si>
    <t xml:space="preserve">TELEFONE(S): (61) 3382-5958  </t>
  </si>
  <si>
    <t>TOT.DÉBITO: -10,12</t>
  </si>
  <si>
    <t>000000102988A-CC</t>
  </si>
  <si>
    <t>LANC. CRED. REF. A  - PAGTO.PARCIAL - DTA. REC.: 07/11/2023 - VR. ORIGINAL: -368,00 - VR. PAGO: -357,88</t>
  </si>
  <si>
    <t>00004314-MARCIO CAPPELLE RODRIGUES-ME</t>
  </si>
  <si>
    <t xml:space="preserve">TELEFONE(S): (61) 3552-5540 (61)99969-9271 </t>
  </si>
  <si>
    <t>02000325-MARCIO CESAR COSTA</t>
  </si>
  <si>
    <t xml:space="preserve">TELEFONE(S): (61)99190-6628 (61)99565-3009 </t>
  </si>
  <si>
    <t>TOT.DÉBITO: 388,72</t>
  </si>
  <si>
    <t>000000001684A-CC</t>
  </si>
  <si>
    <t>LANC. CRED. REF. A  - PAGTO.PARCIAL - DTA. REC.: 28/03/2024 - VR. ORIGINAL: -0,25 - VR. PAGO: -0,17</t>
  </si>
  <si>
    <t>02001253-MARCIO DE LIMA MARON</t>
  </si>
  <si>
    <t>TELEFONE(S):   (61)99934-6758</t>
  </si>
  <si>
    <t>000000000279A-CC</t>
  </si>
  <si>
    <t>LANC. CRED. REF. A  - PAGTO.PARCIAL - DTA. REC.: 30/11/2022 - VR. ORIGINAL: -444,00 - VR. PAGO: -417,00</t>
  </si>
  <si>
    <t>04000034-MARCIO RIBEIRO SA SILVA</t>
  </si>
  <si>
    <t>TELEFONE(S):   (61)98658-4264</t>
  </si>
  <si>
    <t>000000017940A-NF</t>
  </si>
  <si>
    <t>REF.DEV.: 000000017940-NF REF.DOC.: 000000005316-IF-004-16/03/2021 - PARC. 1/1&lt;&lt;csq&gt;&gt; - PAGTO.PARCIAL - DTA. REC.: 18/03/2021 - VR. ORIGINAL: -32,90 - VR. PAGO: -31,80</t>
  </si>
  <si>
    <t>02000866-MARCIO VIEIRA DE ALMEIDA</t>
  </si>
  <si>
    <t xml:space="preserve">TELEFONE(S): (61) 3536-3981  </t>
  </si>
  <si>
    <t>000000402703A-CC</t>
  </si>
  <si>
    <t>REF. LANC. CREDITO - CLIENTE: 02000866-MARCIO VIEIRA DE ALMEIDA</t>
  </si>
  <si>
    <t>03000190-MARCOS ANTONIO  DE SOUSA</t>
  </si>
  <si>
    <t xml:space="preserve">TELEFONE(S): (61)99130-4565  </t>
  </si>
  <si>
    <t>TOT.DÉBITO: 502,80</t>
  </si>
  <si>
    <t>000000003464A-IF</t>
  </si>
  <si>
    <t>00004394-MARCOS ANTONIO SOARES VIERA</t>
  </si>
  <si>
    <t>TELEFONE(S): (61) 3375-9188  (61) 8425-7675</t>
  </si>
  <si>
    <t>00004518-MARCOS HENRIQUE DE ARAUJO DAS CHAGAS</t>
  </si>
  <si>
    <t>TELEFONE(S): (61) 3254-6555  (61)99213-3847</t>
  </si>
  <si>
    <t>000000005801A-NF</t>
  </si>
  <si>
    <t>REF.DEV.: 000000005801-NF REF.DOC.: 000000022373-IF-013-14/12/2023 - PARC. 1/1&lt;&lt;csq&gt;&gt; - PAGTO.PARCIAL - DTA. REC.: 25/01/2024 - VR. ORIGINAL: -111,01 - VR. PAGO: -111,00</t>
  </si>
  <si>
    <t>80006462-MARIA LOURDES DA SILVA</t>
  </si>
  <si>
    <t>TELEFONE(S): (61)99149-6640  (61)99149-6640</t>
  </si>
  <si>
    <t>TOT.DÉBITO: -120,00</t>
  </si>
  <si>
    <t>000000601372A-CC</t>
  </si>
  <si>
    <t>REF. LANC. CREDITO - CLIENTE: 80006462-MARIA LOURDES DA SILVA</t>
  </si>
  <si>
    <t>80004966-MARLON LINO JANUARIO DE OLIVEIRA</t>
  </si>
  <si>
    <t xml:space="preserve">TELEFONE(S): (61) 9983-4078  </t>
  </si>
  <si>
    <t>TOT.DÉBITO: 1.895,76</t>
  </si>
  <si>
    <t>000000000106B-AG</t>
  </si>
  <si>
    <t>REF. AGRUPAMENTO Nro. 000000000106 - PARC. 2 / 6 - DOC(S): 000000000086A/000000000087A - PAGTO.PARCIAL - DTA. REC.: 08/10/2021 - VR. ORIGINAL: 737,00 - VR. PAGO: 287,24</t>
  </si>
  <si>
    <t>000000000106C-AG</t>
  </si>
  <si>
    <t>REF. AGRUPAMENTO Nro. 000000000106 - PARC. 3 / 6 - DOC(S): 000000000086A/000000000087A</t>
  </si>
  <si>
    <t>000000000106D-AG</t>
  </si>
  <si>
    <t>REF. AGRUPAMENTO Nro. 000000000106 - PARC. 4 / 6 - DOC(S): 000000000086A/000000000087A - PAGTO.PARCIAL - DTA. REC.: 29/06/2021 - VR. ORIGINAL: 737,00 - VR. PAGO: 500,00</t>
  </si>
  <si>
    <t>000000000106E-AG</t>
  </si>
  <si>
    <t>REF. AGRUPAMENTO Nro. 000000000106 - PARC. 5 / 6 - DOC(S): 000000000086A/000000000087A - PAGTO.PARCIAL - DTA. REC.: 03/08/2021 - VR. ORIGINAL: 737,00 - VR. PAGO: 500,00</t>
  </si>
  <si>
    <t>000000000106F-AG</t>
  </si>
  <si>
    <t>REF. AGRUPAMENTO Nro. 000000000106 - PARC. 6 / 6 - DOC(S): 000000000086A/000000000087A - PAGTO.PARCIAL - DTA. REC.: 01/09/2021 - VR. ORIGINAL: 737,00 - VR. PAGO: 500,00</t>
  </si>
  <si>
    <t>000000001969A-CC</t>
  </si>
  <si>
    <t>REF. LANC. CREDITO - CLIENTE: 80004966-MARLON LINO JANUARIO DE OLIVEIRA</t>
  </si>
  <si>
    <t>01000026-MARQUE +</t>
  </si>
  <si>
    <t xml:space="preserve">TELEFONE(S):  (61)33536-2300 </t>
  </si>
  <si>
    <t>TOT.DÉBITO: -0,90</t>
  </si>
  <si>
    <t>000000101876A-CC</t>
  </si>
  <si>
    <t>REFERENTE AO PIX - PAGTO.PARCIAL - DTA. REC.: 02/09/2022 - VR. ORIGINAL: -58,90 - VR. PAGO: -58,00</t>
  </si>
  <si>
    <t>05000617-MARQUES E PLINIO LANTERNAGEM E PINTURA LTDA</t>
  </si>
  <si>
    <t>000000009054A-NF</t>
  </si>
  <si>
    <t>05000290-MARTELINHO DE OURO J MOURA</t>
  </si>
  <si>
    <t xml:space="preserve">TELEFONE(S):  (61)98171-0631 </t>
  </si>
  <si>
    <t>000000003197A-CC</t>
  </si>
  <si>
    <t>REF. LANC. CREDITO - CLIENTE: 05000290-MARTELINHO DE OURO J MOURA</t>
  </si>
  <si>
    <t>80005560-MARTONE SANTOS FIQUEIREDO</t>
  </si>
  <si>
    <t>TELEFONE(S):   (61)99155-6828</t>
  </si>
  <si>
    <t>000000001175A-CC</t>
  </si>
  <si>
    <t>REF. LANC. CREDITO - CLIENTE: 80005560-MARTONE SANTOS FIQUEIREDO - PAGTO.PARCIAL - DTA. REC.: 01/10/2025 - VR. ORIGINAL: -515,30 - VR. PAGO: -505,80 - PAGTO.PARCIAL - DTA. REC.: 09/02/2026 - VR. ORIGINAL: -9,50 - VR. PAGO: -9,00</t>
  </si>
  <si>
    <t>11005800-MATEUS HENRIQUE MEDEIROS BANDEIRA</t>
  </si>
  <si>
    <t>TOT.DÉBITO: -58,86</t>
  </si>
  <si>
    <t>000000101023A-CC</t>
  </si>
  <si>
    <t>CREDITO GERADO A PEDIDO DO SAMUEL.</t>
  </si>
  <si>
    <t>80005868-MATEUS SOARES</t>
  </si>
  <si>
    <t xml:space="preserve">TELEFONE(S): (61)99233-2164  </t>
  </si>
  <si>
    <t>TOT.DÉBITO: -34,61</t>
  </si>
  <si>
    <t>000000003656A-NF</t>
  </si>
  <si>
    <t>REF.DEV.: 000000003656-NF REF.DOC.: 000000030269-IF-008-21/10/2024 - PARC. 1/1&lt;&lt;csq&gt;&gt; - PAGTO.PARCIAL - DTA. REC.: 28/10/2024 - VR. ORIGINAL: -329,61 - VR. PAGO: -295,00</t>
  </si>
  <si>
    <t>80005743-MATHEUS DUARTE DE OLIVEIRA</t>
  </si>
  <si>
    <t xml:space="preserve">TELEFONE(S): (61)99597-3811  </t>
  </si>
  <si>
    <t>TOT.DÉBITO: 0,31</t>
  </si>
  <si>
    <t>000000054988A-IF</t>
  </si>
  <si>
    <t>REFERENTE A FATURAMENTO - PARC. 1/1&lt;&lt;csq&gt;&gt; - PAGTO.PARCIAL - DTA. REC.: 12/12/2025 - VR. ORIGINAL: 54,31 - VR. PAGO: 54,00</t>
  </si>
  <si>
    <t>80006393-MATHEUS TELES BUENO</t>
  </si>
  <si>
    <t>TELEFONE(S): (61)99635-6176  (61)99635-6176</t>
  </si>
  <si>
    <t>TOT.DÉBITO: -179,90</t>
  </si>
  <si>
    <t>000000000891A-CC</t>
  </si>
  <si>
    <t>000000000892A-CC</t>
  </si>
  <si>
    <t>000000000897A-CC</t>
  </si>
  <si>
    <t>06000188-MATHEUS VINICIUS PEREIRA DOS SANTOS</t>
  </si>
  <si>
    <t>TELEFONE(S):  (61) 3967-6566 (61)99146-6490</t>
  </si>
  <si>
    <t>TOT.DÉBITO: 1.470,16</t>
  </si>
  <si>
    <t>001000000788A-AG</t>
  </si>
  <si>
    <t>REF. AGRUPAMENTO Nro. 001000000788 - PARC. 1 / 1 - DOC(S): 000000605795A/000000605940A</t>
  </si>
  <si>
    <t>00004169-MAURICIO CASSIMIRO PEREIRA</t>
  </si>
  <si>
    <t>TELEFONE(S): (61) 3385-2128  (61) 9669-4137</t>
  </si>
  <si>
    <t>LIM.CRÉDITO: 12.156,34</t>
  </si>
  <si>
    <t>TOT.DÉBITO: 2.475,22</t>
  </si>
  <si>
    <t>001000000789A-AG</t>
  </si>
  <si>
    <t>REF. AGRUPAMENTO Nro. 001000000789 - PARC. 1 / 1 - DOC(S): 000000605727A/000000605790A/000000605867A/000000605881A/000000606131A/000000606152A</t>
  </si>
  <si>
    <t>80004942-MAURICIO RODRIGUES MAGALHAES</t>
  </si>
  <si>
    <t xml:space="preserve">TELEFONE(S): (61)99640-5514  </t>
  </si>
  <si>
    <t>TOT.DÉBITO: -20,12</t>
  </si>
  <si>
    <t>000000000700A-CC</t>
  </si>
  <si>
    <t>REF. LANC. CREDITO - CLIENTE: 80004942-MAURICIO RODRIGUES MAGALHAES</t>
  </si>
  <si>
    <t>11005711-MAXX CONSTRUCAO E TECNOLOGIA LTDA</t>
  </si>
  <si>
    <t>TELEFONE(S):   (61)98207-9448</t>
  </si>
  <si>
    <t>TOT.DÉBITO: -36,79</t>
  </si>
  <si>
    <t>000000030027A-NF</t>
  </si>
  <si>
    <t>REF.DEV.: 000000030027-NF REF.DOC.: 000000028244-NF-009-26/11/2024 - PARC. 1/1&lt;&lt;csq&gt;&gt; - PAGTO.PARCIAL - DTA. REC.: 12/02/2025 - VR. ORIGINAL: -175,46 - VR. PAGO: -138,67</t>
  </si>
  <si>
    <t>00000834-MDA SOM E LUZ ESTRUTURAS ESPECIAIS LTDA</t>
  </si>
  <si>
    <t xml:space="preserve">TELEFONE(S): (61) 3356-1138  </t>
  </si>
  <si>
    <t>000000101871A-CC</t>
  </si>
  <si>
    <t>PAGAMENTO VIA PIX - PAGTO.PARCIAL - DTA. REC.: 02/09/2022 - VR. ORIGINAL: -698,90 - VR. PAGO: -698,40</t>
  </si>
  <si>
    <t>80005023-MEKATRON PEÇAS E SERVIÇOS AUTOMOTIVOS EIRELI - ME</t>
  </si>
  <si>
    <t xml:space="preserve">TELEFONE(S): (61)03362-7018 (61)99914-8027 </t>
  </si>
  <si>
    <t>TOT.DÉBITO: 314,10</t>
  </si>
  <si>
    <t>000000000827A-CC</t>
  </si>
  <si>
    <t>REF. LANC. CREDITO - CLIENTE: 80005023-MEKATRON PEÇAS E SERVIÇOS AUTOMOTIVOS EIRELI - ME - PAGTO.PARCIAL - DTA. REC.: 03/11/2022 - VR. ORIGINAL: -65,70 - VR. PAGO: -45,80</t>
  </si>
  <si>
    <t>000000000946B-AG</t>
  </si>
  <si>
    <t>REF. AGRUPAMENTO Nro. 000000000946 - PARC. 2 / 3 - DOC(S): 000000016179A</t>
  </si>
  <si>
    <t>02002082-MELLO ESTETICA AUTOMOTIVA</t>
  </si>
  <si>
    <t xml:space="preserve">TELEFONE(S): (61) 3356-1031  </t>
  </si>
  <si>
    <t>TOT.DÉBITO: -135,36</t>
  </si>
  <si>
    <t>000000000933A-CC</t>
  </si>
  <si>
    <t>01000182-MENDES FILM</t>
  </si>
  <si>
    <t>TELEFONE(S): (61) 3351-7970 (61) 3345-5879 (61)99643-4862</t>
  </si>
  <si>
    <t>TOT.DÉBITO: -4,00</t>
  </si>
  <si>
    <t>000000102164A-CC</t>
  </si>
  <si>
    <t>PG VIA PIX - PAGTO.PARCIAL - DTA. REC.: 17/01/2023 - VR. ORIGINAL: -66,00 - VR. PAGO: -62,00</t>
  </si>
  <si>
    <t>00004379-MESSIAS FERREIRA DE AQUINO</t>
  </si>
  <si>
    <t>TELEFONE(S): (61) 8515-6382  (61)99127-4835</t>
  </si>
  <si>
    <t>LIM.CRÉDITO: 4.268,18</t>
  </si>
  <si>
    <t>TOT.DÉBITO: 1.730,29</t>
  </si>
  <si>
    <t>001000000804A-AG</t>
  </si>
  <si>
    <t>REF. AGRUPAMENTO Nro. 001000000804 - PARC. 1 / 1 - DOC(S): 000000002044A/000000002046A/000000002062A/000000002094A/000000002105A/000000002117A/000000002129A/000000002133A/000000002145A/000000002146A/000000002177A/000000002185A - PAGTO.PARCIAL - DTA. REC.: 13/11/2024 - VR. ORIGINAL: 1.843,80 - VR. PAGO: 113,51</t>
  </si>
  <si>
    <t>80006420-MICHELE DAISY DE SOUSA</t>
  </si>
  <si>
    <t>TELEFONE(S): (61)3621-1670  (61)3621-1670</t>
  </si>
  <si>
    <t>000000000251A-CC</t>
  </si>
  <si>
    <t>REF. LANC. CREDITO - CLIENTE: 80006420-MICHELE DAISY DE SOUSA</t>
  </si>
  <si>
    <t>02001039-MIDWEST REP AUT LTDA</t>
  </si>
  <si>
    <t xml:space="preserve">TELEFONE(S): (61)98116-2538  </t>
  </si>
  <si>
    <t>TOT.DÉBITO: 1.407,44</t>
  </si>
  <si>
    <t>001000001451A-AG</t>
  </si>
  <si>
    <t>REF. AGRUPAMENTO Nro. 001000001451 - PARC. 1 / 3 - DOC(S): 000000000576A/000000000576B - PAGTO.PARCIAL - DTA. REC.: 10/11/2021 - VR. ORIGINAL: 552,69 - VR. PAGO: 350,00</t>
  </si>
  <si>
    <t>001000001451B-AG</t>
  </si>
  <si>
    <t>REF. AGRUPAMENTO Nro. 001000001451 - PARC. 2 / 3 - DOC(S): 000000000576A/000000000576B</t>
  </si>
  <si>
    <t>001000001451C-AG</t>
  </si>
  <si>
    <t>REF. AGRUPAMENTO Nro. 001000001451 - PARC. 3 / 3 - DOC(S): 000000000576A/000000000576B</t>
  </si>
  <si>
    <t>00002017-MJN SERVIÇOS DE SERRALHERIA EIRELI ME</t>
  </si>
  <si>
    <t>TELEFONE(S): (61) 3234-0492  (61)98149-2693</t>
  </si>
  <si>
    <t>LIM.CRÉDITO: 423,33</t>
  </si>
  <si>
    <t>TOT.DÉBITO: -6,22</t>
  </si>
  <si>
    <t>000000002600A-CC</t>
  </si>
  <si>
    <t>LANC. CRED. REF. A  - PAGTO.PARCIAL - DTA. REC.: 02/12/2025 - VR. ORIGINAL: -1.478,22 - VR. PAGO: -1.472,00</t>
  </si>
  <si>
    <t>05000245-MKF DE INDUTRIA E COMERCIO DE APARELHOS DE DIVERSÕES EIRELI</t>
  </si>
  <si>
    <t>TELEFONE(S):  (61) 3393-9357 (61)98232-4656</t>
  </si>
  <si>
    <t>000000600049A-CC</t>
  </si>
  <si>
    <t>11006169-MLM ELETRICA E HIDRAULICA LTDA</t>
  </si>
  <si>
    <t xml:space="preserve">TELEFONE(S):  (61)99114-6484 </t>
  </si>
  <si>
    <t>000000040151A-NF</t>
  </si>
  <si>
    <t>REF.DEV.: 000000040151-NF REF.DOC.: 000000040064-NF-009-15/01/2026 - PARC. 1/1&lt;&lt;csq&gt;&gt;</t>
  </si>
  <si>
    <t>00002662-MOBILIZA AUTO CENTER E LANTERNAGEM EIRELI</t>
  </si>
  <si>
    <t>TELEFONE(S): (61) 3233-6767 (61)99981-2181 (61)99983-3920</t>
  </si>
  <si>
    <t>TOT.DÉBITO: 13.668,36</t>
  </si>
  <si>
    <t>000000000004A-CH</t>
  </si>
  <si>
    <t>DTA.TIT: 19/01/2022, REF. A CHQ. No: 000198, AGE: 0106_x000D_ EMITENTE: MOBILIZA AUTO CENTER E LANTERNAGEM EIREL_x000D_ TELECHEQUE NÃO</t>
  </si>
  <si>
    <t>000000000015A-CH</t>
  </si>
  <si>
    <t>DTA.TIT: 22/03/2022, REF. A CHQ. No: 000215, AGE: 0106_x000D_ EMITENTE: MOBILIZA AUTO CENTER E LANTERNAGEM EIREL_x000D_ TELECHEQUE NÃO</t>
  </si>
  <si>
    <t>001000001651A-AG</t>
  </si>
  <si>
    <t>REF. AGRUPAMENTO Nro. 001000001651 - PARC. 1 / 1 - DOC(S): 000000004021A/000000004094A/000000004133A/000000004156A/000000004180A/000000004185A/000000004233A/000000004254A/000000004288A/000000004291A/000000004377A/000000004380A/000000004394A/000000004447A/000000004451A/000000004461A/000000004479A/000000004542A</t>
  </si>
  <si>
    <t>000000000039A-CH</t>
  </si>
  <si>
    <t>DTA.TIT: 22/03/2022, REF. A CHQ. No: 000218, AGE: 0106_x000D_ EMITENTE: MOBILIZA AUTO CENTER E LANTERNAGEM EIREL_x000D_ TELECHEQUE NÃO</t>
  </si>
  <si>
    <t>00003121-MODELO LANTERNAGEM E PINTURA</t>
  </si>
  <si>
    <t xml:space="preserve">TELEFONE(S): (61) 3354-7622 (61)98542-0645 </t>
  </si>
  <si>
    <t>000000018549A-NF</t>
  </si>
  <si>
    <t>REF.DEV.: 000000018549-NF REF.DOC.: 000000018500-NF-004-28/06/2021 - PARC. 1/1&lt;&lt;csq&gt;&gt;</t>
  </si>
  <si>
    <t>80005847-MOISES DE SOUZA DAS NEVES</t>
  </si>
  <si>
    <t>TELEFONE(S):   (61)98242-3989</t>
  </si>
  <si>
    <t>TOT.DÉBITO: -22,80</t>
  </si>
  <si>
    <t>000000001540A-NF</t>
  </si>
  <si>
    <t>REF.DEV.: 000000001540-NF REF.DOC.: 000000021458-IF-016-19/01/2026 - PARC. 1/1&lt;&lt;csq&gt;&gt; - PAGTO.PARCIAL - DTA. REC.: 19/01/2026 - VR. ORIGINAL: -84,80 - VR. PAGO: -62,00</t>
  </si>
  <si>
    <t>00004776-MOTO AGRICOLA SLAVIERO S A</t>
  </si>
  <si>
    <t xml:space="preserve">TELEFONE(S): (61) 2193-4431  </t>
  </si>
  <si>
    <t>LIM.CRÉDITO: 200.000,00</t>
  </si>
  <si>
    <t>TOT.DÉBITO: 1.642,22</t>
  </si>
  <si>
    <t>000000001159A-NF</t>
  </si>
  <si>
    <t>REF.DEV.: 000000001159-NF REF.DOC.: 000000001054-NF-022-20/08/2024 - PARC. 1/1&lt;&lt;csq&gt;&gt;</t>
  </si>
  <si>
    <t>000000002983A-NF</t>
  </si>
  <si>
    <t>REF.DEV.: 000000002983-NF REF.DOC.: 000000002801-NF-022-16/07/2025 - PARC. 1/1&lt;&lt;csq&gt;&gt;</t>
  </si>
  <si>
    <t>80005873-MOURA SERVIÇOS ESPECIALIZADOS LTDA</t>
  </si>
  <si>
    <t>TELEFONE(S): (61) 9860-4748 (61)98323-6698 (61)98101-5916</t>
  </si>
  <si>
    <t>00003801-MOURA TRANSPORTES LTDA</t>
  </si>
  <si>
    <t xml:space="preserve">TELEFONE(S): (61) 3443-3072  </t>
  </si>
  <si>
    <t>TOT.DÉBITO: -21,43</t>
  </si>
  <si>
    <t>000000001147A-CC</t>
  </si>
  <si>
    <t>REF. LANC. CREDITO - CLIENTE: 00003801-MOURA TRANSPORTES LTDA</t>
  </si>
  <si>
    <t>11006430-MOVI ELECTRIC COMERCIO DE VEICULOS LTDA</t>
  </si>
  <si>
    <t>TELEFONE(S):   (61)99977-0773</t>
  </si>
  <si>
    <t>TOT.DÉBITO: -0,37</t>
  </si>
  <si>
    <t>000000000128A-CC</t>
  </si>
  <si>
    <t>LANC. CRED. REF. A  - PAGTO.PARCIAL - DTA. REC.: 11/11/2025 - VR. ORIGINAL: -9,70 - VR. PAGO: -8,37 - PAGTO.PARCIAL - DTA. REC.: 18/11/2025 - VR. ORIGINAL: -1,33 - VR. PAGO: -0,96</t>
  </si>
  <si>
    <t>04000237-MPB AUTO MECANICA EIRELI</t>
  </si>
  <si>
    <t>TELEFONE(S):   (61)99568-7064</t>
  </si>
  <si>
    <t>000000018777A-NF</t>
  </si>
  <si>
    <t>REFERENTE A FATURAMENTO - PARC. 1/1&lt;&lt;csq&gt;&gt; - PAGTO.PARCIAL - DTA. REC.: 25/08/2021 - VR. ORIGINAL: 442,00 - VR. PAGO: 167,70 - PAGTO.PARCIAL - DTA. REC.: 23/10/2021 - VR. ORIGINAL: 442,00 - VR. PAGO: 200,00 - PAGTO.PARCIAL - DTA. REC.: 17/02/2022 - VR. ORIGINAL: 442,00 - VR. PAGO: 47,49</t>
  </si>
  <si>
    <t>11005211-MR TINTAS AUTOMOTIVAS E ACESSORIOS LTDA</t>
  </si>
  <si>
    <t>TOT.DÉBITO: -252,82</t>
  </si>
  <si>
    <t>000000000133A-CC</t>
  </si>
  <si>
    <t>LANC. CRED. REF. A  - PAGTO.PARCIAL - DTA. REC.: 15/08/2025 - VR. ORIGINAL: -549,25 - VR. PAGO: -296,43</t>
  </si>
  <si>
    <t>80004994-MRP COMERCIO E TRANSPORTES DE GAS LTDA ME</t>
  </si>
  <si>
    <t>TELEFONE(S): (61)99978-0182  (61)99978-0182</t>
  </si>
  <si>
    <t>TOT.DÉBITO: -328,64</t>
  </si>
  <si>
    <t>000000000438A-CC</t>
  </si>
  <si>
    <t xml:space="preserve">LANC. CRED. REF. </t>
  </si>
  <si>
    <t>00003614-MVS/  MAURICIO VICENTE DE SANTANA ME</t>
  </si>
  <si>
    <t xml:space="preserve">TELEFONE(S): (61) 3354-0644  </t>
  </si>
  <si>
    <t>TOT.DÉBITO: -8,59</t>
  </si>
  <si>
    <t>000000000632A-CC</t>
  </si>
  <si>
    <t>REF. LANC. CREDITO - CLIENTE: 00003614-MVS/  MAURICIO VICENTE DE SANTANA ME</t>
  </si>
  <si>
    <t>000000000636A-CC</t>
  </si>
  <si>
    <t>80005256-NACIONAL DISTRIBUIDORA DE CARNES BEEF LTDA</t>
  </si>
  <si>
    <t xml:space="preserve">TELEFONE(S):  (61) 3622-4525 </t>
  </si>
  <si>
    <t>TOT.DÉBITO: 499,41</t>
  </si>
  <si>
    <t>LANC. CRED. REF. A  - PAGTO.PARCIAL - DTA. REC.: 15/06/2023 - VR. ORIGINAL: -117,00 - VR. PAGO: -116,41</t>
  </si>
  <si>
    <t>000000000748A-NF</t>
  </si>
  <si>
    <t>80005727-NADINE DE OLIVEIRA MORAIS</t>
  </si>
  <si>
    <t xml:space="preserve">TELEFONE(S): (38)99929-2791  </t>
  </si>
  <si>
    <t>TOT.DÉBITO: -109,95</t>
  </si>
  <si>
    <t>000000000114A-DV</t>
  </si>
  <si>
    <t>REF.DEV.: 000000000114-DV REF.DOC.: 000000014190-FF-015-30/12/2025 - PARC. 1/1&lt;&lt;csq&gt;&gt; - PAGTO.PARCIAL - DTA. REC.: 06/02/2026 - VR. ORIGINAL: -117,40 - VR. PAGO: -7,45</t>
  </si>
  <si>
    <t>80005417-NAGYLA HACYB CARNEIRO SALOMÃO</t>
  </si>
  <si>
    <t xml:space="preserve">TELEFONE(S):  (61)99615-7460 </t>
  </si>
  <si>
    <t>02002058-NATANAEL ALBA MARTINEZ</t>
  </si>
  <si>
    <t xml:space="preserve">TELEFONE(S): (61)99680-8647  </t>
  </si>
  <si>
    <t>TOT.DÉBITO: 94,00</t>
  </si>
  <si>
    <t>000000020155A-NF</t>
  </si>
  <si>
    <t>04000312-NATURAL LOGISTICA EM TRANSPORTE EIRELI</t>
  </si>
  <si>
    <t xml:space="preserve">TELEFONE(S): (61)99951-4530  </t>
  </si>
  <si>
    <t>TOT.DÉBITO: -20,00</t>
  </si>
  <si>
    <t>000000401723A-CC</t>
  </si>
  <si>
    <t>00004568-NB COMERCIAL DE TINTAS LTDA</t>
  </si>
  <si>
    <t>000000037273A-NF</t>
  </si>
  <si>
    <t>REF.DEV.: 000000037273-NF REF.DOC.: 000000037016-NF-009-03/10/2025 - PARC. 1/1&lt;&lt;csq&gt;&gt; - PAGTO.PARCIAL - DTA. REC.: 10/10/2025 - VR. ORIGINAL: -397,60 - VR. PAGO: -384,00</t>
  </si>
  <si>
    <t>02001787-NEM CENTRO AUTOMOTIVO</t>
  </si>
  <si>
    <t>TELEFONE(S):   (61)99623-2324</t>
  </si>
  <si>
    <t>000000001188A-CC</t>
  </si>
  <si>
    <t>REF. LANC. CREDITO - CLIENTE: 02001787-NEM CENTRO AUTOMOTIVO</t>
  </si>
  <si>
    <t>000000001190A-CC</t>
  </si>
  <si>
    <t>11005494-NEWPAD PRODUTOS AUTOMOTIVOS LTDA</t>
  </si>
  <si>
    <t>TOT.DÉBITO: 950,00</t>
  </si>
  <si>
    <t>000000024410A-NF</t>
  </si>
  <si>
    <t>80005547-NEWTON DA SILVA OLIVEIRA</t>
  </si>
  <si>
    <t xml:space="preserve">TELEFONE(S): (61)99149-2042  </t>
  </si>
  <si>
    <t>000000000098A-CC</t>
  </si>
  <si>
    <t>LANC. CRED. REF. A  - PAGTO.PARCIAL - DTA. REC.: 21/07/2025 - VR. ORIGINAL: -430,00 - VR. PAGO: -360,00 - PAGTO.PARCIAL - DTA. REC.: 25/07/2025 - VR. ORIGINAL: -70,00 - VR. PAGO: -33,34 - PAGTO.PARCIAL - DTA. REC.: 25/07/2025 - VR. ORIGINAL: -36,66 - VR. PAGO: -29,00</t>
  </si>
  <si>
    <t>000000014866A-NF</t>
  </si>
  <si>
    <t>000000015062A-NF</t>
  </si>
  <si>
    <t>REF.DEV.: 000000015062-NF REF.DOC.: 000000015058-NF-006-03/02/2026 - PARC. 1/1&lt;&lt;csq&gt;&gt; - PAGTO.PARCIAL - DTA. REC.: 05/02/2026 - VR. ORIGINAL: -130,86 - VR. PAGO: -129,51</t>
  </si>
  <si>
    <t>00004782-NGD NUCLE0 GRAFICO DIGITAL-EPP</t>
  </si>
  <si>
    <t xml:space="preserve">TELEFONE(S): (61) 3344-9925  </t>
  </si>
  <si>
    <t>TOT.DÉBITO: 369,00</t>
  </si>
  <si>
    <t>000000000781A-CC</t>
  </si>
  <si>
    <t>LANC. CRED. REF. A  - PAGTO.PARCIAL - DTA. REC.: 24/08/2022 - VR. ORIGINAL: -58,90 - VR. PAGO: -52,90</t>
  </si>
  <si>
    <t>11005113-NIL TINTAS LTDA</t>
  </si>
  <si>
    <t xml:space="preserve">TELEFONE(S): (61)99379-1787  </t>
  </si>
  <si>
    <t>TOT.DÉBITO: 8.723,44</t>
  </si>
  <si>
    <t>000000017804C-NF</t>
  </si>
  <si>
    <t>REFERENTE A FATURAMENTO - PARC. 3/3&lt;&lt;csq&gt;&gt; - PAGTO.PARCIAL - DTA. REC.: 23/10/2023 - VR. ORIGINAL: 1.145,63 - VR. PAGO: 708,72</t>
  </si>
  <si>
    <t>000000018450A-NF</t>
  </si>
  <si>
    <t>000000018450B-NF</t>
  </si>
  <si>
    <t>000000018450C-NF</t>
  </si>
  <si>
    <t>000000019101A-NF</t>
  </si>
  <si>
    <t>000000019101B-NF</t>
  </si>
  <si>
    <t>000000019101C-NF</t>
  </si>
  <si>
    <t>00004732-NILSON CAETANO ROSA 221.928.911-72</t>
  </si>
  <si>
    <t>TELEFONE(S):   (61)98472-1227</t>
  </si>
  <si>
    <t>000000026160A-NF</t>
  </si>
  <si>
    <t>REF.DEV.: 000000026160-NF REF.DOC.: 000000026026-NF-009-27/08/2024 - PARC. 1/1&lt;&lt;csq&gt;&gt;</t>
  </si>
  <si>
    <t>80006182-NILSON CARROCERIA</t>
  </si>
  <si>
    <t>TELEFONE(S): (61)99241-0204  (61)99241-0204</t>
  </si>
  <si>
    <t>000000000206A-CC</t>
  </si>
  <si>
    <t>REF. LANC. CREDITO - CLIENTE: 80006182-NILSON CARROCERIA</t>
  </si>
  <si>
    <t>000000000310A-CC</t>
  </si>
  <si>
    <t>04000055-NILSON CORREA DE REZENDE</t>
  </si>
  <si>
    <t>TELEFONE(S):   (61)98477-4840</t>
  </si>
  <si>
    <t>000000402383A-CC</t>
  </si>
  <si>
    <t>LANC. CRED. REF. A  - PAGTO.PARCIAL - DTA. REC.: 10/09/2024 - VR. ORIGINAL: -56,80 - VR. PAGO: -56,18</t>
  </si>
  <si>
    <t>01000135-NORALDO JOSE VIEIRA</t>
  </si>
  <si>
    <t xml:space="preserve">TELEFONE(S): (61)99145-1048  </t>
  </si>
  <si>
    <t>000000015479A-NF</t>
  </si>
  <si>
    <t>REF.DEV.: 000000015479-NF REF.DOC.: 000000026378-IF-001-24/08/2021 - PARC. 1/1&lt;&lt;csq&gt;&gt; - PAGTO.PARCIAL - DTA. REC.: 25/08/2021 - VR. ORIGINAL: -49,24 - VR. PAGO: -49,00</t>
  </si>
  <si>
    <t>80005081-NOVA FAST COMERCIO DE TINTAS LTDA</t>
  </si>
  <si>
    <t xml:space="preserve">TELEFONE(S): (61) 3877-3408  </t>
  </si>
  <si>
    <t>TOT.DÉBITO: 48.357,84</t>
  </si>
  <si>
    <t>000000007514C-NF</t>
  </si>
  <si>
    <t>000000007515C-NF</t>
  </si>
  <si>
    <t>000000007533C-NF</t>
  </si>
  <si>
    <t>000000007534C-NF</t>
  </si>
  <si>
    <t>000000007562C-NF</t>
  </si>
  <si>
    <t>000000007608C-NF</t>
  </si>
  <si>
    <t>000000008565A-NF</t>
  </si>
  <si>
    <t>000000008566A-NF</t>
  </si>
  <si>
    <t>000000008034B-NF</t>
  </si>
  <si>
    <t>000000008080B-NF</t>
  </si>
  <si>
    <t>000000007621C-NF</t>
  </si>
  <si>
    <t>000000007662C-NF</t>
  </si>
  <si>
    <t>000000007663C-NF</t>
  </si>
  <si>
    <t>000000008098B-NF</t>
  </si>
  <si>
    <t>000000007682C-NF</t>
  </si>
  <si>
    <t>000000008129B-NF</t>
  </si>
  <si>
    <t>000000007701C-NF</t>
  </si>
  <si>
    <t>000000007704C-NF</t>
  </si>
  <si>
    <t>000000006441B-NF</t>
  </si>
  <si>
    <t>NF DE TRANSFERENCIA 6441&lt;&lt;csq&gt;&gt;DESCONTO REFERENTE A DEBITOS DA UNICA - PAGTO.PARCIAL - DTA. REC.: 26/05/2022 - VR. ORIGINAL: 33.623,96 - VR. PAGO: 3.475,70</t>
  </si>
  <si>
    <t>000000008640A-NF</t>
  </si>
  <si>
    <t>000000008185B-NF</t>
  </si>
  <si>
    <t>000000008708A-NF</t>
  </si>
  <si>
    <t>000000008193B-NF</t>
  </si>
  <si>
    <t>000000008711A-NF</t>
  </si>
  <si>
    <t>000000008217B-NF</t>
  </si>
  <si>
    <t>000000008263B-NF</t>
  </si>
  <si>
    <t>000000008385B-NF</t>
  </si>
  <si>
    <t>000000008490B-NF</t>
  </si>
  <si>
    <t>000000008994A-NF</t>
  </si>
  <si>
    <t>000000009003A-NF</t>
  </si>
  <si>
    <t>000000008565B-NF</t>
  </si>
  <si>
    <t>000000008566B-NF</t>
  </si>
  <si>
    <t>000000009080A-NF</t>
  </si>
  <si>
    <t>000000008034C-NF</t>
  </si>
  <si>
    <t>000000008080C-NF</t>
  </si>
  <si>
    <t>000000008098C-NF</t>
  </si>
  <si>
    <t>000000009114A-NF</t>
  </si>
  <si>
    <t>000000008129C-NF</t>
  </si>
  <si>
    <t>000000009151A-NF</t>
  </si>
  <si>
    <t>000000009634A-NF</t>
  </si>
  <si>
    <t>REF.DEV.: 000000009634-NF REF.DOC.: 000000006441-NF-009-01/12/2021 - PARC. 1/1&lt;&lt;csq&gt;&gt;</t>
  </si>
  <si>
    <t>000000009182A-NF</t>
  </si>
  <si>
    <t>000000008640B-NF</t>
  </si>
  <si>
    <t>000000009231A-NF</t>
  </si>
  <si>
    <t>000000008185C-NF</t>
  </si>
  <si>
    <t>000000008708B-NF</t>
  </si>
  <si>
    <t>000000008193C-NF</t>
  </si>
  <si>
    <t>000000008711B-NF</t>
  </si>
  <si>
    <t>000000008217C-NF</t>
  </si>
  <si>
    <t>000000009242A-NF</t>
  </si>
  <si>
    <t>000000009243A-NF</t>
  </si>
  <si>
    <t>000000009249A-NF</t>
  </si>
  <si>
    <t>000000008263C-NF</t>
  </si>
  <si>
    <t>000000009292A-NF</t>
  </si>
  <si>
    <t>000000000149A-NF</t>
  </si>
  <si>
    <t>REF. AO DOCUMENTO No 000000000149NF, no valor total de R$ 285,090</t>
  </si>
  <si>
    <t>000000000146A-NF</t>
  </si>
  <si>
    <t>REF. AO DOCUMENTO No 000000000146NF, no valor total de R$ 1.413,000</t>
  </si>
  <si>
    <t>000000009326A-NF</t>
  </si>
  <si>
    <t>000000009338A-NF</t>
  </si>
  <si>
    <t>000000008309C-NF</t>
  </si>
  <si>
    <t>000000009363A-NF</t>
  </si>
  <si>
    <t>000000008385C-NF</t>
  </si>
  <si>
    <t>000000009428A-NF</t>
  </si>
  <si>
    <t>000000008490C-NF</t>
  </si>
  <si>
    <t>000000008994B-NF</t>
  </si>
  <si>
    <t>000000009003B-NF</t>
  </si>
  <si>
    <t>000000009514A-NF</t>
  </si>
  <si>
    <t>000000009523A-NF</t>
  </si>
  <si>
    <t>000000009054B-NF</t>
  </si>
  <si>
    <t>000000008565C-NF</t>
  </si>
  <si>
    <t>000000008566C-NF</t>
  </si>
  <si>
    <t>000000009080B-NF</t>
  </si>
  <si>
    <t>000000009114B-NF</t>
  </si>
  <si>
    <t>000000009151B-NF</t>
  </si>
  <si>
    <t>000000009632A-NF</t>
  </si>
  <si>
    <t>000000009182B-NF</t>
  </si>
  <si>
    <t>000000008640C-NF</t>
  </si>
  <si>
    <t>000000009231B-NF</t>
  </si>
  <si>
    <t>000000008708C-NF</t>
  </si>
  <si>
    <t>000000009673A-NF</t>
  </si>
  <si>
    <t>000000008711C-NF</t>
  </si>
  <si>
    <t>000000009242B-NF</t>
  </si>
  <si>
    <t>000000009243B-NF</t>
  </si>
  <si>
    <t>000000009292B-NF</t>
  </si>
  <si>
    <t>000000009326B-NF</t>
  </si>
  <si>
    <t>000000009338B-NF</t>
  </si>
  <si>
    <t>000000009814A-NF</t>
  </si>
  <si>
    <t>000000009363B-NF</t>
  </si>
  <si>
    <t>000000009855A-NF</t>
  </si>
  <si>
    <t>000000009428B-NF</t>
  </si>
  <si>
    <t>000000009916A-NF</t>
  </si>
  <si>
    <t>000000000159A-NF</t>
  </si>
  <si>
    <t>REF. AO DOCUMENTO No 000000000159NF, no valor total de R$ 300,000</t>
  </si>
  <si>
    <t>000000008994C-NF</t>
  </si>
  <si>
    <t>000000009003C-NF</t>
  </si>
  <si>
    <t>000000009961A-NF</t>
  </si>
  <si>
    <t>000000009514B-NF</t>
  </si>
  <si>
    <t>000000009523B-NF</t>
  </si>
  <si>
    <t>000000010018A-NF</t>
  </si>
  <si>
    <t>000000009054C-NF</t>
  </si>
  <si>
    <t>000000009080C-NF</t>
  </si>
  <si>
    <t>000000000171A-NF</t>
  </si>
  <si>
    <t>REF. AO DOCUMENTO No 000000000171NF, no valor total de R$ 370,770</t>
  </si>
  <si>
    <t>000000000161A-NF</t>
  </si>
  <si>
    <t>REF. AO DOCUMENTO No 000000000161NF, no valor total de R$ 300,000</t>
  </si>
  <si>
    <t>000000000220A-NF</t>
  </si>
  <si>
    <t>REF. AO DOCUMENTO No 000000000220NF, no valor total de R$ 554,040</t>
  </si>
  <si>
    <t>000000000157A-NF</t>
  </si>
  <si>
    <t>REF. AO DOCUMENTO No 000000000157NF, no valor total de R$ 870,000</t>
  </si>
  <si>
    <t>000000009428C-NF</t>
  </si>
  <si>
    <t>000000009916B-NF</t>
  </si>
  <si>
    <t>000000000198A-NF</t>
  </si>
  <si>
    <t>REF. AO DOCUMENTO No 000000000198NF, no valor total de R$ 347,220</t>
  </si>
  <si>
    <t>000000009961B-NF</t>
  </si>
  <si>
    <t>000000010479A-NF</t>
  </si>
  <si>
    <t>000000010505A-NF</t>
  </si>
  <si>
    <t>000000009514C-NF</t>
  </si>
  <si>
    <t>000000009523C-NF</t>
  </si>
  <si>
    <t>000000010018B-NF</t>
  </si>
  <si>
    <t>000000010533A-NF</t>
  </si>
  <si>
    <t>000000010566A-NF</t>
  </si>
  <si>
    <t>000000000211A-NF</t>
  </si>
  <si>
    <t>REF. AO DOCUMENTO No 000000000211NF, no valor total de R$ 154,320</t>
  </si>
  <si>
    <t>000000010064B-NF</t>
  </si>
  <si>
    <t>000000010092B-NF</t>
  </si>
  <si>
    <t>000000010093B-NF</t>
  </si>
  <si>
    <t>000000010121B-NF</t>
  </si>
  <si>
    <t>000000009632C-NF</t>
  </si>
  <si>
    <t>000000010632A-NF</t>
  </si>
  <si>
    <t>000000000223A-NF</t>
  </si>
  <si>
    <t>REF. AO DOCUMENTO No 000000000223NF, no valor total de R$ 277,020</t>
  </si>
  <si>
    <t>000000010684A-NF</t>
  </si>
  <si>
    <t>000000010193B-NF</t>
  </si>
  <si>
    <t>000000000227A-NF</t>
  </si>
  <si>
    <t>REF. AO DOCUMENTO No 000000000227NF, no valor total de R$ 98,210</t>
  </si>
  <si>
    <t>000000009673C-NF</t>
  </si>
  <si>
    <t>000000010252B-NF</t>
  </si>
  <si>
    <t>000000010735A-NF</t>
  </si>
  <si>
    <t>000000000225A-NF</t>
  </si>
  <si>
    <t>REF. AO DOCUMENTO No 000000000225NF, no valor total de R$ 11.503,290</t>
  </si>
  <si>
    <t>000000010797A-NF</t>
  </si>
  <si>
    <t>000000009814C-NF</t>
  </si>
  <si>
    <t>000000010330B-NF</t>
  </si>
  <si>
    <t>000000010343B-NF</t>
  </si>
  <si>
    <t>000000009855C-NF</t>
  </si>
  <si>
    <t>000000010375B-NF</t>
  </si>
  <si>
    <t>000000000240A-NF</t>
  </si>
  <si>
    <t>REF. AO DOCUMENTO No 000000000240NF, no valor total de R$ 163,500</t>
  </si>
  <si>
    <t>000000009916C-NF</t>
  </si>
  <si>
    <t>000000010887A-NF</t>
  </si>
  <si>
    <t>000000010410B-NF</t>
  </si>
  <si>
    <t>000000010910A-NF</t>
  </si>
  <si>
    <t>000000010927A-NF</t>
  </si>
  <si>
    <t>000000009961C-NF</t>
  </si>
  <si>
    <t>000000010479B-NF</t>
  </si>
  <si>
    <t>000000006441C-NF</t>
  </si>
  <si>
    <t>NF DE TRANSFERENCIA 6441&lt;&lt;csq&gt;&gt;DESCONTO REFERENTE A DEBITOS DA UNICA_x000D_Em 09/03/2022, ocorreu prorrogação do vencimento. Operador: 084_x000D_Vencimento Original: 01/03/2022 - Vr.Original: 33.623,96_x000D_Novo Vencimento    : 01/04/2022 - Novo Valor : 25.052,44_x000D_Juros alterado de 0,00 para 0,00 por motivo de prorrogação do vencimento._x000D_ - PAGTO.PARCIAL - DTA. REC.: 11/10/2022 - VR. ORIGINAL: 33.623,96 - VR. PAGO: 5.127,48 - PAGTO.PARCIAL - DTA. REC.: 11/10/2022 - VR. ORIGINAL: 19.924,96 - VR. PAGO: 12.288,15 - PAGTO.PARCIAL - DTA. REC.: 11/10/2022 - VR. ORIGINAL: 7.636,81 - VR. PAGO: 98,21</t>
  </si>
  <si>
    <t>000000010505B-NF</t>
  </si>
  <si>
    <t>000000010018C-NF</t>
  </si>
  <si>
    <t>000000010956A-NV</t>
  </si>
  <si>
    <t>000000010964A-NF</t>
  </si>
  <si>
    <t>000000010533B-NF</t>
  </si>
  <si>
    <t>000000011023A-NF</t>
  </si>
  <si>
    <t>000000010566B-NF</t>
  </si>
  <si>
    <t>000000010064C-NF</t>
  </si>
  <si>
    <t>000000010092C-NF</t>
  </si>
  <si>
    <t>000000010093C-NF</t>
  </si>
  <si>
    <t>000000010121C-NF</t>
  </si>
  <si>
    <t>000000011099A-NF</t>
  </si>
  <si>
    <t>000000010632B-NF</t>
  </si>
  <si>
    <t>000000011130A-NF</t>
  </si>
  <si>
    <t>000000010684B-NF</t>
  </si>
  <si>
    <t>000000010193C-NF</t>
  </si>
  <si>
    <t>000000010252C-NF</t>
  </si>
  <si>
    <t>000000010735B-NF</t>
  </si>
  <si>
    <t>000000011241A-NF</t>
  </si>
  <si>
    <t>000000011252A-NF</t>
  </si>
  <si>
    <t>000000010797B-NF</t>
  </si>
  <si>
    <t>000000010330C-NF</t>
  </si>
  <si>
    <t>000000010343C-NF</t>
  </si>
  <si>
    <t>000000010375C-NF</t>
  </si>
  <si>
    <t>000000010887B-NF</t>
  </si>
  <si>
    <t>000000011398A-NF</t>
  </si>
  <si>
    <t>000000010410C-NF</t>
  </si>
  <si>
    <t>000000011469A-NF</t>
  </si>
  <si>
    <t>000000010910B-NF</t>
  </si>
  <si>
    <t>000000010927B-NF</t>
  </si>
  <si>
    <t>000000010479C-NF</t>
  </si>
  <si>
    <t>000000011506A-NF</t>
  </si>
  <si>
    <t>000000010505C-NF</t>
  </si>
  <si>
    <t>000000010956B-NV</t>
  </si>
  <si>
    <t>000000010964B-NF</t>
  </si>
  <si>
    <t>000000011566A-NF</t>
  </si>
  <si>
    <t>000000011569A-NF</t>
  </si>
  <si>
    <t>000000010533C-NF</t>
  </si>
  <si>
    <t>000000011023B-NF</t>
  </si>
  <si>
    <t>000000010566C-NF</t>
  </si>
  <si>
    <t>000000011740A-NF</t>
  </si>
  <si>
    <t>000000011099B-NF</t>
  </si>
  <si>
    <t>000000011803A-NF</t>
  </si>
  <si>
    <t>000000010632C-NF</t>
  </si>
  <si>
    <t>000000011130B-NF</t>
  </si>
  <si>
    <t>000000011861A-NF</t>
  </si>
  <si>
    <t>000000010684C-NF</t>
  </si>
  <si>
    <t>000000010735C-NF</t>
  </si>
  <si>
    <t>000000012051A-NF</t>
  </si>
  <si>
    <t>000000011241B-NF</t>
  </si>
  <si>
    <t>000000011252B-NF</t>
  </si>
  <si>
    <t>000000010797C-NF</t>
  </si>
  <si>
    <t>000000012180A-NF</t>
  </si>
  <si>
    <t>000000010887C-NF</t>
  </si>
  <si>
    <t>000000011398B-NF</t>
  </si>
  <si>
    <t>000000011469B-NF</t>
  </si>
  <si>
    <t>000000010910C-NF</t>
  </si>
  <si>
    <t>000000010927C-NF</t>
  </si>
  <si>
    <t>000000011506B-NF</t>
  </si>
  <si>
    <t>000000010956C-NV</t>
  </si>
  <si>
    <t>000000010964C-NF</t>
  </si>
  <si>
    <t>000000011566B-NF</t>
  </si>
  <si>
    <t>000000011569B-NF</t>
  </si>
  <si>
    <t>000000011023C-NF</t>
  </si>
  <si>
    <t>000000011740B-NF</t>
  </si>
  <si>
    <t>000000011099C-NF</t>
  </si>
  <si>
    <t>000000011803B-NF</t>
  </si>
  <si>
    <t>000000011130C-NF</t>
  </si>
  <si>
    <t>000000011861B-NF</t>
  </si>
  <si>
    <t>000000012051B-NF</t>
  </si>
  <si>
    <t>000000011241C-NF</t>
  </si>
  <si>
    <t>000000011252C-NF</t>
  </si>
  <si>
    <t>000000012180B-NF</t>
  </si>
  <si>
    <t>000000011398C-NF</t>
  </si>
  <si>
    <t>000000011469C-NF</t>
  </si>
  <si>
    <t>000000011506C-NF</t>
  </si>
  <si>
    <t>000000011566C-NF</t>
  </si>
  <si>
    <t>000000011569C-NF</t>
  </si>
  <si>
    <t>000000011740C-NF</t>
  </si>
  <si>
    <t>000000011803C-NF</t>
  </si>
  <si>
    <t>000000011861C-NF</t>
  </si>
  <si>
    <t>000000012051C-NF</t>
  </si>
  <si>
    <t>000000012180C-NF</t>
  </si>
  <si>
    <t>000000001626A-NF</t>
  </si>
  <si>
    <t>REF. DEV. No.: 000000001626-NF-009,  REF.DOC.:000000015711-NF-009, no valor total de R$ 129,740</t>
  </si>
  <si>
    <t>CARTÃO E PIX PARA ABATER NAS VENDAS  - PAGTO.PARCIAL - DTA. REC.: 18/10/2023 - VR. ORIGINAL: -980,00 - VR. PAGO: -317,50 - PAGTO.PARCIAL - DTA. REC.: 18/10/2023 - VR. ORIGINAL: -662,50 - VR. PAGO: -481,59 - PAGTO.PARCIAL - DTA. REC.: 13/12/2023 - VR. ORIGINAL: -180,91 - VR. PAGO: -5,16 - PAGTO.PARCIAL - DTA. REC.: 14/12/2023 - VR. ORIGINAL: -175,75 - VR. PAGO: -29,60</t>
  </si>
  <si>
    <t>REF. LANC. CREDITO - CLIENTE: 80005081-NOVA FAST COMERCIO DE TINTAS LTDA</t>
  </si>
  <si>
    <t>000000002059A-NF</t>
  </si>
  <si>
    <t>REF. DEV. No.: 000000002059-NF-009,  REF.DOC.:--, no valor total de R$ 76,210</t>
  </si>
  <si>
    <t>000000001686A-CC</t>
  </si>
  <si>
    <t>REFERENTE AS BASES DA SKY QUE FORAM TRANSFERIDAS PARA A ÚNICA ATACADISTA - PAGTO.PARCIAL - DTA. REC.: 11/11/2024 - VR. ORIGINAL: -988,78 - VR. PAGO: -988,75</t>
  </si>
  <si>
    <t>000000000019A-CC</t>
  </si>
  <si>
    <t>REF. LANC. CREDITO - CLIENTE: 80005081-NOVA FAST COMERCIO DE TINTAS LTDA - PAGTO.PARCIAL - DTA. REC.: 29/05/2025 - VR. ORIGINAL: -3,31 - VR. PAGO: -2,84</t>
  </si>
  <si>
    <t>00004937-NOVA IMPERIO DF SOM E ACESSORIOS LTDA</t>
  </si>
  <si>
    <t xml:space="preserve">TELEFONE(S): (61)98464-4988 (61) 3385-7751 </t>
  </si>
  <si>
    <t>000000000113A-CC</t>
  </si>
  <si>
    <t>REF. LANC. CREDITO - CLIENTE: 00004937-NOVA IMPERIO DF SOM E ACESSORIOS LTDA</t>
  </si>
  <si>
    <t>02001128-NVC EQUIP PARA CONS CIIV EIRELI ME</t>
  </si>
  <si>
    <t xml:space="preserve">TELEFONE(S): (61)98473-6690  </t>
  </si>
  <si>
    <t>TOT.DÉBITO: 42,00</t>
  </si>
  <si>
    <t>000000000653A-NF</t>
  </si>
  <si>
    <t>000000000222A-CC</t>
  </si>
  <si>
    <t>02001370-OCEMI MOREIRA DA CRUZ</t>
  </si>
  <si>
    <t xml:space="preserve">TELEFONE(S): (61)99270-4388  </t>
  </si>
  <si>
    <t>000000001203A-CC</t>
  </si>
  <si>
    <t>REF. LANC. CREDITO - CLIENTE: 02001370-OCEMI MOREIRA DA CRUZ</t>
  </si>
  <si>
    <t>05000438-ODEVANIR SPADA</t>
  </si>
  <si>
    <t>TELEFONE(S):   (61)99690-0602</t>
  </si>
  <si>
    <t>000000003029A-CC</t>
  </si>
  <si>
    <t>REF. LANC. CREDITO - CLIENTE: 05000438-ODEVANIR SPADA</t>
  </si>
  <si>
    <t>00003413-OFICINA DO GUEDES LTDA</t>
  </si>
  <si>
    <t>000000002996A-CC</t>
  </si>
  <si>
    <t>REF. LANC. CREDITO - CLIENTE: 00003413-OFICINA DO GUEDES LTDA</t>
  </si>
  <si>
    <t>000000000496A-CC</t>
  </si>
  <si>
    <t>LANC. CRED. REF. A  - PAGTO.PARCIAL - DTA. REC.: 29/10/2025 - VR. ORIGINAL: -446,81 - VR. PAGO: -369,99</t>
  </si>
  <si>
    <t>01000284-OMMINICAR COMERCIO E SERVIÇOS DE AUTOMOTORES LTDA</t>
  </si>
  <si>
    <t>TELEFONE(S): (61)98206-1073  61</t>
  </si>
  <si>
    <t>000000402726A-CC</t>
  </si>
  <si>
    <t>REF. LANC. CREDITO - CLIENTE: 01000284-OMMINICAR COMERCIO E SERVIÇOS DE AUTOMOTORES LTDA</t>
  </si>
  <si>
    <t>11005057-ONDA ATACADISTA LTDA</t>
  </si>
  <si>
    <t>TELEFONE(S):   (61) 3351-9062</t>
  </si>
  <si>
    <t>TOT.DÉBITO: 16.538,53</t>
  </si>
  <si>
    <t>000000015146A-NF</t>
  </si>
  <si>
    <t>000000014997A-NF</t>
  </si>
  <si>
    <t>000000015146B-NF</t>
  </si>
  <si>
    <t>000000015250A-NF</t>
  </si>
  <si>
    <t>000000014997B-NF</t>
  </si>
  <si>
    <t>000000015293A-NF</t>
  </si>
  <si>
    <t>000000014997C-NF</t>
  </si>
  <si>
    <t>000000015293B-NF</t>
  </si>
  <si>
    <t>000000015293C-NF</t>
  </si>
  <si>
    <t>11005101-OPCAO TINTAS LTDA</t>
  </si>
  <si>
    <t>TELEFONE(S):   (61) 3223-2890</t>
  </si>
  <si>
    <t>TOT.DÉBITO: 26.252,08</t>
  </si>
  <si>
    <t>000000018499C-NF</t>
  </si>
  <si>
    <t>REFERENTE A FATURAMENTO - PARC. 3/3&lt;&lt;csq&gt;&gt; - PAGTO.PARCIAL - DTA. REC.: 29/08/2024 - VR. ORIGINAL: 2.398,33 - VR. PAGO: 58,51</t>
  </si>
  <si>
    <t>000000017838D-NF</t>
  </si>
  <si>
    <t>000000018566A-NF</t>
  </si>
  <si>
    <t>000000017932B-NF</t>
  </si>
  <si>
    <t>000000017412C-NF</t>
  </si>
  <si>
    <t>000000017838E-NF</t>
  </si>
  <si>
    <t>000000018566B-NF</t>
  </si>
  <si>
    <t>000000018303B-NF</t>
  </si>
  <si>
    <t>000000018566C-NF</t>
  </si>
  <si>
    <t>000000019260A-NF</t>
  </si>
  <si>
    <t>000000017932C-NF</t>
  </si>
  <si>
    <t>REFERENTE A FATURAMENTO - PARC. 3/3&lt;&lt;csq&gt;&gt; - PAGTO.PARCIAL - DTA. REC.: 27/11/2025 - VR. ORIGINAL: 239,86 - VR. PAGO: 76,78</t>
  </si>
  <si>
    <t>000000018303C-NF</t>
  </si>
  <si>
    <t>000000019260B-NF</t>
  </si>
  <si>
    <t>000000000106A-CC</t>
  </si>
  <si>
    <t>000000019663A-NF</t>
  </si>
  <si>
    <t>000000019260C-NF</t>
  </si>
  <si>
    <t>000000019663B-NF</t>
  </si>
  <si>
    <t>000000019663C-NF</t>
  </si>
  <si>
    <t>00002383-ORIAS JUNHO ALELUIA VIEIRA</t>
  </si>
  <si>
    <t xml:space="preserve">TELEFONE(S):  (61)99267-8991 </t>
  </si>
  <si>
    <t>000000000631A-CC</t>
  </si>
  <si>
    <t>LANC. CRED. REF. A  - PAGTO.PARCIAL - DTA. REC.: 07/05/2024 - VR. ORIGINAL: -1.000,00 - VR. PAGO: -556,12 - PAGTO.PARCIAL - DTA. REC.: 11/05/2024 - VR. ORIGINAL: -443,88 - VR. PAGO: -337,15</t>
  </si>
  <si>
    <t>00004751-ORIGINALL PINTURA AUTOMOTIVA</t>
  </si>
  <si>
    <t xml:space="preserve">TELEFONE(S): (61)99165-6481  </t>
  </si>
  <si>
    <t>TOT.DÉBITO: 2.434,84</t>
  </si>
  <si>
    <t>000000012499A-IF</t>
  </si>
  <si>
    <t>000000009145A-NF</t>
  </si>
  <si>
    <t>000000009148A-NF</t>
  </si>
  <si>
    <t>000000009217A-NF</t>
  </si>
  <si>
    <t>000000012652A-IF</t>
  </si>
  <si>
    <t>000000009103A-NF</t>
  </si>
  <si>
    <t>REFERENTE A FATURAMENTO - PARC. 1/1&lt;&lt;csq&gt;&gt; - PAGTO.PARCIAL - DTA. REC.: 17/06/2024 - VR. ORIGINAL: 131,65 - VR. PAGO: 63,32</t>
  </si>
  <si>
    <t>000000009066A-NF</t>
  </si>
  <si>
    <t>REFERENTE A FATURAMENTO - PARC. 1/1&lt;&lt;csq&gt;&gt; - PAGTO.PARCIAL - DTA. REC.: 31/07/2024 - VR. ORIGINAL: 761,83 - VR. PAGO: 600,00</t>
  </si>
  <si>
    <t>000000012739A-IF</t>
  </si>
  <si>
    <t>000000002415A-CC</t>
  </si>
  <si>
    <t>LANC. CRED. REF. A  - PAGTO.PARCIAL - DTA. REC.: 26/08/2025 - VR. ORIGINAL: -101,50 - VR. PAGO: -90,98 - PAGTO.PARCIAL - DTA. REC.: 09/09/2025 - VR. ORIGINAL: -10,52 - VR. PAGO: -10,00</t>
  </si>
  <si>
    <t>000000002644A-CC</t>
  </si>
  <si>
    <t>LANC. CRED. REF. A  - PAGTO.PARCIAL - DTA. REC.: 23/12/2025 - VR. ORIGINAL: -87,00 - VR. PAGO: -86,80</t>
  </si>
  <si>
    <t>000000002674A-CC</t>
  </si>
  <si>
    <t>REF. LANC. CREDITO - CLIENTE: 00004751-ORIGINALL PINTURA AUTOMOTIVA</t>
  </si>
  <si>
    <t>000000002725A-CC</t>
  </si>
  <si>
    <t>LANC. CRED. REF. A  - PAGTO.PARCIAL - DTA. REC.: 11/02/2026 - VR. ORIGINAL: -197,00 - VR. PAGO: -191,00</t>
  </si>
  <si>
    <t>80004945-OSIAS CARLOS DE ABREU JUNIOR</t>
  </si>
  <si>
    <t xml:space="preserve">TELEFONE(S): (61) 9806-3263  </t>
  </si>
  <si>
    <t>000000000852A-CC</t>
  </si>
  <si>
    <t>REF. LANC. CREDITO - CLIENTE: 80004945-OSIAS CARLOS DE ABREU JUNIOR</t>
  </si>
  <si>
    <t>11005947-OSIEL GOMES DE SOUSA</t>
  </si>
  <si>
    <t>TELEFONE(S):   (61)99119-0666</t>
  </si>
  <si>
    <t>000000038141A-NF</t>
  </si>
  <si>
    <t>80004986-OSMAR MOREIRA DE CARVALHO</t>
  </si>
  <si>
    <t>TELEFONE(S):  (61)99669-0453 (61)99669-0453</t>
  </si>
  <si>
    <t>000000000859A-CC</t>
  </si>
  <si>
    <t>REF. LANC. CREDITO - CLIENTE: 80004986-OSMAR MOREIRA DE CARVALHO</t>
  </si>
  <si>
    <t>00000001-OTTO HENRIQUE BORGES TAQUATY - ME</t>
  </si>
  <si>
    <t>000000401529A-CC</t>
  </si>
  <si>
    <t>REF. LANC. CREDITO - CLIENTE: 00000001-OTTO HENRIQUE BORGES TAQUATY - ME</t>
  </si>
  <si>
    <t>01000071-PABLO JACOB TEIXERIENSE DIAS</t>
  </si>
  <si>
    <t xml:space="preserve">TELEFONE(S): (61)99655-3021  </t>
  </si>
  <si>
    <t>TOT.DÉBITO: -2,16</t>
  </si>
  <si>
    <t>LANC. CRED. REF. A  - PAGTO.PARCIAL - DTA. REC.: 25/01/2024 - VR. ORIGINAL: -500,00 - VR. PAGO: -497,84</t>
  </si>
  <si>
    <t>04000331-PAI E FILHO LANTERNAGEM E PINTURA</t>
  </si>
  <si>
    <t xml:space="preserve">TELEFONE(S):  (61)98486-8333 </t>
  </si>
  <si>
    <t>001000002200A-AG</t>
  </si>
  <si>
    <t>11006100-PAINT COMERCIO ATACADISTA DE TINTAS LTDA</t>
  </si>
  <si>
    <t xml:space="preserve">TELEFONE(S):  (61)93356-8514 </t>
  </si>
  <si>
    <t>80005111-PAIVA NETO LANTERNAGEM E PINTURA LTDA</t>
  </si>
  <si>
    <t>TELEFONE(S): (61) 3612-4088  (61)98441-6650</t>
  </si>
  <si>
    <t>LANC. CRED. REF. A  - PAGTO.PARCIAL - DTA. REC.: 27/01/2022 - VR. ORIGINAL: -792,00 - VR. PAGO: -787,90</t>
  </si>
  <si>
    <t>80005299-PANGARE LANTERNAGEM</t>
  </si>
  <si>
    <t xml:space="preserve">TELEFONE(S):  (61) 9848-5075 </t>
  </si>
  <si>
    <t>02002207-PARK AUTO SERVICE LTDA</t>
  </si>
  <si>
    <t>TELEFONE(S): (61)98596-2922  (61)98596-2922</t>
  </si>
  <si>
    <t>000000001137A-CC</t>
  </si>
  <si>
    <t>REF. LANC. CREDITO - CLIENTE: 02002207-PARK AUTO SERVICE LTDA</t>
  </si>
  <si>
    <t>000000001140A-CC</t>
  </si>
  <si>
    <t>REF. LANC. CREDITO - CLIENTE: 02002207-PARK AUTO SERVICE LTDA - PAGTO.PARCIAL - DTA. REC.: 30/09/2025 - VR. ORIGINAL: -87,00 - VR. PAGO: -80,00</t>
  </si>
  <si>
    <t>11005531-PASCOA - COMERCIAL BRASILEIRA DE DISTRIBUICAO E IMPORTACAO L</t>
  </si>
  <si>
    <t>TELEFONE(S):   (61)99570-4695</t>
  </si>
  <si>
    <t>TOT.DÉBITO: 9.612,45</t>
  </si>
  <si>
    <t>000000025023A-NF</t>
  </si>
  <si>
    <t>000000025368A-NF</t>
  </si>
  <si>
    <t>000000025023B-NF</t>
  </si>
  <si>
    <t>000000025368B-NF</t>
  </si>
  <si>
    <t>000000025023C-NF</t>
  </si>
  <si>
    <t>000000025368C-NF</t>
  </si>
  <si>
    <t>80004956-PAULO AUGUSTO DO CORAÇAO DE JESUS</t>
  </si>
  <si>
    <t xml:space="preserve">TELEFONE(S): (61)99554-2144  </t>
  </si>
  <si>
    <t>80005546-PAULO CAIXETA</t>
  </si>
  <si>
    <t>TOT.DÉBITO: -24,60</t>
  </si>
  <si>
    <t>000000002422A-CC</t>
  </si>
  <si>
    <t>000000002436A-CC</t>
  </si>
  <si>
    <t>REF. LANC. CREDITO - CLIENTE: 80005546-PAULO AUGUSTO</t>
  </si>
  <si>
    <t>LANC. CRED. REF. A  - PAGTO.PARCIAL - DTA. REC.: 29/09/2025 - VR. ORIGINAL: -215,90 - VR. PAGO: -205,90</t>
  </si>
  <si>
    <t>80004988-PAULO CESAR DA SILVA /OFICINA DO PAULO</t>
  </si>
  <si>
    <t>TELEFONE(S):   (61)99225-7340</t>
  </si>
  <si>
    <t>TOT.DÉBITO: -42,64</t>
  </si>
  <si>
    <t>000000000589A-CC</t>
  </si>
  <si>
    <t>LANC. CRED. REF. A  - PAGTO.PARCIAL - DTA. REC.: 26/11/2025 - VR. ORIGINAL: -309,40 - VR. PAGO: -266,76</t>
  </si>
  <si>
    <t>05000036-PAULO CESAR DA SILVA REIS</t>
  </si>
  <si>
    <t>TELEFONE(S):  (61)98403-0362 (61)99314-2833</t>
  </si>
  <si>
    <t>000000001834A-CC</t>
  </si>
  <si>
    <t>REF. LANC. CREDITO - CLIENTE: 05000036-PAULO CESAR DA SILVA REIS</t>
  </si>
  <si>
    <t>06000240-PAULO CESAR PINHEIRO</t>
  </si>
  <si>
    <t>TELEFONE(S):  (61)99664-7082 (61)99664-7082</t>
  </si>
  <si>
    <t>000000601070A-CC</t>
  </si>
  <si>
    <t>REF. LANC. CREDITO - CLIENTE: 06000240-PAULO CESAR PINHEIRO</t>
  </si>
  <si>
    <t>000000601182A-CC</t>
  </si>
  <si>
    <t>02000228-PAULO DO NASCIMENTO BENIGNO</t>
  </si>
  <si>
    <t xml:space="preserve">TELEFONE(S): (61)99181-3443  </t>
  </si>
  <si>
    <t>000000103026A-CC</t>
  </si>
  <si>
    <t>LANC. CRED. REF. A  - PAGTO.PARCIAL - DTA. REC.: 16/11/2023 - VR. ORIGINAL: -1.256,92 - VR. PAGO: -1.229,92</t>
  </si>
  <si>
    <t>00003355-PAULO HENRIQUE FRANCO</t>
  </si>
  <si>
    <t xml:space="preserve">TELEFONE(S): (61)96996-9975  </t>
  </si>
  <si>
    <t>000000018021A-NF</t>
  </si>
  <si>
    <t>REF.DEV.: 000000018021-NF REF.DOC.: 000000017938-NF-014-12/09/2024 - PARC. 1/1&lt;&lt;csq&gt;&gt; - PAGTO.PARCIAL - DTA. REC.: 17/09/2024 - VR. ORIGINAL: -26,18 - VR. PAGO: -11,56</t>
  </si>
  <si>
    <t>02001267-PAULO RICARDO</t>
  </si>
  <si>
    <t>TELEFONE(S):   (61)99586-1869</t>
  </si>
  <si>
    <t>TOT.DÉBITO: -7,57</t>
  </si>
  <si>
    <t>000000000205A-CC</t>
  </si>
  <si>
    <t>LANC. CRED. REF. A  - PAGTO.PARCIAL - DTA. REC.: 18/07/2022 - VR. ORIGINAL: -9,00 - VR. PAGO: -1,43</t>
  </si>
  <si>
    <t>05000629-PAULO RODRIGUES DE ALMEIDA</t>
  </si>
  <si>
    <t>TOT.DÉBITO: -10,46</t>
  </si>
  <si>
    <t>000000008682A-NF</t>
  </si>
  <si>
    <t>REF.DEV.: 000000008682-NF REF.DOC.: 000000035074-IF-013-06/03/2025 - PARC. 1/1&lt;&lt;csq&gt;&gt; - PAGTO.PARCIAL - DTA. REC.: 18/09/2025 - VR. ORIGINAL: -150,00 - VR. PAGO: -139,54</t>
  </si>
  <si>
    <t>80005269-PAULO SERGIO PEREIRA DA ROCHA</t>
  </si>
  <si>
    <t xml:space="preserve">TELEFONE(S):  (61)99206-8307 </t>
  </si>
  <si>
    <t>TOT.DÉBITO: -2,33</t>
  </si>
  <si>
    <t>000000002357A-CC</t>
  </si>
  <si>
    <t>REF. LANC. CREDITO - CLIENTE: 80005269-PAULO SERGIO PEREIRA DA ROCHA</t>
  </si>
  <si>
    <t>11005030-PC COMERCIO DE TINTAS LTDA</t>
  </si>
  <si>
    <t xml:space="preserve">TELEFONE(S): (61)99100-4072  </t>
  </si>
  <si>
    <t>TOT.DÉBITO: 5.649,95</t>
  </si>
  <si>
    <t>000000021154B-NF</t>
  </si>
  <si>
    <t>000000020917C-NF</t>
  </si>
  <si>
    <t>000000021154C-NF</t>
  </si>
  <si>
    <t>000000021369B-NF</t>
  </si>
  <si>
    <t>000000021554B-NF</t>
  </si>
  <si>
    <t>000000021369C-NF</t>
  </si>
  <si>
    <t>000000021554C-NF</t>
  </si>
  <si>
    <t>00002373-PEDRO PUPE DE BRITO EIRELI ME</t>
  </si>
  <si>
    <t>TELEFONE(S): (61) 3322-2083  (61) 9518-5330</t>
  </si>
  <si>
    <t>TOT.DÉBITO: 202.724,64</t>
  </si>
  <si>
    <t>001000001523C-AG</t>
  </si>
  <si>
    <t>REF. AGRUPAMENTO Nro. 001000001523 - PARC. 3 / 4 - DOC(S): 000000018251A/000000018253A/000000018254A/000000018255A/000000018264A/000000018268A/000000018282A/000000018285A/000000018289A/000000018293A/000000018294A - PAGTO.PARCIAL - DTA. REC.: 04/07/2024 - VR. ORIGINAL: 2.046,00 - VR. PAGO: 178,11 &lt;&lt;csq&gt;&gt; - DUPLICATA ESTORNADA: 15/07/2024 001000001523C - SEQ: 1 - ESP: AG - EMP: 001 - DTA. REC.: 04/07/2024 - VR. REC.: 178,11 - PAGTO.PARCIAL - DTA. REC.: 27/06/2024 - VR. ORIGINAL: 2.046,00 - VR. PAGO: 127,74</t>
  </si>
  <si>
    <t>001000001499D-AG</t>
  </si>
  <si>
    <t>REF. AGRUPAMENTO Nro. 001000001499 - PARC. 4 / 4 - DOC(S): 000000018057A/000000018060A/000000018075A/000000018076A/000000018077A/000000018078A/000000018086A/000000018093A/000000018094A/000000018100A/000000018101A</t>
  </si>
  <si>
    <t>001000001573A-AG</t>
  </si>
  <si>
    <t>REF. AGRUPAMENTO Nro. 001000001573 - PARC. 1 / 4 - DOC(S): 000000018647A/000000018649A/000000018651A/000000018655A/000000018656A/000000018657A/000000018658A/000000018659A/000000018660A/000000018661A/000000018666A/000000018668A/000000018669A/000000018674A</t>
  </si>
  <si>
    <t>001000001550B-AG</t>
  </si>
  <si>
    <t>REF. AGRUPAMENTO Nro. 001000001550 - PARC. 2 / 4 - DOC(S): 000000018469A/000000018471A/000000018475A/000000018476A/000000018485A/000000018496A/000000018500A/000000018503A/000000018504A/000000018505A/000000018509A/000000018510A/000000018515A/000000018518A</t>
  </si>
  <si>
    <t>001000001526C-AG</t>
  </si>
  <si>
    <t>REF. AGRUPAMENTO Nro. 001000001526 - PARC. 3 / 4 - DOC(S): 000000018297A/000000018298A/000000018304A/000000018314A/000000018319A/000000018321A/000000018322A/000000018323A/000000018331A/000000018332A</t>
  </si>
  <si>
    <t>001000001502D-AG</t>
  </si>
  <si>
    <t>REF. AGRUPAMENTO Nro. 001000001502 - PARC. 4 / 4 - DOC(S): 000000018108A/000000018110A/000000018111A/000000018115A/000000018118A/000000018119A/000000018120A/000000018126A/000000018139A/000000018147A</t>
  </si>
  <si>
    <t>001000001576A-AG</t>
  </si>
  <si>
    <t>REF. AGRUPAMENTO Nro. 001000001576 - PARC. 1 / 4 - DOC(S): 000000018682A/000000018683A/000000018684A/000000018685A/000000018689A/000000018692A/000000018693A/000000018698A/000000018699A/000000018702A/000000018704A/000000018706A/000000018715A/000000018719A/000000018721A</t>
  </si>
  <si>
    <t>001000001565B-AG</t>
  </si>
  <si>
    <t>REF. AGRUPAMENTO Nro. 001000001565 - PARC. 2 / 4 - DOC(S): 000000018529A/000000018533A/000000018537A/000000018540A/000000018541A/000000018544A/000000018548A/000000018549A/000000018550A/000000018561A/000000018562A/000000018569A/000000018570A/000000018571A/000000018579A</t>
  </si>
  <si>
    <t>001000001544C-AG</t>
  </si>
  <si>
    <t>REF. AGRUPAMENTO Nro. 001000001544 - PARC. 3 / 4 - DOC(S): 000000018336A/000000018338A/000000018342A/000000018343A/000000018347A/000000018352A/000000018360A/000000018362A/000000018363A/000000018364A/000000018373A/000000018374A/000000018379A/000000018380A/000000018381A/000000018384A/000000018385A</t>
  </si>
  <si>
    <t>001000001521D-AG</t>
  </si>
  <si>
    <t>REF. AGRUPAMENTO Nro. 001000001521 - PARC. 4 / 4 - DOC(S): 000000018158A/000000018159A/000000018160A/000000018161A/000000018163A/000000018166A/000000018167A/000000018176A/000000018181A/000000018192A/000000018202A/000000018206A</t>
  </si>
  <si>
    <t>001000001570B-AG</t>
  </si>
  <si>
    <t>REF. AGRUPAMENTO Nro. 001000001570 - PARC. 2 / 4 - DOC(S): 000000018583A/000000018584A/000000018588A/000000018591A/000000018592A/000000018593A/000000018594A/000000018595A/000000018596A/000000018597A/000000018598A</t>
  </si>
  <si>
    <t>001000001545C-AG</t>
  </si>
  <si>
    <t>REF. AGRUPAMENTO Nro. 001000001545 - PARC. 3 / 4 - DOC(S): 000000018387A/000000018388A/000000018390A/000000018397A/000000018398A/000000018411A/000000018414A/000000018419A/000000018420A/000000018421A/000000018425A/000000018426A</t>
  </si>
  <si>
    <t>001000001522D-AG</t>
  </si>
  <si>
    <t>REF. AGRUPAMENTO Nro. 001000001522 - PARC. 4 / 4 - DOC(S): 000000018214A/000000018215A/000000018221A/000000018222A/000000018223A/000000018224A/000000018227A/000000018231A/000000018235A/000000018236A/000000018239A/000000018240A/000000018241A</t>
  </si>
  <si>
    <t>001000001591A-AG</t>
  </si>
  <si>
    <t>REF. AGRUPAMENTO Nro. 001000001591 - PARC. 1 / 4 - DOC(S): 000000018726A/000000018729A/000000018732A/000000018733A/000000018734A/000000018736A/000000018738A/000000018742A/000000018749A/000000018754A/000000018756A/000000018758A/000000018765A/000000018777A/000000018779A/000000018780A/000000018783A/000000018784A/000000018786A/000000018787A/000000018789A/000000018791A/000000018792A/000000018793A/000000018794A</t>
  </si>
  <si>
    <t>001000001571B-AG</t>
  </si>
  <si>
    <t>REF. AGRUPAMENTO Nro. 001000001571 - PARC. 2 / 4 - DOC(S): 000000018605A/000000018608A/000000018612A/000000018619A/000000018622A/000000018624A/000000018626A/000000018630A/000000018634A/000000018637A/000000018640A/000000018641A/000000018643A/000000018644A</t>
  </si>
  <si>
    <t>001000001547C-AG</t>
  </si>
  <si>
    <t>REF. AGRUPAMENTO Nro. 001000001547 - PARC. 3 / 4 - DOC(S): 000000018431A/000000018432A/000000018433A/000000018436A/000000018443A/000000018444A/000000018445A/000000018449A/000000018450A/000000018457A/000000018458A/000000018461A/000000018465A</t>
  </si>
  <si>
    <t>001000001594A-AG</t>
  </si>
  <si>
    <t>REF. AGRUPAMENTO Nro. 001000001594 - PARC. 1 / 4 - DOC(S): 000000018796A/000000018797A/000000018800A/000000018801A/000000018802A/000000018805A/000000018811A/000000018812A/000000018813A/000000018816A/000000018824A/000000018829A</t>
  </si>
  <si>
    <t>001000001523D-AG</t>
  </si>
  <si>
    <t>REF. AGRUPAMENTO Nro. 001000001523 - PARC. 4 / 4 - DOC(S): 000000018251A/000000018253A/000000018254A/000000018255A/000000018264A/000000018268A/000000018282A/000000018285A/000000018289A/000000018293A/000000018294A</t>
  </si>
  <si>
    <t>001000001573B-AG</t>
  </si>
  <si>
    <t>REF. AGRUPAMENTO Nro. 001000001573 - PARC. 2 / 4 - DOC(S): 000000018647A/000000018649A/000000018651A/000000018655A/000000018656A/000000018657A/000000018658A/000000018659A/000000018660A/000000018661A/000000018666A/000000018668A/000000018669A/000000018674A</t>
  </si>
  <si>
    <t>001000001550C-AG</t>
  </si>
  <si>
    <t>REF. AGRUPAMENTO Nro. 001000001550 - PARC. 3 / 4 - DOC(S): 000000018469A/000000018471A/000000018475A/000000018476A/000000018485A/000000018496A/000000018500A/000000018503A/000000018504A/000000018505A/000000018509A/000000018510A/000000018515A/000000018518A</t>
  </si>
  <si>
    <t>001000001526D-AG</t>
  </si>
  <si>
    <t>REF. AGRUPAMENTO Nro. 001000001526 - PARC. 4 / 4 - DOC(S): 000000018297A/000000018298A/000000018304A/000000018314A/000000018319A/000000018321A/000000018322A/000000018323A/000000018331A/000000018332A</t>
  </si>
  <si>
    <t>001000001595A-AG</t>
  </si>
  <si>
    <t>REF. AGRUPAMENTO Nro. 001000001595 - PARC. 1 / 4 - DOC(S): 000000018832A/000000018835A/000000018836A/000000018837A/000000018844A/000000018845A/000000018849A/000000018853A/000000018854A/000000018855A/000000018856A/000000018859A/000000018860A/000000018862A/000000018865A/000000018866A/000000018869A</t>
  </si>
  <si>
    <t>001000001576B-AG</t>
  </si>
  <si>
    <t>REF. AGRUPAMENTO Nro. 001000001576 - PARC. 2 / 4 - DOC(S): 000000018682A/000000018683A/000000018684A/000000018685A/000000018689A/000000018692A/000000018693A/000000018698A/000000018699A/000000018702A/000000018704A/000000018706A/000000018715A/000000018719A/000000018721A</t>
  </si>
  <si>
    <t>001000001565C-AG</t>
  </si>
  <si>
    <t>REF. AGRUPAMENTO Nro. 001000001565 - PARC. 3 / 4 - DOC(S): 000000018529A/000000018533A/000000018537A/000000018540A/000000018541A/000000018544A/000000018548A/000000018549A/000000018550A/000000018561A/000000018562A/000000018569A/000000018570A/000000018571A/000000018579A</t>
  </si>
  <si>
    <t>001000001544D-AG</t>
  </si>
  <si>
    <t>REF. AGRUPAMENTO Nro. 001000001544 - PARC. 4 / 4 - DOC(S): 000000018336A/000000018338A/000000018342A/000000018343A/000000018347A/000000018352A/000000018360A/000000018362A/000000018363A/000000018364A/000000018373A/000000018374A/000000018379A/000000018380A/000000018381A/000000018384A/000000018385A</t>
  </si>
  <si>
    <t>001000001609A-AG</t>
  </si>
  <si>
    <t>REF. AGRUPAMENTO Nro. 001000001609 - PARC. 1 / 4 - DOC(S): 000000018874A/000000018878A/000000018879A/000000018886A/000000018888A/000000018890A/000000018891A/000000018897A/000000018898A/000000018900A/000000018901A/000000018904A/000000018908A/000000018910A/000000018911A/000000018914A/000000018917A</t>
  </si>
  <si>
    <t>001000001570C-AG</t>
  </si>
  <si>
    <t>REF. AGRUPAMENTO Nro. 001000001570 - PARC. 3 / 4 - DOC(S): 000000018583A/000000018584A/000000018588A/000000018591A/000000018592A/000000018593A/000000018594A/000000018595A/000000018596A/000000018597A/000000018598A</t>
  </si>
  <si>
    <t>001000001545D-AG</t>
  </si>
  <si>
    <t>REF. AGRUPAMENTO Nro. 001000001545 - PARC. 4 / 4 - DOC(S): 000000018387A/000000018388A/000000018390A/000000018397A/000000018398A/000000018411A/000000018414A/000000018419A/000000018420A/000000018421A/000000018425A/000000018426A</t>
  </si>
  <si>
    <t>001000001591B-AG</t>
  </si>
  <si>
    <t>REF. AGRUPAMENTO Nro. 001000001591 - PARC. 2 / 4 - DOC(S): 000000018726A/000000018729A/000000018732A/000000018733A/000000018734A/000000018736A/000000018738A/000000018742A/000000018749A/000000018754A/000000018756A/000000018758A/000000018765A/000000018777A/000000018779A/000000018780A/000000018783A/000000018784A/000000018786A/000000018787A/000000018789A/000000018791A/000000018792A/000000018793A/000000018794A</t>
  </si>
  <si>
    <t>001000001614A-AG</t>
  </si>
  <si>
    <t>REF. AGRUPAMENTO Nro. 001000001614 - PARC. 1 / 4 - DOC(S): 000000018922A/000000018925A/000000018926A/000000018931A/000000018936A/000000018937A/000000018938A/000000018939A/000000018940A/000000018941A/000000018943A/000000018944A/000000018945A/000000018946A/000000018952A/000000018957A/000000018962A/000000018968A</t>
  </si>
  <si>
    <t>001000001571C-AG</t>
  </si>
  <si>
    <t>REF. AGRUPAMENTO Nro. 001000001571 - PARC. 3 / 4 - DOC(S): 000000018605A/000000018608A/000000018612A/000000018619A/000000018622A/000000018624A/000000018626A/000000018630A/000000018634A/000000018637A/000000018640A/000000018641A/000000018643A/000000018644A</t>
  </si>
  <si>
    <t>001000001547D-AG</t>
  </si>
  <si>
    <t>REF. AGRUPAMENTO Nro. 001000001547 - PARC. 4 / 4 - DOC(S): 000000018431A/000000018432A/000000018433A/000000018436A/000000018443A/000000018444A/000000018445A/000000018449A/000000018450A/000000018457A/000000018458A/000000018461A/000000018465A</t>
  </si>
  <si>
    <t>001000001615A-AG</t>
  </si>
  <si>
    <t>REF. AGRUPAMENTO Nro. 001000001615 - PARC. 1 / 4 - DOC(S): 000000018970A/000000018972A/000000018975A/000000018976A/000000018982A/000000018984A/000000018990A/000000018992A/000000018994A/000000018997A/000000018999A/000000019006A/000000019007A/000000019008A/000000019011A/000000019013A/000000019014A/000000019015A/000000019016A</t>
  </si>
  <si>
    <t>001000001594B-AG</t>
  </si>
  <si>
    <t>REF. AGRUPAMENTO Nro. 001000001594 - PARC. 2 / 4 - DOC(S): 000000018796A/000000018797A/000000018800A/000000018801A/000000018802A/000000018805A/000000018811A/000000018812A/000000018813A/000000018816A/000000018824A/000000018829A</t>
  </si>
  <si>
    <t>001000001573C-AG</t>
  </si>
  <si>
    <t>REF. AGRUPAMENTO Nro. 001000001573 - PARC. 3 / 4 - DOC(S): 000000018647A/000000018649A/000000018651A/000000018655A/000000018656A/000000018657A/000000018658A/000000018659A/000000018660A/000000018661A/000000018666A/000000018668A/000000018669A/000000018674A</t>
  </si>
  <si>
    <t>001000001639A-AG</t>
  </si>
  <si>
    <t>REF. AGRUPAMENTO Nro. 001000001639 - PARC. 1 / 3 - DOC(S): 000000019017A/000000019018A/000000019019A/000000019022A/000000019023A/000000019027A/000000019028A/000000019029A/000000019033A/000000019035A/000000019036A/000000019038A/000000019039A/000000019042A/000000019046A/000000019047A/000000019048A/000000019050A/000000019053A/000000019056A/000000019058A/000000019061A/000000019066A/000000019068A/000000019082A/000000019084A/000000019086A/000000019092A/000000019101A/000000019102A/000000019110A/000000019112A/000000019116A/000000019117A/000000019120A/000000019125A/000000019131A/000000019132A/000000019136A/000000019137A/000000019142A/000000019144A/000000019151A/000000019152A</t>
  </si>
  <si>
    <t>001000001550D-AG</t>
  </si>
  <si>
    <t>REF. AGRUPAMENTO Nro. 001000001550 - PARC. 4 / 4 - DOC(S): 000000018469A/000000018471A/000000018475A/000000018476A/000000018485A/000000018496A/000000018500A/000000018503A/000000018504A/000000018505A/000000018509A/000000018510A/000000018515A/000000018518A</t>
  </si>
  <si>
    <t>001000001595B-AG</t>
  </si>
  <si>
    <t>REF. AGRUPAMENTO Nro. 001000001595 - PARC. 2 / 4 - DOC(S): 000000018832A/000000018835A/000000018836A/000000018837A/000000018844A/000000018845A/000000018849A/000000018853A/000000018854A/000000018855A/000000018856A/000000018859A/000000018860A/000000018862A/000000018865A/000000018866A/000000018869A</t>
  </si>
  <si>
    <t>001000001576C-AG</t>
  </si>
  <si>
    <t>REF. AGRUPAMENTO Nro. 001000001576 - PARC. 3 / 4 - DOC(S): 000000018682A/000000018683A/000000018684A/000000018685A/000000018689A/000000018692A/000000018693A/000000018698A/000000018699A/000000018702A/000000018704A/000000018706A/000000018715A/000000018719A/000000018721A</t>
  </si>
  <si>
    <t>001000001565D-AG</t>
  </si>
  <si>
    <t>REF. AGRUPAMENTO Nro. 001000001565 - PARC. 4 / 4 - DOC(S): 000000018529A/000000018533A/000000018537A/000000018540A/000000018541A/000000018544A/000000018548A/000000018549A/000000018550A/000000018561A/000000018562A/000000018569A/000000018570A/000000018571A/000000018579A</t>
  </si>
  <si>
    <t>001000001609B-AG</t>
  </si>
  <si>
    <t>REF. AGRUPAMENTO Nro. 001000001609 - PARC. 2 / 4 - DOC(S): 000000018874A/000000018878A/000000018879A/000000018886A/000000018888A/000000018890A/000000018891A/000000018897A/000000018898A/000000018900A/000000018901A/000000018904A/000000018908A/000000018910A/000000018911A/000000018914A/000000018917A</t>
  </si>
  <si>
    <t>001000001570D-AG</t>
  </si>
  <si>
    <t>REF. AGRUPAMENTO Nro. 001000001570 - PARC. 4 / 4 - DOC(S): 000000018583A/000000018584A/000000018588A/000000018591A/000000018592A/000000018593A/000000018594A/000000018595A/000000018596A/000000018597A/000000018598A</t>
  </si>
  <si>
    <t>001000001591C-AG</t>
  </si>
  <si>
    <t>REF. AGRUPAMENTO Nro. 001000001591 - PARC. 3 / 4 - DOC(S): 000000018726A/000000018729A/000000018732A/000000018733A/000000018734A/000000018736A/000000018738A/000000018742A/000000018749A/000000018754A/000000018756A/000000018758A/000000018765A/000000018777A/000000018779A/000000018780A/000000018783A/000000018784A/000000018786A/000000018787A/000000018789A/000000018791A/000000018792A/000000018793A/000000018794A</t>
  </si>
  <si>
    <t>001000001614B-AG</t>
  </si>
  <si>
    <t>REF. AGRUPAMENTO Nro. 001000001614 - PARC. 2 / 4 - DOC(S): 000000018922A/000000018925A/000000018926A/000000018931A/000000018936A/000000018937A/000000018938A/000000018939A/000000018940A/000000018941A/000000018943A/000000018944A/000000018945A/000000018946A/000000018952A/000000018957A/000000018962A/000000018968A</t>
  </si>
  <si>
    <t>001000001571D-AG</t>
  </si>
  <si>
    <t>REF. AGRUPAMENTO Nro. 001000001571 - PARC. 4 / 4 - DOC(S): 000000018605A/000000018608A/000000018612A/000000018619A/000000018622A/000000018624A/000000018626A/000000018630A/000000018634A/000000018637A/000000018640A/000000018641A/000000018643A/000000018644A</t>
  </si>
  <si>
    <t>001000001615B-AG</t>
  </si>
  <si>
    <t>REF. AGRUPAMENTO Nro. 001000001615 - PARC. 2 / 4 - DOC(S): 000000018970A/000000018972A/000000018975A/000000018976A/000000018982A/000000018984A/000000018990A/000000018992A/000000018994A/000000018997A/000000018999A/000000019006A/000000019007A/000000019008A/000000019011A/000000019013A/000000019014A/000000019015A/000000019016A</t>
  </si>
  <si>
    <t>001000001594C-AG</t>
  </si>
  <si>
    <t>REF. AGRUPAMENTO Nro. 001000001594 - PARC. 3 / 4 - DOC(S): 000000018796A/000000018797A/000000018800A/000000018801A/000000018802A/000000018805A/000000018811A/000000018812A/000000018813A/000000018816A/000000018824A/000000018829A</t>
  </si>
  <si>
    <t>001000001639B-AG</t>
  </si>
  <si>
    <t>REF. AGRUPAMENTO Nro. 001000001639 - PARC. 2 / 3 - DOC(S): 000000019017A/000000019018A/000000019019A/000000019022A/000000019023A/000000019027A/000000019028A/000000019029A/000000019033A/000000019035A/000000019036A/000000019038A/000000019039A/000000019042A/000000019046A/000000019047A/000000019048A/000000019050A/000000019053A/000000019056A/000000019058A/000000019061A/000000019066A/000000019068A/000000019082A/000000019084A/000000019086A/000000019092A/000000019101A/000000019102A/000000019110A/000000019112A/000000019116A/000000019117A/000000019120A/000000019125A/000000019131A/000000019132A/000000019136A/000000019137A/000000019142A/000000019144A/000000019151A/000000019152A</t>
  </si>
  <si>
    <t>001000001644A-AG</t>
  </si>
  <si>
    <t>REF. AGRUPAMENTO Nro. 001000001644 - PARC. 1 / 3 - DOC(S): 000000019161A/000000019162A/000000019163A/000000019164A/000000019168A/000000019171A/000000019172A/000000019175A/000000019183A/000000019186A/000000019189A/000000019190A/000000019198A/000000019201A/000000019204A/000000019207A/000000019210A/000000019212A/000000019216A/000000019217A/000000019219A/000000019223A/000000019224A/000000019225A/000000019226A/000000019227A/000000019244A/000000019250A/000000019254A/000000019256A/000000019258A/000000019260A/000000019262A/000000019278A/000000019288A/000000019289A/000000019295A/000000019298A/000000019305A/000000019306A/000000019315A/000000019316A/000000019320A/000000019321A/000000019325A/000000019327A/000000019329A/000000019333A/000000019335A/000000019336A/000000019342A/000000019343A/000000019348A/000000019356A/000000019357A</t>
  </si>
  <si>
    <t>001000001573D-AG</t>
  </si>
  <si>
    <t>REF. AGRUPAMENTO Nro. 001000001573 - PARC. 4 / 4 - DOC(S): 000000018647A/000000018649A/000000018651A/000000018655A/000000018656A/000000018657A/000000018658A/000000018659A/000000018660A/000000018661A/000000018666A/000000018668A/000000018669A/000000018674A</t>
  </si>
  <si>
    <t>001000001595C-AG</t>
  </si>
  <si>
    <t>REF. AGRUPAMENTO Nro. 001000001595 - PARC. 3 / 4 - DOC(S): 000000018832A/000000018835A/000000018836A/000000018837A/000000018844A/000000018845A/000000018849A/000000018853A/000000018854A/000000018855A/000000018856A/000000018859A/000000018860A/000000018862A/000000018865A/000000018866A/000000018869A</t>
  </si>
  <si>
    <t>001000001576D-AG</t>
  </si>
  <si>
    <t>REF. AGRUPAMENTO Nro. 001000001576 - PARC. 4 / 4 - DOC(S): 000000018682A/000000018683A/000000018684A/000000018685A/000000018689A/000000018692A/000000018693A/000000018698A/000000018699A/000000018702A/000000018704A/000000018706A/000000018715A/000000018719A/000000018721A</t>
  </si>
  <si>
    <t>001000001609C-AG</t>
  </si>
  <si>
    <t>REF. AGRUPAMENTO Nro. 001000001609 - PARC. 3 / 4 - DOC(S): 000000018874A/000000018878A/000000018879A/000000018886A/000000018888A/000000018890A/000000018891A/000000018897A/000000018898A/000000018900A/000000018901A/000000018904A/000000018908A/000000018910A/000000018911A/000000018914A/000000018917A</t>
  </si>
  <si>
    <t>001000001591D-AG</t>
  </si>
  <si>
    <t>REF. AGRUPAMENTO Nro. 001000001591 - PARC. 4 / 4 - DOC(S): 000000018726A/000000018729A/000000018732A/000000018733A/000000018734A/000000018736A/000000018738A/000000018742A/000000018749A/000000018754A/000000018756A/000000018758A/000000018765A/000000018777A/000000018779A/000000018780A/000000018783A/000000018784A/000000018786A/000000018787A/000000018789A/000000018791A/000000018792A/000000018793A/000000018794A</t>
  </si>
  <si>
    <t>001000001614C-AG</t>
  </si>
  <si>
    <t>REF. AGRUPAMENTO Nro. 001000001614 - PARC. 3 / 4 - DOC(S): 000000018922A/000000018925A/000000018926A/000000018931A/000000018936A/000000018937A/000000018938A/000000018939A/000000018940A/000000018941A/000000018943A/000000018944A/000000018945A/000000018946A/000000018952A/000000018957A/000000018962A/000000018968A</t>
  </si>
  <si>
    <t>001000001615C-AG</t>
  </si>
  <si>
    <t>REF. AGRUPAMENTO Nro. 001000001615 - PARC. 3 / 4 - DOC(S): 000000018970A/000000018972A/000000018975A/000000018976A/000000018982A/000000018984A/000000018990A/000000018992A/000000018994A/000000018997A/000000018999A/000000019006A/000000019007A/000000019008A/000000019011A/000000019013A/000000019014A/000000019015A/000000019016A</t>
  </si>
  <si>
    <t>001000001594D-AG</t>
  </si>
  <si>
    <t>REF. AGRUPAMENTO Nro. 001000001594 - PARC. 4 / 4 - DOC(S): 000000018796A/000000018797A/000000018800A/000000018801A/000000018802A/000000018805A/000000018811A/000000018812A/000000018813A/000000018816A/000000018824A/000000018829A</t>
  </si>
  <si>
    <t>001000001639C-AG</t>
  </si>
  <si>
    <t>REF. AGRUPAMENTO Nro. 001000001639 - PARC. 3 / 3 - DOC(S): 000000019017A/000000019018A/000000019019A/000000019022A/000000019023A/000000019027A/000000019028A/000000019029A/000000019033A/000000019035A/000000019036A/000000019038A/000000019039A/000000019042A/000000019046A/000000019047A/000000019048A/000000019050A/000000019053A/000000019056A/000000019058A/000000019061A/000000019066A/000000019068A/000000019082A/000000019084A/000000019086A/000000019092A/000000019101A/000000019102A/000000019110A/000000019112A/000000019116A/000000019117A/000000019120A/000000019125A/000000019131A/000000019132A/000000019136A/000000019137A/000000019142A/000000019144A/000000019151A/000000019152A</t>
  </si>
  <si>
    <t>REF. AGRUPAMENTO Nro. 001000001644 - PARC. 2 / 3 - DOC(S): 000000019161A/000000019162A/000000019163A/000000019164A/000000019168A/000000019171A/000000019172A/000000019175A/000000019183A/000000019186A/000000019189A/000000019190A/000000019198A/000000019201A/000000019204A/000000019207A/000000019210A/000000019212A/000000019216A/000000019217A/000000019219A/000000019223A/000000019224A/000000019225A/000000019226A/000000019227A/000000019244A/000000019250A/000000019254A/000000019256A/000000019258A/000000019260A/000000019262A/000000019278A/000000019288A/000000019289A/000000019295A/000000019298A/000000019305A/000000019306A/000000019315A/000000019316A/000000019320A/000000019321A/000000019325A/000000019327A/000000019329A/000000019333A/000000019335A/000000019336A/000000019342A/000000019343A/000000019348A/000000019356A/000000019357A</t>
  </si>
  <si>
    <t>001000001687A-AG</t>
  </si>
  <si>
    <t>REF. AGRUPAMENTO Nro. 001000001687 - PARC. 1 / 3 - DOC(S): 000000019366A/000000019367A/000000019368A/000000019369A/000000019370A/000000019374A/000000019384A/000000019391A/000000019397A/000000019405A/000000019418A/000000019424A/000000019426A/000000019428A/000000019429A/000000019430A/000000019432A/000000019437A/000000019438A/000000019440A/000000019447A/000000019451A/000000019458A</t>
  </si>
  <si>
    <t>001000001595D-AG</t>
  </si>
  <si>
    <t>REF. AGRUPAMENTO Nro. 001000001595 - PARC. 4 / 4 - DOC(S): 000000018832A/000000018835A/000000018836A/000000018837A/000000018844A/000000018845A/000000018849A/000000018853A/000000018854A/000000018855A/000000018856A/000000018859A/000000018860A/000000018862A/000000018865A/000000018866A/000000018869A</t>
  </si>
  <si>
    <t>001000001609D-AG</t>
  </si>
  <si>
    <t>REF. AGRUPAMENTO Nro. 001000001609 - PARC. 4 / 4 - DOC(S): 000000018874A/000000018878A/000000018879A/000000018886A/000000018888A/000000018890A/000000018891A/000000018897A/000000018898A/000000018900A/000000018901A/000000018904A/000000018908A/000000018910A/000000018911A/000000018914A/000000018917A</t>
  </si>
  <si>
    <t>001000001614D-AG</t>
  </si>
  <si>
    <t>REF. AGRUPAMENTO Nro. 001000001614 - PARC. 4 / 4 - DOC(S): 000000018922A/000000018925A/000000018926A/000000018931A/000000018936A/000000018937A/000000018938A/000000018939A/000000018940A/000000018941A/000000018943A/000000018944A/000000018945A/000000018946A/000000018952A/000000018957A/000000018962A/000000018968A</t>
  </si>
  <si>
    <t>001000001615D-AG</t>
  </si>
  <si>
    <t>REF. AGRUPAMENTO Nro. 001000001615 - PARC. 4 / 4 - DOC(S): 000000018970A/000000018972A/000000018975A/000000018976A/000000018982A/000000018984A/000000018990A/000000018992A/000000018994A/000000018997A/000000018999A/000000019006A/000000019007A/000000019008A/000000019011A/000000019013A/000000019014A/000000019015A/000000019016A</t>
  </si>
  <si>
    <t>REF. AGRUPAMENTO Nro. 001000001644 - PARC. 3 / 3 - DOC(S): 000000019161A/000000019162A/000000019163A/000000019164A/000000019168A/000000019171A/000000019172A/000000019175A/000000019183A/000000019186A/000000019189A/000000019190A/000000019198A/000000019201A/000000019204A/000000019207A/000000019210A/000000019212A/000000019216A/000000019217A/000000019219A/000000019223A/000000019224A/000000019225A/000000019226A/000000019227A/000000019244A/000000019250A/000000019254A/000000019256A/000000019258A/000000019260A/000000019262A/000000019278A/000000019288A/000000019289A/000000019295A/000000019298A/000000019305A/000000019306A/000000019315A/000000019316A/000000019320A/000000019321A/000000019325A/000000019327A/000000019329A/000000019333A/000000019335A/000000019336A/000000019342A/000000019343A/000000019348A/000000019356A/000000019357A</t>
  </si>
  <si>
    <t>001000001687B-AG</t>
  </si>
  <si>
    <t>REF. AGRUPAMENTO Nro. 001000001687 - PARC. 2 / 3 - DOC(S): 000000019366A/000000019367A/000000019368A/000000019369A/000000019370A/000000019374A/000000019384A/000000019391A/000000019397A/000000019405A/000000019418A/000000019424A/000000019426A/000000019428A/000000019429A/000000019430A/000000019432A/000000019437A/000000019438A/000000019440A/000000019447A/000000019451A/000000019458A</t>
  </si>
  <si>
    <t>001000001687C-AG</t>
  </si>
  <si>
    <t>REF. AGRUPAMENTO Nro. 001000001687 - PARC. 3 / 3 - DOC(S): 000000019366A/000000019367A/000000019368A/000000019369A/000000019370A/000000019374A/000000019384A/000000019391A/000000019397A/000000019405A/000000019418A/000000019424A/000000019426A/000000019428A/000000019429A/000000019430A/000000019432A/000000019437A/000000019438A/000000019440A/000000019447A/000000019451A/000000019458A</t>
  </si>
  <si>
    <t>000000020707A-NF</t>
  </si>
  <si>
    <t>REF.DEV.: 000000020707-NF REF.DOC.: 000000020705-NF-001-26/12/2023 - PARC. 1/1&lt;&lt;csq&gt;&gt;</t>
  </si>
  <si>
    <t>000000000227A-CH</t>
  </si>
  <si>
    <t>DTA.TIT: 13/03/2024, REF. A CHQ. No: 850016, AGE: 1230_x000D_ EMITENTE: PEDRO PUPE DE BRITO EIRELLI ME_x000D_ TELECHEQUE NÃO</t>
  </si>
  <si>
    <t>000000000234A-CH</t>
  </si>
  <si>
    <t>DTA.TIT: 13/03/2024, REF. A CHQ. No: 850017, AGE: 1230_x000D_ EMITENTE: PEDRO PUPE DE BRITO EIRELLI ME_x000D_ TELECHEQUE NÃO</t>
  </si>
  <si>
    <t>LANC. CRED. REF. A  - PAGTO.PARCIAL - DTA. REC.: 13/05/2024 - VR. ORIGINAL: -718,00 - VR. PAGO: -715,00</t>
  </si>
  <si>
    <t>000000000471A-CC</t>
  </si>
  <si>
    <t>LANC. CRED. REF. A  - PAGTO.PARCIAL - DTA. REC.: 22/05/2024 - VR. ORIGINAL: -4.265,00 - VR. PAGO: -4.217,80</t>
  </si>
  <si>
    <t>000000000472A-CC</t>
  </si>
  <si>
    <t>000000000239A-CH</t>
  </si>
  <si>
    <t>DTA.TIT: 13/03/2024, REF. A CHQ. No: 850018, AGE: 1230_x000D_ EMITENTE: PEDRO PUPE DE BRITO EIRELLI ME_x000D_ TELECHEQUE NÃO</t>
  </si>
  <si>
    <t>000000000247A-CH</t>
  </si>
  <si>
    <t>DTA.TIT: 13/03/2024, REF. A CHQ. No: 850019, AGE: 1230_x000D_ EMITENTE: PEDRO PUPE DE BRITO EIRELLI ME_x000D_ TELECHEQUE NÃO</t>
  </si>
  <si>
    <t>00004265-PERSIANAS SUED IND. E COM. DE PERS. LTDA</t>
  </si>
  <si>
    <t xml:space="preserve">TELEFONE(S): (61) 3363-7006  </t>
  </si>
  <si>
    <t>LIM.CRÉDITO: 17,67</t>
  </si>
  <si>
    <t>000000601307A-CC</t>
  </si>
  <si>
    <t>LANC. CRED. REF. A  - PAGTO.PARCIAL - DTA. REC.: 17/09/2025 - VR. ORIGINAL: -660,00 - VR. PAGO: -640,00</t>
  </si>
  <si>
    <t>04000286-PERSONAL CAR LANTERNAGEM E PINTURA</t>
  </si>
  <si>
    <t>TELEFONE(S):   (61)98682-3501</t>
  </si>
  <si>
    <t>TOT.DÉBITO: -3,93</t>
  </si>
  <si>
    <t>000000401655A-CC</t>
  </si>
  <si>
    <t>REF. LANC. CREDITO - CLIENTE: 04000286-PERSONAL CAR LANTERNAGEM E PINTURA</t>
  </si>
  <si>
    <t>04000341-PERSONAL LANTERNAGEM E PINTURA LTDA</t>
  </si>
  <si>
    <t>TOT.DÉBITO: 311,00</t>
  </si>
  <si>
    <t>000000012861A-IF</t>
  </si>
  <si>
    <t>02000396-PGA SOLUÇÕES EM SERVIÇOS GERAIS E COM.DE PROD.DE LIMPEZA EIR</t>
  </si>
  <si>
    <t xml:space="preserve">TELEFONE(S): (61) 3233-2560 (61) 9949-0488 </t>
  </si>
  <si>
    <t>TOT.DÉBITO: 13.396,93</t>
  </si>
  <si>
    <t>000000009794A-NF</t>
  </si>
  <si>
    <t>REF.DEV.: 000000009794-NF REF.DOC.: 000000009400-NF-014-25/01/2023 - PARC. 1/1&lt;&lt;csq&gt;&gt; - PAGTO.PARCIAL - DTA. REC.: 17/02/2023 - VR. ORIGINAL: -121,41 - VR. PAGO: -119,08</t>
  </si>
  <si>
    <t>000000018625A-NF</t>
  </si>
  <si>
    <t>REF.DEV.: 000000018625-NF REF.DOC.: 000000018457-NF-014-11/10/2024,000000018460-NF-014-11/10/2024 - PARC. 1/1&lt;&lt;csq&gt;&gt; - PAGTO.PARCIAL - DTA. REC.: 24/10/2024 - VR. ORIGINAL: -192,81 - VR. PAGO: -192,00</t>
  </si>
  <si>
    <t>000000019593C-NF</t>
  </si>
  <si>
    <t>000000020140B-NF</t>
  </si>
  <si>
    <t>000000020194B-NF</t>
  </si>
  <si>
    <t>000000020671A-NF</t>
  </si>
  <si>
    <t>000000019749C-NF</t>
  </si>
  <si>
    <t>000000019842C-NF</t>
  </si>
  <si>
    <t>000000020781A-NF</t>
  </si>
  <si>
    <t>000000020793A-NF</t>
  </si>
  <si>
    <t>000000019923C-NF</t>
  </si>
  <si>
    <t>000000020829A-NF</t>
  </si>
  <si>
    <t>000000020530B-NF</t>
  </si>
  <si>
    <t>000000020933A-NF</t>
  </si>
  <si>
    <t>000000019593D-NF</t>
  </si>
  <si>
    <t>000000020974A-NF</t>
  </si>
  <si>
    <t>000000020140C-NF</t>
  </si>
  <si>
    <t>000000020194C-NF</t>
  </si>
  <si>
    <t>000000020671B-NF</t>
  </si>
  <si>
    <t>000000019749D-NF</t>
  </si>
  <si>
    <t>000000020781B-NF</t>
  </si>
  <si>
    <t>000000020793B-NF</t>
  </si>
  <si>
    <t>000000020829B-NF</t>
  </si>
  <si>
    <t>000000020530C-NF</t>
  </si>
  <si>
    <t>000000020933B-NF</t>
  </si>
  <si>
    <t>000000020974B-NF</t>
  </si>
  <si>
    <t>000000020671C-NF</t>
  </si>
  <si>
    <t>000000020781C-NF</t>
  </si>
  <si>
    <t>000000020793C-NF</t>
  </si>
  <si>
    <t>000000020829C-NF</t>
  </si>
  <si>
    <t>000000020530D-NF</t>
  </si>
  <si>
    <t>000000020933C-NF</t>
  </si>
  <si>
    <t>000000020974C-NF</t>
  </si>
  <si>
    <t>000000020671D-NF</t>
  </si>
  <si>
    <t>000000020781D-NF</t>
  </si>
  <si>
    <t>000000020829D-NF</t>
  </si>
  <si>
    <t>00002385-PINTURA E CIA LTDA</t>
  </si>
  <si>
    <t>TELEFONE(S): (61) 3344-4185  (61)99666-9888</t>
  </si>
  <si>
    <t>TOT.DÉBITO: 331,36</t>
  </si>
  <si>
    <t>001000001606A-AG</t>
  </si>
  <si>
    <t>REF. AGRUPAMENTO Nro. 001000001606 - PARC. 1 / 1 - DOC(S): 000000002672A/000000002722A/000000002741A/000000002791A</t>
  </si>
  <si>
    <t>00004980-PIRES MARQUES CENTRO AUTOMOTIVO LTDA</t>
  </si>
  <si>
    <t xml:space="preserve">TELEFONE(S): (61)98407-2151  </t>
  </si>
  <si>
    <t>LIM.CRÉDITO: 13.000,00</t>
  </si>
  <si>
    <t>TOT.DÉBITO: -71,33</t>
  </si>
  <si>
    <t>000000000011A-CC</t>
  </si>
  <si>
    <t>LANC. CRED. REF. A  - PAGTO.PARCIAL - DTA. REC.: 10/01/2024 - VR. ORIGINAL: -370,00 - VR. PAGO: -298,67</t>
  </si>
  <si>
    <t>04000284-PIT STOP</t>
  </si>
  <si>
    <t>TELEFONE(S):   (61)99153-6141</t>
  </si>
  <si>
    <t>TOT.DÉBITO: 1.273,62</t>
  </si>
  <si>
    <t>000000023058A-NF</t>
  </si>
  <si>
    <t>REFERENTE A FATURAMENTO - PARC. 1/1&lt;&lt;csq&gt;&gt; - PAGTO.PARCIAL - DTA. REC.: 19/01/2023 - VR. ORIGINAL: 201,80 - VR. PAGO: 135,84 - PAGTO.PARCIAL - DTA. REC.: 28/07/2023 - VR. ORIGINAL: 201,80 - VR. PAGO: 31,67</t>
  </si>
  <si>
    <t>001000001474002-AG</t>
  </si>
  <si>
    <t>REF. AGRUPAMENTO Nro. 001000001474 - PARC. 2 / 3 - DOC(S): 000000022792A</t>
  </si>
  <si>
    <t>000000023120A-NF</t>
  </si>
  <si>
    <t>001000001474003-AG</t>
  </si>
  <si>
    <t>REF. AGRUPAMENTO Nro. 001000001474 - PARC. 3 / 3 - DOC(S): 000000022792A</t>
  </si>
  <si>
    <t>00003330-POLICIA CIVIL DO DF</t>
  </si>
  <si>
    <t xml:space="preserve">TELEFONE(S): (61) 3462-9858  </t>
  </si>
  <si>
    <t>TOT.DÉBITO: -1,88</t>
  </si>
  <si>
    <t>000000000907A-CC</t>
  </si>
  <si>
    <t>REF. LANC. CREDITO - CLIENTE: 00003330-POLICIA CIVIL DO DF</t>
  </si>
  <si>
    <t>80005062-POLLYANA DE SOUZA OLIVEIRA NUNES</t>
  </si>
  <si>
    <t>TELEFONE(S):   (61)99510-8903</t>
  </si>
  <si>
    <t>TOT.DÉBITO: -1,59</t>
  </si>
  <si>
    <t>02001376-PORTAL CONSTRUCOES LTDA</t>
  </si>
  <si>
    <t xml:space="preserve">TELEFONE(S): (61) 3365-4020  </t>
  </si>
  <si>
    <t>TOT.DÉBITO: -63,90</t>
  </si>
  <si>
    <t>REF. LANC. CREDITO - CLIENTE: 02001376-PORTAL CONSTRUCOES LTDA</t>
  </si>
  <si>
    <t>80005444-POSITIVA ENGENHARIA LTDA</t>
  </si>
  <si>
    <t>TOT.DÉBITO: -1,52</t>
  </si>
  <si>
    <t>000000002939A-NF</t>
  </si>
  <si>
    <t>REF.DEV.: 000000002939-NF REF.DOC.: 000000002608-NF-008-20/03/2024 - PARC. 1/1&lt;&lt;csq&gt;&gt; - PAGTO.PARCIAL - DTA. REC.: 29/05/2024 - VR. ORIGINAL: -355,90 - VR. PAGO: -354,38</t>
  </si>
  <si>
    <t>00002671-PR SERVIÇOS AUTOMOTIVOS EIRELI</t>
  </si>
  <si>
    <t>TELEFONE(S):   (61)98421-4235</t>
  </si>
  <si>
    <t>TOT.DÉBITO: 112,87</t>
  </si>
  <si>
    <t>001000001579A-AG</t>
  </si>
  <si>
    <t>REF. AGRUPAMENTO Nro. 001000001579 - PARC. 1 / 1 - DOC(S): 000000002650A</t>
  </si>
  <si>
    <t>80005332-PREMIER LANTERNAGEM E PINTURA</t>
  </si>
  <si>
    <t xml:space="preserve">TELEFONE(S):  (61)98294-9777 </t>
  </si>
  <si>
    <t>000000000533A-CC</t>
  </si>
  <si>
    <t>LANC. CRED. REF. A  - PAGTO.PARCIAL - DTA. REC.: 12/11/2025 - VR. ORIGINAL: -1.763,00 - VR. PAGO: -1.762,48</t>
  </si>
  <si>
    <t>REF. LANC. CREDITO - CLIENTE: 80005332-PREMIER LANTERNAGEM E PINTURA</t>
  </si>
  <si>
    <t>80005051-PRIMAVIA COMERCIO DE AUTOMOVEIS LTDA</t>
  </si>
  <si>
    <t>LIM.CRÉDITO: 250.000,00</t>
  </si>
  <si>
    <t>000000000081A-NV</t>
  </si>
  <si>
    <t xml:space="preserve">O.S: 9042 CHASSI: 93YHJD203MJ497257 PLACA: QXW0D21 DUSTER ZEN </t>
  </si>
  <si>
    <t>000000001026A-NS</t>
  </si>
  <si>
    <t>000000001111A-NS</t>
  </si>
  <si>
    <t>000000001078A-NS</t>
  </si>
  <si>
    <t>000000002116A-NS</t>
  </si>
  <si>
    <t>80005052-PRIMAVIA COMERCIO DE VEICULOS LTDA</t>
  </si>
  <si>
    <t xml:space="preserve">TELEFONE(S): (38) 2102-3000  </t>
  </si>
  <si>
    <t>LIM.CRÉDITO: 125.000,00</t>
  </si>
  <si>
    <t>000000003089A-NV</t>
  </si>
  <si>
    <t>OS 10136 CHASSI 8ANBD33B2KL8866 FRONTIER XE AT X4</t>
  </si>
  <si>
    <t>000000001027A-NS</t>
  </si>
  <si>
    <t>000000001079A-NS</t>
  </si>
  <si>
    <t>00003335-PRIMAVIA VEICULOS LTDA</t>
  </si>
  <si>
    <t xml:space="preserve">TELEFONE(S): (38) 3311-4000  </t>
  </si>
  <si>
    <t>LIM.CRÉDITO: 1.500.000,00</t>
  </si>
  <si>
    <t>000000002773A-NV</t>
  </si>
  <si>
    <t>ORDEM DE SERVIÇO N°119907&lt;&lt;csq&gt;&gt;</t>
  </si>
  <si>
    <t>000000002937A-NV</t>
  </si>
  <si>
    <t>CHASSI 9882261THNKE01040 PLACA RNR1J52 OS 120458&lt;&lt;csq&gt;&gt;&lt;&lt;csq&gt;&gt;		&lt;&lt;csq&gt;&gt;</t>
  </si>
  <si>
    <t>000000003196A-NV</t>
  </si>
  <si>
    <t>0120295, 0120604, 0120741, 0120668, 0120741, 0120697, 01205&lt;&lt;csq&gt;&gt;35, 0120576, 0120515, 0120449, 0120475</t>
  </si>
  <si>
    <t>000000003198A-NV</t>
  </si>
  <si>
    <t>MODELO GOL 1.0 MI 8V FLEX 4P MA ANO 12/13 CHASSI 9BWAA05W8&lt;&lt;csq&gt;&gt;DP041042 OS 0120639</t>
  </si>
  <si>
    <t>000000003199A-NV</t>
  </si>
  <si>
    <t>MODELO STRADA WORKING 1.4 FL ANO 14/15 CHASSI 9BD578141F78&lt;&lt;csq&gt;&gt;49538 OS '0120652</t>
  </si>
  <si>
    <t>000000003200A-NV</t>
  </si>
  <si>
    <t>MODELO FORD KA ANO 19/20 CHASSI 9BFZH55L7L8371183 OS '0120&lt;&lt;csq&gt;&gt;296</t>
  </si>
  <si>
    <t>000000003201A-NV</t>
  </si>
  <si>
    <t>MODELO FTORO FREEDOM 1.8 16V ANO 18/18 CHASSI 98822611XJKB&lt;&lt;csq&gt;&gt;76292 OS 0120184</t>
  </si>
  <si>
    <t>000000003202A-NV</t>
  </si>
  <si>
    <t>MODELOTOYOTA HILUX CD 4X4 SR ANO12/13 CHASSI 8AJFY29G9D852&lt;&lt;csq&gt;&gt;2923 OS '0119912</t>
  </si>
  <si>
    <t>000000003203A-NV</t>
  </si>
  <si>
    <t>MODELO ARGO DRIVE 1.0 FLEX ANO 19/20 CHASSI 9BD358A4NLYJ87&lt;&lt;csq&gt;&gt;622 OS '0120342</t>
  </si>
  <si>
    <t>000000003204A-NV</t>
  </si>
  <si>
    <t>MODELO STRADA HARD WORK ANO 19/20 CHASSI 9BD358A4NLYJ87622&lt;&lt;csq&gt;&gt;OS 0120281</t>
  </si>
  <si>
    <t>000000000551A-NV</t>
  </si>
  <si>
    <t>O.S: 120955 CHASSI: 9882261N5LKD27582 PLACA: QXY5F36 –</t>
  </si>
  <si>
    <t>000000001044A-NS</t>
  </si>
  <si>
    <t>&lt;&lt;csq&gt;&gt;</t>
  </si>
  <si>
    <t>000000000231A-NS</t>
  </si>
  <si>
    <t>000000000250A-NS</t>
  </si>
  <si>
    <t>000000001116A-NS</t>
  </si>
  <si>
    <t>000000001556A-NS</t>
  </si>
  <si>
    <t>000000001563A-NS</t>
  </si>
  <si>
    <t>000000001582A-NS</t>
  </si>
  <si>
    <t>000000000036A-CC</t>
  </si>
  <si>
    <t>REF. LANC. CREDITO - PAGTO.PARCIAL - DTA. REC.: 28/02/2025 - VR. ORIGINAL: -4.141,25 - VR. PAGO: -603,76 &lt;&lt;csq&gt;&gt; - DUPLICATA ESTORNADA: 31/03/2025 000000000036A - SEQ: 1 - ESP: CC - EMP: 020 - DTA. REC.: 28/02/2025 - VR. REC.: -603,76</t>
  </si>
  <si>
    <t>000000001789A-NS</t>
  </si>
  <si>
    <t>000000002147A-NS</t>
  </si>
  <si>
    <t>000000002148A-NS</t>
  </si>
  <si>
    <t>000000002151A-NS</t>
  </si>
  <si>
    <t>000000002176A-NS</t>
  </si>
  <si>
    <t>000000002995A-NF</t>
  </si>
  <si>
    <t>000000002383A-NS</t>
  </si>
  <si>
    <t>00003362-PRIMAVIA VEICULOS LTDA</t>
  </si>
  <si>
    <t xml:space="preserve">TELEFONE(S): (38) 2102-4015 (38) 2102-4000 </t>
  </si>
  <si>
    <t>000000003220A-NV</t>
  </si>
  <si>
    <t>OS 138411 NOVA STRADA FREEDOM CD 1.3 CHASSI 9BD281B31NYW33&lt;&lt;csq&gt;&gt;569</t>
  </si>
  <si>
    <t>000000003226A-NV</t>
  </si>
  <si>
    <t>OS 138585 NOVA STRADA ENDURANCE CS 1.4 02 PAS CHASSI 9BD2&lt;&lt;csq&gt;&gt;81A22MYW03749</t>
  </si>
  <si>
    <t>000000000591A-NV</t>
  </si>
  <si>
    <t xml:space="preserve">O.S: 138734 CHASSI: 9BD281A31MYV14038 PLACA: RFG8C12 NOVA STRADA FREEDOM </t>
  </si>
  <si>
    <t>000000000631A-NV</t>
  </si>
  <si>
    <t xml:space="preserve">O.S: 139082 CHASSI: 9BD17140A85079539 PLACA: JKG0460 PALIO </t>
  </si>
  <si>
    <t>000000000722A-NV</t>
  </si>
  <si>
    <t>O.S:139260 CHASSI:9BD341ACXMY698345 PLACA: RGB6A79 MOBI&lt;&lt;csq&gt;&gt;O.S: 139309 CHASSI: 9BD146097S5577722 PLACA: JEH4785 UNO MILLE&lt;&lt;csq&gt;&gt;O.S: 139304 CHASSI: 9BFBGZGDA1B742733 PLACA: GQS2424 KA FORD&lt;&lt;csq&gt;&gt;O.S: 139306 CHASSI: 9C6KE044050123113 PLACA: HCZ5180 YAMARA &lt;&lt;csq&gt;&gt;</t>
  </si>
  <si>
    <t>000000000751A-NV</t>
  </si>
  <si>
    <t xml:space="preserve">O.S: 139015 CHASSI: 9882261CBLKD02457 PLACA: QXQ3G14 NOVA FIAT TORO </t>
  </si>
  <si>
    <t>000000000761A-NV</t>
  </si>
  <si>
    <t xml:space="preserve">O.S:138817 CHASSI: 9BD281A31MYV83256 NOVA STRADA </t>
  </si>
  <si>
    <t>000000000082A-NV</t>
  </si>
  <si>
    <t xml:space="preserve">O.S: 138669 CHASSI: 9BD57811FLY355208 DAFRA </t>
  </si>
  <si>
    <t>000000000083A-NV</t>
  </si>
  <si>
    <t xml:space="preserve">O.S: 138105 CHASSI: 9BD17350MA4307520 PLACA: JHQ9030 PALIO WEEKEND </t>
  </si>
  <si>
    <t>000000000084A-NV</t>
  </si>
  <si>
    <t>000000000085A-NV</t>
  </si>
  <si>
    <t>O.S: 139010 CHASSI: 9BD19716TG3267073 PLACA: PQF0727 GRAND SIENA</t>
  </si>
  <si>
    <t>000000000086A-NV</t>
  </si>
  <si>
    <t>O.S: 139077 CHASSI: 9BGKS8U0KG36378 PLACA: PBW2791 ONIX</t>
  </si>
  <si>
    <t>000000000087A-NV</t>
  </si>
  <si>
    <t xml:space="preserve">O.S: 139336 CHASSI: 9BD358A1NNYL54434 PLACA: RNQ0G75 ARGO </t>
  </si>
  <si>
    <t>000000000526A-NS</t>
  </si>
  <si>
    <t>000000000555A-NS</t>
  </si>
  <si>
    <t>000000000694A-NS</t>
  </si>
  <si>
    <t>000000000959A-NS</t>
  </si>
  <si>
    <t>000000000981A-NS</t>
  </si>
  <si>
    <t>000000001175A-NS</t>
  </si>
  <si>
    <t>000000001588A-NS</t>
  </si>
  <si>
    <t>000000001806A-NS</t>
  </si>
  <si>
    <t>000000001807A-NS</t>
  </si>
  <si>
    <t>000000001871A-NS</t>
  </si>
  <si>
    <t>000000002388A-NS</t>
  </si>
  <si>
    <t>000000002402A-NS</t>
  </si>
  <si>
    <t>01000150-QADEER HUSSAIN</t>
  </si>
  <si>
    <t xml:space="preserve">TELEFONE(S): (61)99225-8443  </t>
  </si>
  <si>
    <t>000000002002A-CC</t>
  </si>
  <si>
    <t>00002015-QUATRO RODAS COM. DE TINTAS E VIDROS AUTOMOTIVOS LTDA - ME</t>
  </si>
  <si>
    <t>TELEFONE(S): (61) 3629-5583  (61)98567-2382</t>
  </si>
  <si>
    <t>TOT.DÉBITO: 40.149,98</t>
  </si>
  <si>
    <t>000000000012A-CC</t>
  </si>
  <si>
    <t>REF. LANC. CREDITO - PAGTO.PARCIAL - DTA. REC.: 27/12/2021 - VR. ORIGINAL: -7,27 - VR. PAGO: -0,27</t>
  </si>
  <si>
    <t>80005142-QUATTRO REPARAÇÃO AUTOMOTIVA LTDA</t>
  </si>
  <si>
    <t>TELEFONE(S):   (61)99240-2470</t>
  </si>
  <si>
    <t>TOT.DÉBITO: 2.453,80</t>
  </si>
  <si>
    <t>000000000048A-CC</t>
  </si>
  <si>
    <t>LANC. CRED. REF. A  - PAGTO.PARCIAL - DTA. REC.: 28/12/2022 - VR. ORIGINAL: -606,00 - VR. PAGO: -335,99 - PAGTO.PARCIAL - DTA. REC.: 28/12/2022 - VR. ORIGINAL: -270,01 - VR. PAGO: -270,00</t>
  </si>
  <si>
    <t>000000000899D-AG</t>
  </si>
  <si>
    <t>REF. AGRUPAMENTO Nro. 000000000899 - PARC. 4 / 4 - DOC(S): 000000000470A</t>
  </si>
  <si>
    <t>000000000520B-NF</t>
  </si>
  <si>
    <t>000000000497C-NF</t>
  </si>
  <si>
    <t>000000000520C-NF</t>
  </si>
  <si>
    <t>000000000497D-NF</t>
  </si>
  <si>
    <t>000000000520D-NF</t>
  </si>
  <si>
    <t>00002710-R K SERVICOS AUTOMOTIVOS LTDA</t>
  </si>
  <si>
    <t>TELEFONE(S): (61) 3567-0900  (61)98409-2337</t>
  </si>
  <si>
    <t>000000103191A-CC</t>
  </si>
  <si>
    <t>VIA PIX - PAGTO.PARCIAL - DTA. REC.: 29/12/2023 - VR. ORIGINAL: -2.493,40 - VR. PAGO: -2.492,40</t>
  </si>
  <si>
    <t>01000087-R2 PINTURA E ESTETICA  AUTOMOTIVA EIRELLI</t>
  </si>
  <si>
    <t xml:space="preserve">TELEFONE(S): (61)98193-4102 (61)99526-9445 </t>
  </si>
  <si>
    <t>TOT.DÉBITO: -3,89</t>
  </si>
  <si>
    <t>000000102551A-CC</t>
  </si>
  <si>
    <t>LANC. CRED. REF. A  - PAGTO.PARCIAL - DTA. REC.: 10/06/2023 - VR. ORIGINAL: -57,00 - VR. PAGO: -37,00 - PAGTO.PARCIAL - DTA. REC.: 13/06/2023 - VR. ORIGINAL: -20,00 - VR. PAGO: -16,11</t>
  </si>
  <si>
    <t>00004770-R2B PRODUÇÕES E EVENTOS LTDA</t>
  </si>
  <si>
    <t xml:space="preserve">TELEFONE(S): (61)98568-0708  </t>
  </si>
  <si>
    <t>REF. LANC. CREDITO - CLIENTE: 00004770-R2B PRODUÇÕES E EVENTOS LTDA</t>
  </si>
  <si>
    <t>11005458-RA AUTOMOTINTAS LTDA</t>
  </si>
  <si>
    <t>01000195-RADI PEREIRA DE LUCENA</t>
  </si>
  <si>
    <t>TELEFONE(S): (61)99635-1311  (61)99635-1311</t>
  </si>
  <si>
    <t>000000102280A-CC</t>
  </si>
  <si>
    <t>LANC. CRED. REF. A  - PAGTO.PARCIAL - DTA. REC.: 28/02/2023 - VR. ORIGINAL: -616,18 - VR. PAGO: -616,00</t>
  </si>
  <si>
    <t>80004939-RAFAEL CANUTO DA ROCHA</t>
  </si>
  <si>
    <t>CREDITO GERADO DA DEVOLUÇÃO DE UM AUTOCLEAR CLASSIC 5L. AJUSTE N°178 FEITO PELO SAMUEL&lt;&lt;csq&gt;&gt;</t>
  </si>
  <si>
    <t>11004955-RAFAEL DA SILVA PEREIRA</t>
  </si>
  <si>
    <t xml:space="preserve">TELEFONE(S): (61)98448-9731  </t>
  </si>
  <si>
    <t>TOT.DÉBITO: -0,88</t>
  </si>
  <si>
    <t>000000000026A-CC</t>
  </si>
  <si>
    <t>06000010-RAFAEL DE ARAÚJO DIAS</t>
  </si>
  <si>
    <t xml:space="preserve">TELEFONE(S): (61)98572-7852  </t>
  </si>
  <si>
    <t>TOT.DÉBITO: 1.152,38</t>
  </si>
  <si>
    <t>000000601405A-CC</t>
  </si>
  <si>
    <t>REF. LANC. CREDITO - CLIENTE: 06000010-RAFAEL DE ARAÚJO DIAS - PAGTO.PARCIAL - DTA. REC.: 02/02/2026 - VR. ORIGINAL: -81,00 - VR. PAGO: -79,25</t>
  </si>
  <si>
    <t>04000125-RAFAEL FUNILARIA, PINTURA E SERVICOS AUTOMOTIVOS LTDA</t>
  </si>
  <si>
    <t>TELEFONE(S): (61) 3355-5094 (61)98458-5490 (61)98458-5490</t>
  </si>
  <si>
    <t>001000001055B-AG</t>
  </si>
  <si>
    <t>REF. AGRUPAMENTO Nro. 001000001055 - PARC. 2 / 2 - DOC(S): 000000005361A/000000005391A/000000005399A/000000005415A/000000005425A/000000005426A/000000005428A/000000005439A/000000005449A/000000005454A/000000005498A/000000005501A/000000005503A/000000005504A/000000005505A/000000005510A/000000005525A/000000005529A/000000005533A/000000005538A/000000005540A/000000005541A/000000005542A/000000005546A/000000005571A/000000005573A/000000005588A/000000005597A/000000005599A/000000005601A/000000005606A/000000005616A - PAGTO.PARCIAL - DTA. REC.: 12/09/2023 - VR. ORIGINAL: 4.397,00 - VR. PAGO: 278,47 - PAGTO.PARCIAL - DTA. REC.: 20/10/2023 - VR. ORIGINAL: 4.397,00 - VR. PAGO: 400,00 - PAGTO.PARCIAL - DTA. REC.: 11/01/2024 - VR. ORIGINAL: 4.397,00 - VR. PAGO: 1.500,00</t>
  </si>
  <si>
    <t>001000001075A-AG</t>
  </si>
  <si>
    <t>REF. AGRUPAMENTO Nro. 001000001075 - PARC. 1 / 1 - DOC(S): 000000000089A/000000005776A/000000005778A/000000005783A/000000005786A/000000005790A/000000005794A/000000005796A/000000005799A/000000005804A/000000005806A/000000005809A/000000005865A</t>
  </si>
  <si>
    <t>001000001056A-AG</t>
  </si>
  <si>
    <t>REF. AGRUPAMENTO Nro. 001000001056 - PARC. 1 / 1 - DOC(S): 000000005635A/000000005640A/000000005644A/000000005659A</t>
  </si>
  <si>
    <t>02001441-RAIMUNDO CEZAR BRITTO ARAGAO</t>
  </si>
  <si>
    <t xml:space="preserve">TELEFONE(S):  (61) 3248-0627 </t>
  </si>
  <si>
    <t>TOT.DÉBITO: 84,90</t>
  </si>
  <si>
    <t>000000011705A-NF</t>
  </si>
  <si>
    <t>00000250-RAIMUNDO GRACIANO SILVA FILHO</t>
  </si>
  <si>
    <t>TELEFONE(S):   (61)99210-6174</t>
  </si>
  <si>
    <t>TOT.DÉBITO: 621,93</t>
  </si>
  <si>
    <t>000000402257A-CC</t>
  </si>
  <si>
    <t>LANC. CRED. REF. A  - PAGTO.PARCIAL - DTA. REC.: 10/04/2024 - VR. ORIGINAL: -6,00 - VR. PAGO: -3,00</t>
  </si>
  <si>
    <t>000000402353A-CC</t>
  </si>
  <si>
    <t>REF. LANC. CREDITO - CLIENTE: 00000250-RAIMUNDO GRACIANO SILVA FILHO</t>
  </si>
  <si>
    <t>80005188-RAIMUNDO MARQUES DA SILVA</t>
  </si>
  <si>
    <t>REF. LANC. CREDITO - CLIENTE: 80005188-RAIMUNDO MARQUES DA SILVA</t>
  </si>
  <si>
    <t>05000565-RAIMUNDO MB DANTAS</t>
  </si>
  <si>
    <t>000000000977A-CC</t>
  </si>
  <si>
    <t>REF. LANC. CREDITO - CLIENTE: 05000565-RAIMUNDO MB DANTAS</t>
  </si>
  <si>
    <t>02002170-RAIMUNDO NONATO FELIX</t>
  </si>
  <si>
    <t>TELEFONE(S): (61)99299-3840  (61)99299-3840</t>
  </si>
  <si>
    <t>REF. LANC. CREDITO - CLIENTE: 02002170-RAIMUNDO NONATO FELIX</t>
  </si>
  <si>
    <t>80005384-RAIMUNDO REPINTE</t>
  </si>
  <si>
    <t xml:space="preserve">TELEFONE(S):  (61) 9536-9294 </t>
  </si>
  <si>
    <t>000000002043A-CC</t>
  </si>
  <si>
    <t>LANC. CRED. REF. A  - PAGTO.PARCIAL - DTA. REC.: 05/10/2024 - VR. ORIGINAL: -500,00 - VR. PAGO: -499,10</t>
  </si>
  <si>
    <t>000000002301A-CC</t>
  </si>
  <si>
    <t>REF. LANC. CREDITO - CLIENTE: 80005384-RAIMUNDO - PAGTO.PARCIAL - DTA. REC.: 05/12/2024 - VR. ORIGINAL: -20,00 - VR. PAGO: -19,90</t>
  </si>
  <si>
    <t>000000000352A-CC</t>
  </si>
  <si>
    <t>REF. LANC. CREDITO - CLIENTE: 80005384-RAIMUNDO</t>
  </si>
  <si>
    <t>05000440-RAIMUNDO SILVA</t>
  </si>
  <si>
    <t>TELEFONE(S):   (61)99394-0432</t>
  </si>
  <si>
    <t>TOT.DÉBITO: 856,93</t>
  </si>
  <si>
    <t>000000003782A-IF</t>
  </si>
  <si>
    <t>REFERENTE A FATURAMENTO - PARC. 1/1&lt;&lt;csq&gt;&gt; - PAGTO.PARCIAL - DTA. REC.: 17/05/2023 - VR. ORIGINAL: 192,63 - VR. PAGO: 27,63 - PAGTO.PARCIAL - DTA. REC.: 28/02/2024 - VR. ORIGINAL: 192,63 - VR. PAGO: 87,17</t>
  </si>
  <si>
    <t>000000003895A-IF</t>
  </si>
  <si>
    <t>00004628-RAMIRO FRANCISCO DOS SANTOS</t>
  </si>
  <si>
    <t>TELEFONE(S): (61) 3381-8956  (61) 9694-1525</t>
  </si>
  <si>
    <t>LIM.CRÉDITO: 92,33</t>
  </si>
  <si>
    <t>TOT.DÉBITO: -6,88</t>
  </si>
  <si>
    <t>000000102994A-CC</t>
  </si>
  <si>
    <t>LANC. CRED. REF. A  - PAGTO.PARCIAL - DTA. REC.: 08/11/2023 - VR. ORIGINAL: -50,00 - VR. PAGO: -49,50</t>
  </si>
  <si>
    <t>000000020688A-NF</t>
  </si>
  <si>
    <t>REF.DEV.: 000000020688-NF REF.DOC.: 000000047985-IF-001-15/12/2023 - PARC. 1/1&lt;&lt;csq&gt;&gt; - PAGTO.PARCIAL - DTA. REC.: 20/12/2023 - VR. ORIGINAL: -50,00 - VR. PAGO: -43,62</t>
  </si>
  <si>
    <t>02001115-RANDOFF ALEXANDRE DOS REIS CALÇADO</t>
  </si>
  <si>
    <t xml:space="preserve">TELEFONE(S): (61)98451-7766  </t>
  </si>
  <si>
    <t>000000000837A-CC</t>
  </si>
  <si>
    <t>REF. LANC. CREDITO - CLIENTE: 02001115-RANDOFF ALEXANDRE DOS REIS CALÇADO</t>
  </si>
  <si>
    <t>00001898-RAUL COSTA JUNIOR</t>
  </si>
  <si>
    <t>TELEFONE(S):   (  ) 9190-8972</t>
  </si>
  <si>
    <t>REF. LANC. CREDITO - CLIENTE: 00001898-RAUL COSTA JUNIOR</t>
  </si>
  <si>
    <t>80006611-RAUL FRANCISCO MADUREIA DE LIMA</t>
  </si>
  <si>
    <t>000000000751A-NF</t>
  </si>
  <si>
    <t>REF.DEV.: 000000000751-NF REF.DOC.: 000000000715-NF-024-30/12/2025 - PARC. 1/1&lt;&lt;csq&gt;&gt; - PAGTO.PARCIAL - DTA. REC.: 08/01/2026 - VR. ORIGINAL: -439,80 - VR. PAGO: -332,00</t>
  </si>
  <si>
    <t>11006168-RBS CONSTRUCAO E CONSERVACAO PREDIAL LTDA</t>
  </si>
  <si>
    <t>TOT.DÉBITO: 205,20</t>
  </si>
  <si>
    <t>000000038408A-NF</t>
  </si>
  <si>
    <t>02001468-REAL ENGENHARIA  023 LTDA</t>
  </si>
  <si>
    <t xml:space="preserve">TELEFONE(S):  (61) 3201-0808 </t>
  </si>
  <si>
    <t>TOT.DÉBITO: 212,00</t>
  </si>
  <si>
    <t>000000024319A-NF</t>
  </si>
  <si>
    <t>00000425-RECUPER. DE VEICULOS FABIO SOUZA LTDA</t>
  </si>
  <si>
    <t>TELEFONE(S): (61) 3601-3710  (61) 9672-3420</t>
  </si>
  <si>
    <t>TOT.DÉBITO: -67,95</t>
  </si>
  <si>
    <t>000000000495A-CC</t>
  </si>
  <si>
    <t>LANC. CRED. REF. A  - PAGTO.PARCIAL - DTA. REC.: 29/10/2025 - VR. ORIGINAL: -9.153,83 - VR. PAGO: -8.962,88 - PAGTO.PARCIAL - DTA. REC.: 04/11/2025 - VR. ORIGINAL: -190,95 - VR. PAGO: -48,00 - PAGTO.PARCIAL - DTA. REC.: 14/11/2025 - VR. ORIGINAL: -142,95 - VR. PAGO: -75,00</t>
  </si>
  <si>
    <t>05000164-REGINALDO DE ABREU</t>
  </si>
  <si>
    <t xml:space="preserve">TELEFONE(S):  (61)98446-1362 </t>
  </si>
  <si>
    <t>000000006028A-NF</t>
  </si>
  <si>
    <t>REF.DEV.: 000000006028-NF REF.DOC.: 000000023519-IF-013-03/02/2024 - PARC. 1/1&lt;&lt;csq&gt;&gt; - PAGTO.PARCIAL - DTA. REC.: 12/03/2024 - VR. ORIGINAL: -149,17 - VR. PAGO: -149,07</t>
  </si>
  <si>
    <t>80005340-REGINALDO DE ABREU</t>
  </si>
  <si>
    <t>TELEFONE(S):   (61) 9521-9411</t>
  </si>
  <si>
    <t>000000000361A-CC</t>
  </si>
  <si>
    <t>REF. LANC. CREDITO - CLIENTE: 80005340-REGINALDO DE ABREU</t>
  </si>
  <si>
    <t>000000000370A-CC</t>
  </si>
  <si>
    <t>000000000373A-CC</t>
  </si>
  <si>
    <t>80004995-REGINALDO RODRIGUES DE SOUZA</t>
  </si>
  <si>
    <t>TELEFONE(S):   (61)98286-0831</t>
  </si>
  <si>
    <t>TOT.DÉBITO: 706,00</t>
  </si>
  <si>
    <t>000000000701C-AG</t>
  </si>
  <si>
    <t>REF. AGRUPAMENTO Nro. 000000000701 - PARC. 3 / 3 - DOC(S): 000000008360A/000000008377A/000000008393A/000000008404A/000000008428A/000000008439A</t>
  </si>
  <si>
    <t>000000000626A-CC</t>
  </si>
  <si>
    <t>LANC. CRED. REF. A  - PAGTO.PARCIAL - DTA. REC.: 28/11/2025 - VR. ORIGINAL: -3.022,42 - VR. PAGO: -2.982,42</t>
  </si>
  <si>
    <t>80005537-REGINALDO SAAVEDRA TAVARES</t>
  </si>
  <si>
    <t>TELEFONE(S):  (61)99211-4204 (61)99211-4204</t>
  </si>
  <si>
    <t>TOT.DÉBITO: -2,20</t>
  </si>
  <si>
    <t>000000002502A-CC</t>
  </si>
  <si>
    <t>REF. LANC. CREDITO - CLIENTE: 80005537-REGINALDO SAAVEDRA TAVARES</t>
  </si>
  <si>
    <t>000000002829A-CC</t>
  </si>
  <si>
    <t>000000000001A-CC</t>
  </si>
  <si>
    <t>00000847-REGULADORA SFR</t>
  </si>
  <si>
    <t xml:space="preserve">TELEFONE(S): (61)33037-4079 (61)99961-8534 </t>
  </si>
  <si>
    <t>TOT.DÉBITO: 3,44</t>
  </si>
  <si>
    <t>000000018774A-NF</t>
  </si>
  <si>
    <t>REF.DEV.: 000000018774-NF REF.DOC.: 000000018742-NF-014-30/10/2024 - PARC. 1/1&lt;&lt;csq&gt;&gt;</t>
  </si>
  <si>
    <t>000000024221A-NF</t>
  </si>
  <si>
    <t>03000058-REJANE DE CASTRO LESSA EIRELI</t>
  </si>
  <si>
    <t>TELEFONE(S): (61) 3026-7672  (61)99924-2820</t>
  </si>
  <si>
    <t>11005395-RENATO FERREIRA DE SOUSA</t>
  </si>
  <si>
    <t xml:space="preserve">TELEFONE(S):  (61)93965-2111 </t>
  </si>
  <si>
    <t>000000038458C-NF</t>
  </si>
  <si>
    <t>80005674-RENATO LINO</t>
  </si>
  <si>
    <t xml:space="preserve">TELEFONE(S): (61)99455-6479  </t>
  </si>
  <si>
    <t>000000000541A-CC</t>
  </si>
  <si>
    <t>LANC. CRED. REF. A  - PAGTO.PARCIAL - DTA. REC.: 14/11/2025 - VR. ORIGINAL: -146,00 - VR. PAGO: -145,75</t>
  </si>
  <si>
    <t>00002215-RENATO N ALMEIDA MACHADO</t>
  </si>
  <si>
    <t xml:space="preserve">TELEFONE(S): (61)98468-4481  </t>
  </si>
  <si>
    <t>000000102937A-CC</t>
  </si>
  <si>
    <t>LANC. CRED. REF. A  - PAGTO.PARCIAL - DTA. REC.: 24/10/2023 - VR. ORIGINAL: -55,00 - VR. PAGO: -54,54</t>
  </si>
  <si>
    <t>06000139-RENATO PEREIRA GALDINO</t>
  </si>
  <si>
    <t>TELEFONE(S):   (61)99219-5374</t>
  </si>
  <si>
    <t>000000000814A-CC</t>
  </si>
  <si>
    <t>LANC. CRED. REF. A  - PAGTO.PARCIAL - DTA. REC.: 22/01/2026 - VR. ORIGINAL: -52,00 - VR. PAGO: -8,60</t>
  </si>
  <si>
    <t>80004979-RENATO PEREIRA GALDINO</t>
  </si>
  <si>
    <t xml:space="preserve">TELEFONE(S): (61)99219-5374  </t>
  </si>
  <si>
    <t>LIM.CRÉDITO: 1.300,00</t>
  </si>
  <si>
    <t>TOT.DÉBITO: 269,90</t>
  </si>
  <si>
    <t>000000002552A-NF</t>
  </si>
  <si>
    <t>04000298-RENEW CAR</t>
  </si>
  <si>
    <t>TELEFONE(S):   (61)99649-9496</t>
  </si>
  <si>
    <t>TOT.DÉBITO: -22,03</t>
  </si>
  <si>
    <t>000000402036A-CC</t>
  </si>
  <si>
    <t>LANC. CRED. REF. A  - PAGTO.PARCIAL - DTA. REC.: 07/10/2023 - VR. ORIGINAL: -127,00 - VR. PAGO: -26,37 - PAGTO.PARCIAL - DTA. REC.: 07/10/2023 - VR. ORIGINAL: -100,63 - VR. PAGO: -67,80 - PAGTO.PARCIAL - DTA. REC.: 09/10/2023 - VR. ORIGINAL: -32,83 - VR. PAGO: -10,80</t>
  </si>
  <si>
    <t>02000639-RENNAN BERNARDINO</t>
  </si>
  <si>
    <t xml:space="preserve">TELEFONE(S): (61)98108-0056  </t>
  </si>
  <si>
    <t>000000402160A-CC</t>
  </si>
  <si>
    <t>LANC. CRED. REF. A  - PAGTO.PARCIAL - DTA. REC.: 17/01/2024 - VR. ORIGINAL: -302,00 - VR. PAGO: -132,98 - PAGTO.PARCIAL - DTA. REC.: 18/01/2024 - VR. ORIGINAL: -169,02 - VR. PAGO: -169,00</t>
  </si>
  <si>
    <t>04000174-RENNAN CARLOS TOLEDO PINHEIRO</t>
  </si>
  <si>
    <t xml:space="preserve">TELEFONE(S): (61)98524-3778  </t>
  </si>
  <si>
    <t>000000402578A-CC</t>
  </si>
  <si>
    <t>000000402685A-CC</t>
  </si>
  <si>
    <t>REF. LANC. CREDITO - CLIENTE: 04000174-RENNAN CARLOS TOLEDO PINHEIRO</t>
  </si>
  <si>
    <t>02001349-RENOVA MULTIMARCAS</t>
  </si>
  <si>
    <t>TOT.DÉBITO: -30,08</t>
  </si>
  <si>
    <t>000000000305A-CC</t>
  </si>
  <si>
    <t>LANC. CRED. REF. A  - PAGTO.PARCIAL - DTA. REC.: 29/04/2023 - VR. ORIGINAL: -600,00 - VR. PAGO: -569,92</t>
  </si>
  <si>
    <t>00003348-REPARAUTO REC VEICULOS LUZIANIA LTDA</t>
  </si>
  <si>
    <t xml:space="preserve">TELEFONE(S): (61) 3622-7012  </t>
  </si>
  <si>
    <t>000000000497D-AG</t>
  </si>
  <si>
    <t>REF. AGRUPAMENTO Nro. 000000000497 - PARC. 4 / 5 - DOC(S): 000000006670A/000000006721A/000000006725A/000000006752A - PAGTO.PARCIAL - DTA. REC.: 05/06/2025 - VR. ORIGINAL: 5.455,00 - VR. PAGO: 480,57</t>
  </si>
  <si>
    <t>000000000537B-AG</t>
  </si>
  <si>
    <t>REF. AGRUPAMENTO Nro. 000000000537 - PARC. 2 / 4 - DOC(S): 000000006979A/000000006989A/000000006992A</t>
  </si>
  <si>
    <t>000000000538A-AG</t>
  </si>
  <si>
    <t>REF. AGRUPAMENTO Nro. 000000000538 - PARC. 1 / 5 - DOC(S): 000000001080A/000000001601A</t>
  </si>
  <si>
    <t>000000000459F-AG</t>
  </si>
  <si>
    <t>REF. AGRUPAMENTO Nro. 000000000459 - PARC. 6 / 6 - DOC(S): 000000006514A/000000006555A/000000006594A</t>
  </si>
  <si>
    <t>000000000476F-AG</t>
  </si>
  <si>
    <t>REF. AGRUPAMENTO Nro. 000000000476 - PARC. 6 / 6 - DOC(S): 000000006475A/000000006607A/000000006622A/000000006653A</t>
  </si>
  <si>
    <t>000000000516D-AG</t>
  </si>
  <si>
    <t>REF. AGRUPAMENTO Nro. 000000000516 - PARC. 4 / 5 - DOC(S): 000000006784A/000000006786A/000000006799A/000000006845A/000000006846A/000000006875A</t>
  </si>
  <si>
    <t>000000000549B-AG</t>
  </si>
  <si>
    <t>REF. AGRUPAMENTO Nro. 000000000549 - PARC. 2 / 4 - DOC(S): 000000007112A/000000007115A/000000007125A/000000007130A/000000007150A/000000007153A/000000007170A/000000007171A/000000007179A/000000007180A/000000007187A</t>
  </si>
  <si>
    <t>000000000497E-AG</t>
  </si>
  <si>
    <t>REF. AGRUPAMENTO Nro. 000000000497 - PARC. 5 / 5 - DOC(S): 000000006670A/000000006721A/000000006725A/000000006752A</t>
  </si>
  <si>
    <t>000000000537C-AG</t>
  </si>
  <si>
    <t>REF. AGRUPAMENTO Nro. 000000000537 - PARC. 3 / 4 - DOC(S): 000000006979A/000000006989A/000000006992A</t>
  </si>
  <si>
    <t>000000000538B-AG</t>
  </si>
  <si>
    <t>REF. AGRUPAMENTO Nro. 000000000538 - PARC. 2 / 5 - DOC(S): 000000001080A/000000001601A</t>
  </si>
  <si>
    <t>000000000549C-AG</t>
  </si>
  <si>
    <t>REF. AGRUPAMENTO Nro. 000000000549 - PARC. 3 / 4 - DOC(S): 000000007112A/000000007115A/000000007125A/000000007130A/000000007150A/000000007153A/000000007170A/000000007171A/000000007179A/000000007180A/000000007187A</t>
  </si>
  <si>
    <t>000000000516E-AG</t>
  </si>
  <si>
    <t>REF. AGRUPAMENTO Nro. 000000000516 - PARC. 5 / 5 - DOC(S): 000000006784A/000000006786A/000000006799A/000000006845A/000000006846A/000000006875A</t>
  </si>
  <si>
    <t>000000000537D-AG</t>
  </si>
  <si>
    <t>REF. AGRUPAMENTO Nro. 000000000537 - PARC. 4 / 4 - DOC(S): 000000006979A/000000006989A/000000006992A</t>
  </si>
  <si>
    <t>000000000538C-AG</t>
  </si>
  <si>
    <t>REF. AGRUPAMENTO Nro. 000000000538 - PARC. 3 / 5 - DOC(S): 000000001080A/000000001601A</t>
  </si>
  <si>
    <t>000000000549D-AG</t>
  </si>
  <si>
    <t>REF. AGRUPAMENTO Nro. 000000000549 - PARC. 4 / 4 - DOC(S): 000000007112A/000000007115A/000000007125A/000000007130A/000000007150A/000000007153A/000000007170A/000000007171A/000000007179A/000000007180A/000000007187A</t>
  </si>
  <si>
    <t>000000000538D-AG</t>
  </si>
  <si>
    <t>REF. AGRUPAMENTO Nro. 000000000538 - PARC. 4 / 5 - DOC(S): 000000001080A/000000001601A</t>
  </si>
  <si>
    <t>000000000538E-AG</t>
  </si>
  <si>
    <t>REF. AGRUPAMENTO Nro. 000000000538 - PARC. 5 / 5 - DOC(S): 000000001080A/000000001601A</t>
  </si>
  <si>
    <t>000000000306A-CH</t>
  </si>
  <si>
    <t>DTA.TIT: 05/06/2025, REF. A CHQ. No: 855011, AGE: 0941_x000D_ EMITENTE: REPARAUTO REC VEICULOS LUZIANIA LTDA_x000D_ TELECHEQUE NÃO</t>
  </si>
  <si>
    <t>000000006785A-IF</t>
  </si>
  <si>
    <t>000000006858A-IF</t>
  </si>
  <si>
    <t>000000006895A-IF</t>
  </si>
  <si>
    <t>000000006979A-IF</t>
  </si>
  <si>
    <t>000000007002A-IF</t>
  </si>
  <si>
    <t>000000007023A-IF</t>
  </si>
  <si>
    <t>000000007024A-IF</t>
  </si>
  <si>
    <t>000000007044A-IF</t>
  </si>
  <si>
    <t>000000007068A-IF</t>
  </si>
  <si>
    <t>000000007094A-IF</t>
  </si>
  <si>
    <t>000000007109A-IF</t>
  </si>
  <si>
    <t>000000007118A-IF</t>
  </si>
  <si>
    <t>000000007142A-IF</t>
  </si>
  <si>
    <t>000000007163A-IF</t>
  </si>
  <si>
    <t>000000007189A-IF</t>
  </si>
  <si>
    <t>000000007215A-IF</t>
  </si>
  <si>
    <t>000000007307A-IF</t>
  </si>
  <si>
    <t>00004951-RETOCARS AUTO SERVICE LTDA</t>
  </si>
  <si>
    <t xml:space="preserve">TELEFONE(S): (61) 8135-9722  </t>
  </si>
  <si>
    <t>001000002180B-AG</t>
  </si>
  <si>
    <t>001000002190A-AG</t>
  </si>
  <si>
    <t>REF. AGRUPAMENTO Nro. 001000002190 - PARC. 1 / 3 - DOC(S): 000000021361A/000000021371A/000000021388A/000000021389A/000000021390A/000000021424A/000000021430A/000000021468A/000000021469A/000000021470A/000000021471A/000000021472A/000000021473A/000000021486A/000000021538A/000000021539A/000000021572A/000000021592A/000000021593A/000000021649A/000000021724A</t>
  </si>
  <si>
    <t>001000002180C-AG</t>
  </si>
  <si>
    <t>REF. AGRUPAMENTO Nro. 001000002180 - PARC. 3 / 3 - DOC(S): 000000021264A/000000020906A/000000020937A/000000020950A/000000020951A/000000020953A/000000021007A/000000021031A/000000021046A/000000021047A/000000021048A/000000021049A/000000021050A/000000021067A/000000021098A/000000021110A/000000021111A/000000021118A/000000021127A/000000021129A</t>
  </si>
  <si>
    <t>001000002190B-AG</t>
  </si>
  <si>
    <t>REF. AGRUPAMENTO Nro. 001000002190 - PARC. 2 / 3 - DOC(S): 000000021361A/000000021371A/000000021388A/000000021389A/000000021390A/000000021424A/000000021430A/000000021468A/000000021469A/000000021470A/000000021471A/000000021472A/000000021473A/000000021486A/000000021538A/000000021539A/000000021572A/000000021592A/000000021593A/000000021649A/000000021724A</t>
  </si>
  <si>
    <t>001000002205A-AG</t>
  </si>
  <si>
    <t>REF. AGRUPAMENTO Nro. 001000002205 - PARC. 1 / 3 - DOC(S): 000000021745A/000000021922A/000000021947A/000000021959A/000000021960A/000000021991A/000000021992A/000000022040A/000000022057A/000000022058A/000000022059A/000000022110A/000000022119A</t>
  </si>
  <si>
    <t>000000021663C-NF</t>
  </si>
  <si>
    <t>001000002190C-AG</t>
  </si>
  <si>
    <t>REF. AGRUPAMENTO Nro. 001000002190 - PARC. 3 / 3 - DOC(S): 000000021361A/000000021371A/000000021388A/000000021389A/000000021390A/000000021424A/000000021430A/000000021468A/000000021469A/000000021470A/000000021471A/000000021472A/000000021473A/000000021486A/000000021538A/000000021539A/000000021572A/000000021592A/000000021593A/000000021649A/000000021724A</t>
  </si>
  <si>
    <t>001000002205B-AG</t>
  </si>
  <si>
    <t>REF. AGRUPAMENTO Nro. 001000002205 - PARC. 2 / 3 - DOC(S): 000000021745A/000000021922A/000000021947A/000000021959A/000000021960A/000000021991A/000000021992A/000000022040A/000000022057A/000000022058A/000000022059A/000000022110A/000000022119A</t>
  </si>
  <si>
    <t>000000021663D-NF</t>
  </si>
  <si>
    <t>001000002205C-AG</t>
  </si>
  <si>
    <t>REF. AGRUPAMENTO Nro. 001000002205 - PARC. 3 / 3 - DOC(S): 000000021745A/000000021922A/000000021947A/000000021959A/000000021960A/000000021991A/000000021992A/000000022040A/000000022057A/000000022058A/000000022059A/000000022110A/000000022119A</t>
  </si>
  <si>
    <t>001000002264A-AG</t>
  </si>
  <si>
    <t>REF. AGRUPAMENTO Nro. 001000002264 - PARC. 1 / 1 - DOC(S): 000000023296A/000000023307A/000000023332A/000000023334A/000000023335A/000000023336A/000000023342A/000000023358A/000000023364A/000000023392A/000000023418A/000000023441A/000000023442A/000000023444A/000000023477A/000000023478A/000000023484A/000000023491A/000000023527A/000000023538A/000000023539A/000000023598A/000000023599A/000000023602A/000000023603A/000000023612A/000000023645A/000000023667A/000000023708A/000000023713A/000000023714A/000000023740A/000000023741A - PAGTO.PARCIAL - DTA. REC.: 30/01/2026 - VR. ORIGINAL: 17.705,58 - VR. PAGO: 10.000,00</t>
  </si>
  <si>
    <t>001000002272A-AG</t>
  </si>
  <si>
    <t>REF. AGRUPAMENTO Nro. 001000002272 - PARC. 1 / 1 - DOC(S): 000000023357A/000000023860A/000000023864A/000000023891A/000000023892A/000000023895A/000000023896A/000000023904A/000000023923A/000000023929A/000000023950A/000000023961A/000000023991A/000000024039A/000000024041A/000000024042A/000000024055A/000000024069A/000000024070A</t>
  </si>
  <si>
    <t>000000022481A-NF</t>
  </si>
  <si>
    <t>REF.DEV.: 000000022481-NF REF.DOC.: 000000020950-NF-014-03/04/2025 - PARC. 1/1&lt;&lt;csq&gt;&gt; - PAGTO.PARCIAL - DTA. REC.: 29/07/2025 - VR. ORIGINAL: -998,91 - VR. PAGO: -938,44 - PAGTO.PARCIAL - DTA. REC.: 03/02/2026 - VR. ORIGINAL: -60,47 - VR. PAGO: -56,61</t>
  </si>
  <si>
    <t>000000025007A-NF</t>
  </si>
  <si>
    <t>REF.DEV.: 000000025007-NF REF.DOC.: 000000024839-NF-014-20/01/2026 - PARC. 1/1&lt;&lt;csq&gt;&gt; - PAGTO.PARCIAL - DTA. REC.: 05/02/2026 - VR. ORIGINAL: -53,47 - VR. PAGO: -52,14</t>
  </si>
  <si>
    <t>00002659-REVISA REPAROS AUTOMOTIVOS EIRELI ME</t>
  </si>
  <si>
    <t>TELEFONE(S):   (61)99545-6828</t>
  </si>
  <si>
    <t>000000100283A-CH</t>
  </si>
  <si>
    <t>DTA.TIT: 06/10/2021, REF. A CHQ. No: 000277, AGE: 3739_x000D_ EMITENTE: REVISA REPAROS AUTOMOTIVOS EIRELI ME_x000D_ TELECHEQUE NÃO</t>
  </si>
  <si>
    <t>000000000921A-CC</t>
  </si>
  <si>
    <t>REF. LANC. CREDITO - CLIENTE: 00002659-REVISA REPAROS AUTOMOTIVOS EIRELI ME</t>
  </si>
  <si>
    <t>80006365-RHENNER BITTAR</t>
  </si>
  <si>
    <t>TELEFONE(S):   (61)98593-2426</t>
  </si>
  <si>
    <t>TOT.DÉBITO: -1,57</t>
  </si>
  <si>
    <t>000000017310A-NF</t>
  </si>
  <si>
    <t>REF.DEV.: 000000017310-NF REF.DOC.: 000000025763-IF-012-21/07/2025 - PARC. 1/1&lt;&lt;csq&gt;&gt; - PAGTO.PARCIAL - DTA. REC.: 01/08/2025 - VR. ORIGINAL: -146,57 - VR. PAGO: -145,00</t>
  </si>
  <si>
    <t>80005859-RICARDO</t>
  </si>
  <si>
    <t>TOT.DÉBITO: -33,36</t>
  </si>
  <si>
    <t>000000000359A-NF</t>
  </si>
  <si>
    <t>REF.DEV.: 000000000359-NF REF.DOC.: 000000002242-IF-024-10/09/2025 - PARC. 1/1&lt;&lt;csq&gt;&gt; - PAGTO.PARCIAL - DTA. REC.: 30/09/2025 - VR. ORIGINAL: -935,36 - VR. PAGO: -746,70 - PAGTO.PARCIAL - DTA. REC.: 03/10/2025 - VR. ORIGINAL: -188,66 - VR. PAGO: -176,00</t>
  </si>
  <si>
    <t>REF. LANC. CREDITO - CLIENTE: 80005859-RICARDO</t>
  </si>
  <si>
    <t>00003370-RICARDO ALONSO VALADARES</t>
  </si>
  <si>
    <t>TELEFONE(S): (61) 3465-2342  (61) 9264-9019</t>
  </si>
  <si>
    <t>000000000906A-CC</t>
  </si>
  <si>
    <t>01000152-RICARDO DE OLIVEIRA VELOZO</t>
  </si>
  <si>
    <t xml:space="preserve">TELEFONE(S): (61)98340-5164  </t>
  </si>
  <si>
    <t>000000102403A-CC</t>
  </si>
  <si>
    <t>LANC. CRED. REF. A  - PAGTO.PARCIAL - DTA. REC.: 14/04/2023 - VR. ORIGINAL: -63,00 - VR. PAGO: -0,60 - PAGTO.PARCIAL - DTA. REC.: 14/04/2023 - VR. ORIGINAL: -62,40 - VR. PAGO: -62,20</t>
  </si>
  <si>
    <t>02001114-RICARDO NEY KRAU DE URURAHY</t>
  </si>
  <si>
    <t>TELEFONE(S):   (61)99988-2163</t>
  </si>
  <si>
    <t>TOT.DÉBITO: -0,87</t>
  </si>
  <si>
    <t>000000000166A-NF</t>
  </si>
  <si>
    <t>REF.DEV.: 000000000166-NF REF.DOC.: 000000000095-IF-014-06/07/2021 - PARC. 1/1&lt;&lt;csq&gt;&gt; - PAGTO.PARCIAL - DTA. REC.: 12/07/2021 - VR. ORIGINAL: -62,87 - VR. PAGO: -62,00</t>
  </si>
  <si>
    <t>02002478-RICARDO SALOMÃO</t>
  </si>
  <si>
    <t>TELEFONE(S): (61)99273-5149  (61)99273-5149</t>
  </si>
  <si>
    <t>000000001131A-CC</t>
  </si>
  <si>
    <t>LANC. CRED. REF. A  - PAGTO.PARCIAL - DTA. REC.: 18/09/2025 - VR. ORIGINAL: -563,77 - VR. PAGO: -562,90</t>
  </si>
  <si>
    <t>80006186-RICARDO SOARE</t>
  </si>
  <si>
    <t>000000002751A-CC</t>
  </si>
  <si>
    <t>REF. LANC. CREDITO - CLIENTE: 80006186-RICARDO SOARE</t>
  </si>
  <si>
    <t>80005426-RIOCOR COMERCIAL DE TINTAS LTDA</t>
  </si>
  <si>
    <t xml:space="preserve">TELEFONE(S):  (61)99641-8477 </t>
  </si>
  <si>
    <t>LIM.CRÉDITO: 4.500,00</t>
  </si>
  <si>
    <t>000000033606A-NF</t>
  </si>
  <si>
    <t>REF.DEV.: 000000033606-NF REF.DOC.: 000000033546-NF-009-16/06/2025 - PARC. 1/1&lt;&lt;csq&gt;&gt; - PAGTO.PARCIAL - DTA. REC.: 24/06/2025 - VR. ORIGINAL: -164,77 - VR. PAGO: -164,75</t>
  </si>
  <si>
    <t>04000313-RIVADAVIO LUIZ MARRA</t>
  </si>
  <si>
    <t>TELEFONE(S):   (61)99805-6809</t>
  </si>
  <si>
    <t>TOT.DÉBITO: -9,44</t>
  </si>
  <si>
    <t>000000401881A-CC</t>
  </si>
  <si>
    <t>REF. LANC. CREDITO - CLIENTE: 04000313-RIVADAVIO LUIZ MARRA - PAGTO.PARCIAL - DTA. REC.: 22/06/2023 - VR. ORIGINAL: -94,44 - VR. PAGO: -85,00</t>
  </si>
  <si>
    <t>00002722-ROBERTO MENDONCA DOS SANTOS ME</t>
  </si>
  <si>
    <t>TELEFONE(S): (61)33465-2024  (61) 9975-2282</t>
  </si>
  <si>
    <t>05000578-ROBERTO RODRIGUES DA SILVA</t>
  </si>
  <si>
    <t>TELEFONE(S):  (61)98211-4913 (61)98211-4913</t>
  </si>
  <si>
    <t>REF. LANC. CREDITO - CLIENTE: 05000578-ROBERTO RODRIGUES DA SILVA - PAGTO.PARCIAL - DTA. REC.: 09/05/2025 - VR. ORIGINAL: -8,00 - VR. PAGO: -7,70</t>
  </si>
  <si>
    <t>80005106-ROCHA DE ARUDA &amp; ARUDA LTDA ME</t>
  </si>
  <si>
    <t>TELEFONE(S):   (61)99904-8694</t>
  </si>
  <si>
    <t>000000000397A-CC</t>
  </si>
  <si>
    <t>REF. LANC. CREDITO - CLIENTE: 80005106-ROCHA DE ARUDA &amp; ARUDA LTDA ME</t>
  </si>
  <si>
    <t>02002514-ROCKWER</t>
  </si>
  <si>
    <t>TELEFONE(S): (61)98679-1588  (61)98679-1588</t>
  </si>
  <si>
    <t>000000001149A-CC</t>
  </si>
  <si>
    <t xml:space="preserve">REF. LANC. CREDITO - CLIENTE: 02002514-ROCKWER </t>
  </si>
  <si>
    <t>00002120-RODRIGO DANTAS QUEIROGA</t>
  </si>
  <si>
    <t>TELEFONE(S): (61) 3379-3852  (61) 9239-7009</t>
  </si>
  <si>
    <t>000000000381A-CC</t>
  </si>
  <si>
    <t>REF. LANC. CREDITO - CLIENTE: 00002120-RODRIGO DANTAS QUEIROGA</t>
  </si>
  <si>
    <t>80005820-RODRIGO NUNES GONTIJO</t>
  </si>
  <si>
    <t>TELEFONE(S): (61)99840-9006  (61)99840-9006</t>
  </si>
  <si>
    <t>000000000881A-CC</t>
  </si>
  <si>
    <t>80005317-ROGERIO</t>
  </si>
  <si>
    <t xml:space="preserve">TELEFONE(S):  (61)99202-2037 </t>
  </si>
  <si>
    <t>000000000621A-CC</t>
  </si>
  <si>
    <t>LANC. CRED. REF. A  - PAGTO.PARCIAL - DTA. REC.: 18/07/2023 - VR. ORIGINAL: -470,00 - VR. PAGO: -469,93</t>
  </si>
  <si>
    <t>80006207-ROGERIO APARECIDO DA SILVA</t>
  </si>
  <si>
    <t>TELEFONE(S): (13)99705-9952  (13)99705-9952</t>
  </si>
  <si>
    <t>TOT.DÉBITO: -75,67</t>
  </si>
  <si>
    <t>000000002795A-CC</t>
  </si>
  <si>
    <t>LANC. CRED. REF. A  - PAGTO.PARCIAL - DTA. REC.: 15/04/2025 - VR. ORIGINAL: -229,00 - VR. PAGO: -153,33</t>
  </si>
  <si>
    <t>00004661-ROGERIO DO NASCIMENTO CARVALHO</t>
  </si>
  <si>
    <t>TELEFONE(S): (61) 9258-7890  (61) 8632-3749</t>
  </si>
  <si>
    <t>LIM.CRÉDITO: 2.158,43</t>
  </si>
  <si>
    <t>000000012536A-NF</t>
  </si>
  <si>
    <t>REF.DEV.: 000000012536-NF REF.DOC.: 000000045634-IF-006-13/03/2024 - PARC. 1/1&lt;&lt;csq&gt;&gt; - PAGTO.PARCIAL - DTA. REC.: 16/03/2024 - VR. ORIGINAL: -49,90 - VR. PAGO: -47,80</t>
  </si>
  <si>
    <t>00002497-ROL MEC</t>
  </si>
  <si>
    <t>TELEFONE(S): (61) 9293-2030  (61) 8465-1104</t>
  </si>
  <si>
    <t>000000003226A-CC</t>
  </si>
  <si>
    <t>REF. LANC. CREDITO - CLIENTE: 00002497-ROL MEC - PAGTO.PARCIAL - DTA. REC.: 09/01/2026 - VR. ORIGINAL: -5,00 - VR. PAGO: -4,93</t>
  </si>
  <si>
    <t>06000215-ROMULO GOMES MOTA</t>
  </si>
  <si>
    <t>TELEFONE(S):  (61)99167-4715 (61)99167-4715</t>
  </si>
  <si>
    <t>TOT.DÉBITO: 132,00</t>
  </si>
  <si>
    <t>000000042629A-IF</t>
  </si>
  <si>
    <t>000000042577A-IF</t>
  </si>
  <si>
    <t>REFERENTE A FATURAMENTO - PARC. 1/1&lt;&lt;csq&gt;&gt; - PAGTO.PARCIAL - DTA. REC.: 16/10/2023 - VR. ORIGINAL: 222,00 - VR. PAGO: 130,00</t>
  </si>
  <si>
    <t>00002395-RONALDO JOD RODRIGUES</t>
  </si>
  <si>
    <t>TELEFONE(S): (61) 8429-8229  (38)98401-9371</t>
  </si>
  <si>
    <t>TOT.DÉBITO: 313,90</t>
  </si>
  <si>
    <t>000000000017A-CC</t>
  </si>
  <si>
    <t>000000000732A-NF</t>
  </si>
  <si>
    <t>REFERENTE A FATURAMENTO - PARC. 1/1&lt;&lt;csq&gt;&gt; - PAGTO.PARCIAL - DTA. REC.: 16/01/2023 - VR. ORIGINAL: 564,00 - VR. PAGO: 250,00</t>
  </si>
  <si>
    <t>00000613-RONEI DE SOUZA MAGALHAES</t>
  </si>
  <si>
    <t>TELEFONE(S):   (61)98679-2701</t>
  </si>
  <si>
    <t>000000000718A-CC</t>
  </si>
  <si>
    <t>REF. LANC. CREDITO - CLIENTE: 00000613-RONEI DE SOUZA MAGALHAES</t>
  </si>
  <si>
    <t>11004884-RS AUTO COMERCIO DE TINTAS AUTOMOTIVAS EIRELI</t>
  </si>
  <si>
    <t>000000000007A-CC</t>
  </si>
  <si>
    <t>11005295-RS COMERCIO DE TINTAS E FERRAMENTAS LTDA</t>
  </si>
  <si>
    <t xml:space="preserve">TELEFONE(S):  (77) 9812-1512 </t>
  </si>
  <si>
    <t>11005756-RTL ENCOMENDAS E CARGAS EIRELI</t>
  </si>
  <si>
    <t xml:space="preserve">TELEFONE(S):  (85) 3519-1214 </t>
  </si>
  <si>
    <t>TOT.DÉBITO: 20,22</t>
  </si>
  <si>
    <t>000000028123A-NF</t>
  </si>
  <si>
    <t>03000173-RUAN CARLOS DOMINGUES DOS SANTOS</t>
  </si>
  <si>
    <t xml:space="preserve">TELEFONE(S): (61)99150-6732  </t>
  </si>
  <si>
    <t>TOT.DÉBITO: 284,62</t>
  </si>
  <si>
    <t>000000000641A-CC</t>
  </si>
  <si>
    <t>LANC. CRED. REF. A  - PAGTO.PARCIAL - DTA. REC.: 26/02/2022 - VR. ORIGINAL: -381,33 - VR. PAGO: -373,85</t>
  </si>
  <si>
    <t>000000005550A-IF</t>
  </si>
  <si>
    <t>000000005586A-IF</t>
  </si>
  <si>
    <t>00003285-RUBENS DE SOUZA FERREIRA JUNIOR</t>
  </si>
  <si>
    <t>TOT.DÉBITO: -14,25</t>
  </si>
  <si>
    <t>000000000304A-CC</t>
  </si>
  <si>
    <t>REF. LANC. CREDITO - CLIENTE: 00003285-RUBENS DE SOUZA FERREIRA JUNIOR</t>
  </si>
  <si>
    <t>000000000563A-CC</t>
  </si>
  <si>
    <t>LANC. CRED. REF. A  - PAGTO.PARCIAL - DTA. REC.: 21/11/2025 - VR. ORIGINAL: -213,00 - VR. PAGO: -212,90</t>
  </si>
  <si>
    <t>00000411-RV COMERCIO DE PECAS &amp; VEICULOS LTDA ME</t>
  </si>
  <si>
    <t>TELEFONE(S): (61) 8407-4198  (61) 9320-9571</t>
  </si>
  <si>
    <t>TOT.DÉBITO: -20,10</t>
  </si>
  <si>
    <t>000000002643A-CC</t>
  </si>
  <si>
    <t>LANC. CRED. REF. A  - PAGTO.PARCIAL - DTA. REC.: 11/03/2025 - VR. ORIGINAL: -184,90 - VR. PAGO: -164,80</t>
  </si>
  <si>
    <t>00003267-RVA BRASILIA CONTRUÇOES  LTDA</t>
  </si>
  <si>
    <t xml:space="preserve">TELEFONE(S):  (61) 3551-8969 </t>
  </si>
  <si>
    <t>000000037581A-NF</t>
  </si>
  <si>
    <t>REF.DEV.: 000000037581-NF REF.DOC.: 000000037177-NF-009-08/10/2025 - PARC. 1/1&lt;&lt;csq&gt;&gt; - PAGTO.PARCIAL - DTA. REC.: 05/01/2026 - VR. ORIGINAL: -729,25 - VR. PAGO: -721,74</t>
  </si>
  <si>
    <t>00000339-RVA CONSTRUCOES E EMPREENDIMENTOS LTDA</t>
  </si>
  <si>
    <t>TELEFONE(S):   (61)98306-1426</t>
  </si>
  <si>
    <t>000000020837A-NF</t>
  </si>
  <si>
    <t>REF.DEV.: 000000020837-NF REF.DOC.: 000000020525-NF-009-19/12/2023 - PARC. 1/1&lt;&lt;csq&gt;&gt; - PAGTO.PARCIAL - DTA. REC.: 05/02/2024 - VR. ORIGINAL: -1.790,70 - VR. PAGO: -497,35</t>
  </si>
  <si>
    <t>000000036786A-NF</t>
  </si>
  <si>
    <t>REF.DEV.: 000000036786-NF REF.DOC.: 000000036334-NF-009-12/09/2025 - PARC. 1/1&lt;&lt;csq&gt;&gt;</t>
  </si>
  <si>
    <t>00000468-SAGA DETROIT COMERCIO DE VEICULOS PECAS E SERVICOS LTDA</t>
  </si>
  <si>
    <t xml:space="preserve">TELEFONE(S): (61) 3403-9393  </t>
  </si>
  <si>
    <t>000000037848A-NF</t>
  </si>
  <si>
    <t>REF.DEV.: 000000037848-NF REF.DOC.: 000000037847-NF-009-30/10/2025 - PARC. 1/1&lt;&lt;csq&gt;&gt;</t>
  </si>
  <si>
    <t>000000037847A-NF</t>
  </si>
  <si>
    <t>000000040833A-NF</t>
  </si>
  <si>
    <t>REF.DEV.: 000000040833-NF REF.DOC.: 000000040832-NF-009-09/02/2026 - PARC. 1/1&lt;&lt;csq&gt;&gt;</t>
  </si>
  <si>
    <t>80005591-SAMUEL MELO DO NASCIMENTO</t>
  </si>
  <si>
    <t>TELEFONE(S):   (61) 9998-0078</t>
  </si>
  <si>
    <t>TOT.DÉBITO: -1,76</t>
  </si>
  <si>
    <t>000000003094A-CC</t>
  </si>
  <si>
    <t>REF. LANC. CREDITO - CLIENTE: 80005591-SAMUEL MELO DO NASCIMENTO - PAGTO.PARCIAL - DTA. REC.: 01/07/2025 - VR. ORIGINAL: -20,66 - VR. PAGO: -18,90</t>
  </si>
  <si>
    <t>11005122-SANDRA KELLY CARDOZO NUNES</t>
  </si>
  <si>
    <t xml:space="preserve">TELEFONE(S): (61) 3627-6980  </t>
  </si>
  <si>
    <t>TOT.DÉBITO: 8.179,16</t>
  </si>
  <si>
    <t>000000021542B-NF</t>
  </si>
  <si>
    <t>000000021182C-NF</t>
  </si>
  <si>
    <t>000000021542C-NF</t>
  </si>
  <si>
    <t>000000022934A-NF</t>
  </si>
  <si>
    <t>000000022466B-NF</t>
  </si>
  <si>
    <t>000000022934B-NF</t>
  </si>
  <si>
    <t>000000022466C-NF</t>
  </si>
  <si>
    <t>000000022934C-NF</t>
  </si>
  <si>
    <t>00004994-SANDU COMERCIO E DISTRIBUICAO DE PRODUTOS LTDA</t>
  </si>
  <si>
    <t xml:space="preserve">TELEFONE(S): (61) 3561-4247  </t>
  </si>
  <si>
    <t>TOT.DÉBITO: -81.582,63</t>
  </si>
  <si>
    <t>000000016399A-NF</t>
  </si>
  <si>
    <t>REF.DEV.: 000000016399-NF REF.DOC.: 000000016080-NF-009-17/04/2023 - PARC. 1/1&lt;&lt;csq&gt;&gt;</t>
  </si>
  <si>
    <t>00003044-SAULO E MARCELO PECAS E SERVICOS LTDA</t>
  </si>
  <si>
    <t>TELEFONE(S): (61) 3082-7500  (61) 9618-9319</t>
  </si>
  <si>
    <t>000000000230A-CC</t>
  </si>
  <si>
    <t>REF. LANC. CREDITO - CLIENTE: 00003044-SAULO E MARCELO PECAS E SERVICOS LTDA - PAGTO.PARCIAL - DTA. REC.: 09/11/2023 - VR. ORIGINAL: -469,00 - VR. PAGO: -468,90</t>
  </si>
  <si>
    <t>00003111-SE AUTO MECANICA LTDA</t>
  </si>
  <si>
    <t>TELEFONE(S): (61) 3234-9024  (61)98607-0787</t>
  </si>
  <si>
    <t>000000014483A-NF</t>
  </si>
  <si>
    <t>REF.DEV.: 000000014483-NF REF.DOC.: 000000014456-NF-014-07/02/2024 - PARC. 1/1&lt;&lt;csq&gt;&gt; - PAGTO.PARCIAL - DTA. REC.: 23/02/2024 - VR. ORIGINAL: -26,20 - VR. PAGO: -0,40</t>
  </si>
  <si>
    <t>000000000656A-CC</t>
  </si>
  <si>
    <t>REF. LANC. CREDITO - CLIENTE: 00003111-SE AUTO MECANICA LTDA</t>
  </si>
  <si>
    <t>000000000683A-CC</t>
  </si>
  <si>
    <t>000000000686A-CC</t>
  </si>
  <si>
    <t>04000369-SEBASTIÃO MARDE</t>
  </si>
  <si>
    <t xml:space="preserve">TELEFONE(S): (61)99887-1960  </t>
  </si>
  <si>
    <t>000000402651A-CC</t>
  </si>
  <si>
    <t>REF. LANC. CREDITO - CLIENTE: 04000369-SEBASTIÃO MARDE</t>
  </si>
  <si>
    <t>000000402757A-CC</t>
  </si>
  <si>
    <t>00004385-SERGIO /AUTO MECANICA JUSCELINO</t>
  </si>
  <si>
    <t>TELEFONE(S): (61) 3344-0101  (61) 8428-7667</t>
  </si>
  <si>
    <t>000000000557A-CC</t>
  </si>
  <si>
    <t>REF. LANC. CREDITO - CLIENTE: 00004385-SERGIO /AUTO MECANICA JUSCELINO</t>
  </si>
  <si>
    <t>11004924-SERTAO AUTO PECAS LTDA</t>
  </si>
  <si>
    <t>000000029346A-NF</t>
  </si>
  <si>
    <t>REF.DEV.: 000000029346-NF REF.DOC.: 000000029317-NF-009-10/01/2025 - PARC. 1/1&lt;&lt;csq&gt;&gt;</t>
  </si>
  <si>
    <t>11005302-SHOW CAR PRODUTOS AUTOMOTIVOS LTDA</t>
  </si>
  <si>
    <t>TELEFONE(S):   (61)94101-8606</t>
  </si>
  <si>
    <t>TOT.DÉBITO: 23.277,54</t>
  </si>
  <si>
    <t>000000035698A-NF</t>
  </si>
  <si>
    <t>000000000121A-CC</t>
  </si>
  <si>
    <t>REF. LANC. CREDITO - CLIENTE: 11005302-SHOW CAR PRODUTOS AUTOMOTIVOS LTDA</t>
  </si>
  <si>
    <t>000000036711A-NF</t>
  </si>
  <si>
    <t>000000035698B-NF</t>
  </si>
  <si>
    <t>000000034753C-NF</t>
  </si>
  <si>
    <t>000000034773C-NF</t>
  </si>
  <si>
    <t>000000034889C-NF</t>
  </si>
  <si>
    <t>000000036033B-NF</t>
  </si>
  <si>
    <t>000000036054B-NF</t>
  </si>
  <si>
    <t>000000037081A-NF</t>
  </si>
  <si>
    <t>000000036745B-NF</t>
  </si>
  <si>
    <t>000000036176B-NF</t>
  </si>
  <si>
    <t>000000036456B-NF</t>
  </si>
  <si>
    <t>000000036745C-NF</t>
  </si>
  <si>
    <t>000000036711B-NF</t>
  </si>
  <si>
    <t>000000035698C-NF</t>
  </si>
  <si>
    <t>000000036054C-NF</t>
  </si>
  <si>
    <t>000000037081B-NF</t>
  </si>
  <si>
    <t>000000036745D-NF</t>
  </si>
  <si>
    <t>000000036456C-NF</t>
  </si>
  <si>
    <t>000000037081C-NF</t>
  </si>
  <si>
    <t>02001129-SIDNEY DE FABIO GUIMARAES</t>
  </si>
  <si>
    <t xml:space="preserve">TELEFONE(S): (61)98326-1812  </t>
  </si>
  <si>
    <t>TOT.DÉBITO: -94,90</t>
  </si>
  <si>
    <t>000000000652A-NF</t>
  </si>
  <si>
    <t>REF.DEV.: 000000000652-NF REF.DOC.: 000000000806-IF-014-13/08/2021 - PARC. 1/1&lt;&lt;csq&gt;&gt; - PAGTO.PARCIAL - DTA. REC.: 13/08/2021 - VR. ORIGINAL: -130,80 - VR. PAGO: -35,90</t>
  </si>
  <si>
    <t>80006321-SIDNEY LIMA RORIZ</t>
  </si>
  <si>
    <t xml:space="preserve">TELEFONE(S):  (61)99253-0441 </t>
  </si>
  <si>
    <t>000000003106A-CC</t>
  </si>
  <si>
    <t>REF. LANC. CREDITO - CLIENTE: 80006321-SIDNEY LIMA RORIZ</t>
  </si>
  <si>
    <t>00002575-SILAS PEREIRA CEZAR</t>
  </si>
  <si>
    <t xml:space="preserve">TELEFONE(S): (61)98227-7830  </t>
  </si>
  <si>
    <t>TOT.DÉBITO: 47,70</t>
  </si>
  <si>
    <t>000000401596A-CC</t>
  </si>
  <si>
    <t>LANC. CRED. REF. A  - PIX - PAGTO.PARCIAL - DTA. REC.: 22/11/2022 - VR. ORIGINAL: -67,00 - VR. PAGO: -66,00</t>
  </si>
  <si>
    <t>000000401629A-CC</t>
  </si>
  <si>
    <t>REF. LANC. CREDITO - CLIENTE: 00002575-SILAS PEREIRA CEZAR</t>
  </si>
  <si>
    <t>00004330-SILFARNEY DE FARIA ANDRADE</t>
  </si>
  <si>
    <t>TELEFONE(S):   (61)99138-6537</t>
  </si>
  <si>
    <t>TOT.DÉBITO: 2.004,64</t>
  </si>
  <si>
    <t>001000002132A-AG</t>
  </si>
  <si>
    <t>REF. AGRUPAMENTO Nro. 001000002132 - PARC. 1 / 1 - DOC(S): 000000012869A/000000013000A/000000013012A/000000013027A/000000013115A/000000013116A/000000013182A/000000013218A/000000013240A - PAGTO.PARCIAL - DTA. REC.: 22/01/2025 - VR. ORIGINAL: 18.959,17 - VR. PAGO: 18.959,00</t>
  </si>
  <si>
    <t>000000000861A-CC</t>
  </si>
  <si>
    <t>REF. LANC. CREDITO - CLIENTE: 00004330-SILFARNEY DE FARIA ANDRADE</t>
  </si>
  <si>
    <t>11005278-SINTEC FERRAGENS LTDA</t>
  </si>
  <si>
    <t>TELEFONE(S): (61)99575-3492  (61) 3628-6069</t>
  </si>
  <si>
    <t>TOT.DÉBITO: 485,31</t>
  </si>
  <si>
    <t>000000020521C-NF</t>
  </si>
  <si>
    <t>00004545-SMAFF IMPORT VEICULOS LTDA</t>
  </si>
  <si>
    <t>TELEFONE(S): (61) 2101-7177 (61) 3211-7000 (61) 8580-4026</t>
  </si>
  <si>
    <t>TOT.DÉBITO: -2,50</t>
  </si>
  <si>
    <t>000000000109A-CC</t>
  </si>
  <si>
    <t>REF. LANC. CREDITO - CLIENTE: 00004545-SMAFF IMPORT VEICULOS LTDA</t>
  </si>
  <si>
    <t>00003643-SO LANTERNAGEM E PINTURA LTDA</t>
  </si>
  <si>
    <t>TELEFONE(S): (61) 3434-0750  (61) 8436-0740</t>
  </si>
  <si>
    <t>TOT.DÉBITO: 79,93</t>
  </si>
  <si>
    <t>000000015061A-IF</t>
  </si>
  <si>
    <t>000000402488A-CC</t>
  </si>
  <si>
    <t>REF. LANC. CREDITO - CLIENTE: 00003643-SO LANTERNAGEM E PINTURA LTDA</t>
  </si>
  <si>
    <t>80005148-SOARES ALVIM - EIRELI - ME</t>
  </si>
  <si>
    <t xml:space="preserve">TELEFONE(S): (38)03672-6400 (38)03671-5382 </t>
  </si>
  <si>
    <t>000000000089A-CC</t>
  </si>
  <si>
    <t>REF. LANC. CREDITO - CLIENTE: 80005148-SOARES ALVIM - EIRELI - ME - PAGTO.PARCIAL - DTA. REC.: 01/06/2023 - VR. ORIGINAL: -2,60 - VR. PAGO: -0,02</t>
  </si>
  <si>
    <t>000000000719A-CC</t>
  </si>
  <si>
    <t>LANC. CRED. REF. A  - PAGTO.PARCIAL - DTA. REC.: 18/07/2025 - VR. ORIGINAL: -2.534,00 - VR. PAGO: -2.532,66</t>
  </si>
  <si>
    <t>000011122025A-CC</t>
  </si>
  <si>
    <t>VALOR PAGO DIA 11/12 E NÃO BAIXADO NO SISTEMA</t>
  </si>
  <si>
    <t>00001610-SOF NORTE PECAS E TINTAS AUTOMOTIVAS LTDA</t>
  </si>
  <si>
    <t xml:space="preserve">TELEFONE(S): (61) 3465-2277  </t>
  </si>
  <si>
    <t>000000009781A-NF</t>
  </si>
  <si>
    <t>REF.DEV.: 000000009781-NF REF.DOC.: 000000009771-NF-009-01/04/2021 - PARC. 1/1&lt;&lt;csq&gt;&gt;</t>
  </si>
  <si>
    <t>00003064-SOLIDA TRANSPORTE LTDA</t>
  </si>
  <si>
    <t xml:space="preserve">TELEFONE(S): (61) 3361-7772  </t>
  </si>
  <si>
    <t>TOT.DÉBITO: 28,33</t>
  </si>
  <si>
    <t>000000024821A-NF</t>
  </si>
  <si>
    <t>11006495-SOLLAR ENGENHARIA LTDA</t>
  </si>
  <si>
    <t>TELEFONE(S):   (61)98161-9804</t>
  </si>
  <si>
    <t>000000039265A-NF</t>
  </si>
  <si>
    <t>REF.DEV.: 000000039265-NF REF.DOC.: 000000038923-NF-009-02/12/2025 - PARC. 1/1&lt;&lt;csq&gt;&gt; - PAGTO.PARCIAL - DTA. REC.: 23/12/2025 - VR. ORIGINAL: -461,97 - VR. PAGO: -460,97</t>
  </si>
  <si>
    <t>000000000175A-CC</t>
  </si>
  <si>
    <t>REF. LANC. CREDITO - CLIENTE: 11006495-SOLLAR ENGENHARIA LTDA</t>
  </si>
  <si>
    <t>80005206-SOLUTION RETOQUE AERONAUTICO LTDA</t>
  </si>
  <si>
    <t xml:space="preserve">TELEFONE(S): (61)99627-1017  </t>
  </si>
  <si>
    <t>000000001616A-CC</t>
  </si>
  <si>
    <t>REF. LANC. CREDITO - CLIENTE: 80005206-SOLUTION RETOQUE AERONAUTICO LTDA</t>
  </si>
  <si>
    <t>00001915-SOT CAR</t>
  </si>
  <si>
    <t>TELEFONE(S): (61) 3373-3511  (61) 8404-5491</t>
  </si>
  <si>
    <t>LANC. CRED. REF. A  - PAGTO.PARCIAL - DTA. REC.: 14/03/2023 - VR. ORIGINAL: -200,00 - VR. PAGO: -169,70 - PAGTO.PARCIAL - DTA. REC.: 14/03/2023 - VR. ORIGINAL: -30,30 - VR. PAGO: -30,00</t>
  </si>
  <si>
    <t>80005083-SOT CAR AUTO CENTER LTDA</t>
  </si>
  <si>
    <t xml:space="preserve">TELEFONE(S):  (61)98404-5491 </t>
  </si>
  <si>
    <t>TOT.DÉBITO: -3,20</t>
  </si>
  <si>
    <t>000000002212A-CC</t>
  </si>
  <si>
    <t>REF. LANC. CREDITO - CLIENTE: 80005083-SOT CAR AUTO CENTER LTDA</t>
  </si>
  <si>
    <t>00004919-SOUZA &amp; SOUZA TINTAS LTDA</t>
  </si>
  <si>
    <t>TOT.DÉBITO: -1.260,22</t>
  </si>
  <si>
    <t>000000023765A-NF</t>
  </si>
  <si>
    <t>REF.DEV.: 000000023765-NF REF.DOC.: 000000023750-NF-009-28/05/2024 - PARC. 1/1&lt;&lt;csq&gt;&gt; - PAGTO.PARCIAL - DTA. REC.: 03/06/2024 - VR. ORIGINAL: -191,15 - VR. PAGO: -190,79</t>
  </si>
  <si>
    <t>000000000155A-CC</t>
  </si>
  <si>
    <t>02001046-START PRINT COMUNI VISUAL LTDA</t>
  </si>
  <si>
    <t xml:space="preserve">TELEFONE(S): (61)98598-7516  </t>
  </si>
  <si>
    <t>TOT.DÉBITO: -21,77</t>
  </si>
  <si>
    <t>000000001788A-NF</t>
  </si>
  <si>
    <t>REF.DEV.: 000000001788-NF REF.DOC.: 000000001782-NF-014-22/10/2021 - PARC. 1/1&lt;&lt;csq&gt;&gt; - PAGTO.PARCIAL - DTA. REC.: 22/10/2021 - VR. ORIGINAL: -143,33 - VR. PAGO: -121,56</t>
  </si>
  <si>
    <t>11006261-STATUS PRESTACAO DE SERVICOS ELETRICOS ,REFORMAS LTDA</t>
  </si>
  <si>
    <t>TELEFONE(S):   (61)98257-4774</t>
  </si>
  <si>
    <t>TOT.DÉBITO: -18,00</t>
  </si>
  <si>
    <t>04000343-STUDIO CAR HD LTDA</t>
  </si>
  <si>
    <t>TELEFONE(S):   (61)98566-7483</t>
  </si>
  <si>
    <t>000000402639A-CC</t>
  </si>
  <si>
    <t>REF. LANC. CREDITO - CLIENTE: 04000343-STUDIO CAR HD LTDA</t>
  </si>
  <si>
    <t>02000789-STUDIO MAIS COMUNICAÇÃO VISUAL LTDA</t>
  </si>
  <si>
    <t>TELEFONE(S): (61) 3443-6060  (61)98565-5000</t>
  </si>
  <si>
    <t>TOT.DÉBITO: -0,36</t>
  </si>
  <si>
    <t>000000000912A-CC</t>
  </si>
  <si>
    <t>LANC. CRED. REF. A  - PAGTO.PARCIAL - DTA. REC.: 29/04/2025 - VR. ORIGINAL: -843,90 - VR. PAGO: -825,64 - PAGTO.PARCIAL - DTA. REC.: 29/04/2025 - VR. ORIGINAL: -18,26 - VR. PAGO: -17,90</t>
  </si>
  <si>
    <t>00003124-STYLLO SERVICOS E LANTERN. E PINTURA LTDA EPP</t>
  </si>
  <si>
    <t>TELEFONE(S):   (61) 8544-5839</t>
  </si>
  <si>
    <t>000000022204A-NF</t>
  </si>
  <si>
    <t>REFERENTE A FATURAMENTO - PARC. 1/1&lt;&lt;csq&gt;&gt; - PAGTO.PARCIAL - DTA. REC.: 15/12/2022 - VR. ORIGINAL: 8.670,00 - VR. PAGO: 1.355,34 - PAGTO.PARCIAL - DTA. REC.: 17/01/2023 - VR. ORIGINAL: 8.670,00 - VR. PAGO: 414,93 - PAGTO.PARCIAL - DTA. REC.: 07/02/2023 - VR. ORIGINAL: 8.670,00 - VR. PAGO: 700,00 &lt;&lt;csq&gt;&gt; - DUPLICATA ESTORNADA: 07/02/2023 000000022204A - SEQ: 3 - ESP: NF - EMP: 004 - DTA. REC.: 07/02/2023 - VR. REC.: 700,00 - PAGTO.PARCIAL - DTA. REC.: 10/02/2023 - VR. ORIGINAL: 8.670,00 - VR. PAGO: 330,89 - PAGTO.PARCIAL - DTA. REC.: 14/02/2023 - VR. ORIGINAL: 8.670,00 - VR. PAGO: 1.050,00 - PAGTO.PARCIAL - DTA. REC.: 29/08/2023 - VR. ORIGINAL: 8.670,00 - VR. PAGO: 1.102,37</t>
  </si>
  <si>
    <t>001000002201A-AG</t>
  </si>
  <si>
    <t>REF. AGRUPAMENTO Nro. 001000002201 - PARC. 1 / 1 - DOC(S): 000000031485A/000000031572A/000000031594A/000000031611A/000000031636A/000000031638A/000000031646A/000000031662A/000000031677A/000000031680A - PAGTO.PARCIAL - DTA. REC.: 21/01/2026 - VR. ORIGINAL: 7.761,34 - VR. PAGO: 7.504,45</t>
  </si>
  <si>
    <t>05000525-TÁRCIO DE FRANÇA MELO</t>
  </si>
  <si>
    <t>000000001652A-CC</t>
  </si>
  <si>
    <t>REF. LANC. CREDITO - CLIENTE: 05000525-TÁRCIO DE FRANÇA MELO</t>
  </si>
  <si>
    <t>00004605-TARGET VEICULOS LTDA</t>
  </si>
  <si>
    <t xml:space="preserve">TELEFONE(S): (61) 3421-7343  </t>
  </si>
  <si>
    <t>TOT.DÉBITO: 37,90</t>
  </si>
  <si>
    <t>000000007171A-NF</t>
  </si>
  <si>
    <t>80006337-TATIANE CRISTINA CARVALHO SILVA</t>
  </si>
  <si>
    <t>TELEFONE(S): (61) 3601-2326  (61) 3601-2326</t>
  </si>
  <si>
    <t>000000000045A-CC</t>
  </si>
  <si>
    <t>REF. LANC. CREDITO - CLIENTE: 80006337-TATIANE CRISTINA CARVALHO SILVA</t>
  </si>
  <si>
    <t>11005501-TELAS E TOLDOS - COMERCIO E INDUSTRIA LTDA</t>
  </si>
  <si>
    <t>TELEFONE(S):  (61)99983-7020 (61) 3369-4760</t>
  </si>
  <si>
    <t>TOT.DÉBITO: 4.221,68</t>
  </si>
  <si>
    <t>000000039261A-NF</t>
  </si>
  <si>
    <t>000000036764D-NF</t>
  </si>
  <si>
    <t>000000039801A-NF</t>
  </si>
  <si>
    <t>80005235-TERRAÇO- TERRAPLENAGEM EIREKI ME</t>
  </si>
  <si>
    <t>TELEFONE(S): (61) 3621-4767  (61)99157-7465</t>
  </si>
  <si>
    <t>01000154-THADEU HENRIQUE DA SILVA</t>
  </si>
  <si>
    <t xml:space="preserve">TELEFONE(S): (61)99804-4833  </t>
  </si>
  <si>
    <t>TOT.DÉBITO: -7,01</t>
  </si>
  <si>
    <t>000000102138A-CC</t>
  </si>
  <si>
    <t>LANC. CRED. REF. A  - PAGTO.PARCIAL - DTA. REC.: 05/01/2023 - VR. ORIGINAL: -145,00 - VR. PAGO: -127,00</t>
  </si>
  <si>
    <t>000000102529A-CC</t>
  </si>
  <si>
    <t>LANC. CRED. REF. A  - PAGTO.PARCIAL - DTA. REC.: 30/05/2023 - VR. ORIGINAL: -17,00 - VR. PAGO: -10,00</t>
  </si>
  <si>
    <t>80005290-THIAGO DIEGO DIAS</t>
  </si>
  <si>
    <t>TELEFONE(S):   (61)99305-5437</t>
  </si>
  <si>
    <t>000000000641A-NF</t>
  </si>
  <si>
    <t>REF.DEV.: 000000000641-NF REF.DOC.: 000000003710-IF-016-10/05/2023 - PARC. 1/1&lt;&lt;csq&gt;&gt;</t>
  </si>
  <si>
    <t>05000544-THIAGO SOARES DA SILVA</t>
  </si>
  <si>
    <t>TELEFONE(S):  (61)99986-9322 (61)99986-9322</t>
  </si>
  <si>
    <t>000000000843A-CC</t>
  </si>
  <si>
    <t>REF. LANC. CREDITO - CLIENTE: 05000544-THIAGO SOARES DA SILVA</t>
  </si>
  <si>
    <t>80005911-TIAGO CARDOSO DA SILVA - POLIDOR</t>
  </si>
  <si>
    <t>REF. LANC. CREDITO - CLIENTE: 80005911-TIAGO CARDOSO DA SILVA</t>
  </si>
  <si>
    <t>06000136-TIAGO FELIX DOS SANTOS</t>
  </si>
  <si>
    <t>TELEFONE(S):   (61)99687-0727</t>
  </si>
  <si>
    <t>TOT.DÉBITO: 4.632,76</t>
  </si>
  <si>
    <t>001000000906A-AG</t>
  </si>
  <si>
    <t>REF. AGRUPAMENTO Nro. 001000000906 - PARC. 1 / 1 - DOC(S): 000000608792A/000000608814A/000000608824A/000000608942A/000000608976A/000000609018A - PAGTO.PARCIAL - DTA. REC.: 30/05/2022 - VR. ORIGINAL: 4.706,45 - VR. PAGO: 600,00 - PAGTO.PARCIAL - DTA. REC.: 07/06/2022 - VR. ORIGINAL: 4.706,45 - VR. PAGO: 300,00 - PAGTO.PARCIAL - DTA. REC.: 07/06/2022 - VR. ORIGINAL: 4.706,45 - VR. PAGO: 150,00</t>
  </si>
  <si>
    <t>001000000924A-AG</t>
  </si>
  <si>
    <t>REF. AGRUPAMENTO Nro. 001000000924 - PARC. 1 / 1 - DOC(S): 000000609156A - PAGTO.PARCIAL - DTA. REC.: 27/03/2024 - VR. ORIGINAL: 1.276,31 - VR. PAGO: 300,00</t>
  </si>
  <si>
    <t>11005528-TINCOR TINTAS E CORES COMERCIO LTDA-ME</t>
  </si>
  <si>
    <t xml:space="preserve">TELEFONE(S):  (61)93967-0100 </t>
  </si>
  <si>
    <t>TOT.DÉBITO: -49,40</t>
  </si>
  <si>
    <t>000000030149A-NF</t>
  </si>
  <si>
    <t>REF.DEV.: 000000030149-NF REF.DOC.: 000000029773-NF-009-27/01/2025 - PARC. 1/1&lt;&lt;csq&gt;&gt; - PAGTO.PARCIAL - DTA. REC.: 12/06/2025 - VR. ORIGINAL: -785,87 - VR. PAGO: -736,47</t>
  </si>
  <si>
    <t>05000182-TIP TOP COMERCIO DE PNEUS E RODAS LTDA ME</t>
  </si>
  <si>
    <t>TELEFONE(S):  (61) 3375-4840 (61)99957-2291</t>
  </si>
  <si>
    <t>000000001621A-CC</t>
  </si>
  <si>
    <t>REF. LANC. CREDITO - CLIENTE: 05000182-TIP TOP COMERCIO DE PNEUS E RODAS LTDA ME</t>
  </si>
  <si>
    <t>11005883-TOK FINAL ELETRICIDADE LTDA</t>
  </si>
  <si>
    <t xml:space="preserve">TELEFONE(S):  (61)98404-1930 </t>
  </si>
  <si>
    <t>TOT.DÉBITO: -50,00</t>
  </si>
  <si>
    <t>000000000107A-CC</t>
  </si>
  <si>
    <t>REF. LANC. CREDITO - CLIENTE: 11005883-TOK FINAL ELETRICIDADE LTDA</t>
  </si>
  <si>
    <t>05000555-TOP POLISH</t>
  </si>
  <si>
    <t>TELEFONE(S):  (61)98496-4781 (61)98496-4781</t>
  </si>
  <si>
    <t>TOT.DÉBITO: -1,03</t>
  </si>
  <si>
    <t>000000002982A-CC</t>
  </si>
  <si>
    <t>LANC. CRED. REF. A  - PAGTO.PARCIAL - DTA. REC.: 24/09/2025 - VR. ORIGINAL: -30,00 - VR. PAGO: -29,97</t>
  </si>
  <si>
    <t>000000003231A-CC</t>
  </si>
  <si>
    <t>05000316-TOP SAUDE ACADEMIA LTDA</t>
  </si>
  <si>
    <t>TELEFONE(S):  (61)99913-5066 (61)99999-9999</t>
  </si>
  <si>
    <t>000000000166A-CC</t>
  </si>
  <si>
    <t>REF. LANC. CREDITO - CLIENTE: 05000316-TOP SAUDE ACADEMIA LTDA</t>
  </si>
  <si>
    <t>02001792-TOPAZIO INDUSTRIA E COMERCIO LTDA</t>
  </si>
  <si>
    <t>TOT.DÉBITO: -13,47</t>
  </si>
  <si>
    <t>000000018377A-NF</t>
  </si>
  <si>
    <t>REF.DEV.: 000000018377-NF REF.DOC.: 000000018086-NF-014-20/09/2024 - PARC. 1/1&lt;&lt;csq&gt;&gt; - PAGTO.PARCIAL - DTA. REC.: 14/10/2024 - VR. ORIGINAL: -207,81 - VR. PAGO: -194,34</t>
  </si>
  <si>
    <t>02000838-TOPLINE BUS COMERCIO E REPRESENTACOES LTDA</t>
  </si>
  <si>
    <t xml:space="preserve">TELEFONE(S): (61) 3401-1047  </t>
  </si>
  <si>
    <t>003902222222A-NF</t>
  </si>
  <si>
    <t>CLIENTE PAGOU A NF 3902 EM DUPLICIDADE. UMA VEZ PELO DDA E OUTRA PELO BOLETO. THAINARA IDENTIFICOU OS DOIS VALORES NO BANCO E CONFIRMOU O LANCAMENTO DO CREDITO - PAGTO.PARCIAL - DTA. REC.: 03/08/2022 - VR. ORIGINAL: -849,94 - VR. PAGO: -849,90</t>
  </si>
  <si>
    <t>80005732-TORRES ENGENHARIA E CONSTRUCOES LTDA</t>
  </si>
  <si>
    <t xml:space="preserve">TELEFONE(S): (61)99288-1810  </t>
  </si>
  <si>
    <t>TOT.DÉBITO: -68,65</t>
  </si>
  <si>
    <t>000000002233A-CC</t>
  </si>
  <si>
    <t>LANC. CRED. REF. A  - PAGTO.PARCIAL - DTA. REC.: 27/11/2024 - VR. ORIGINAL: -623,40 - VR. PAGO: -622,75</t>
  </si>
  <si>
    <t>000000002316A-CC</t>
  </si>
  <si>
    <t>REF. LANC. CREDITO - CLIENTE: 80005732-TORRES ENGENHARIA E CONSTRUCOES LTDA</t>
  </si>
  <si>
    <t>04000301-TRANSBARROS TRANSPORTE E MAT. DE CONST. TDA</t>
  </si>
  <si>
    <t xml:space="preserve">TELEFONE(S): (61)99815-7666  </t>
  </si>
  <si>
    <t>TOT.DÉBITO: -104,00</t>
  </si>
  <si>
    <t>000000022632A-NF</t>
  </si>
  <si>
    <t>REF.DEV.: 000000022632-NF REF.DOC.: 000000007699-IF-004-09/11/2022 - PARC. 1/1&lt;&lt;csq&gt;&gt;</t>
  </si>
  <si>
    <t>000000401585A-CC</t>
  </si>
  <si>
    <t>LANC. CRED. REF. A  - PIX</t>
  </si>
  <si>
    <t>00004836-TRANSFER LOGISTICA EIRELI</t>
  </si>
  <si>
    <t xml:space="preserve">TELEFONE(S): (61) 3361-3136 (61)93361-3136 </t>
  </si>
  <si>
    <t>TOT.DÉBITO: -27,90</t>
  </si>
  <si>
    <t>000000009410A-NF</t>
  </si>
  <si>
    <t>REF.DEV.: 000000009410-NF REF.DOC.: 000000009393-NF-014-24/01/2023 - PARC. 1/1&lt;&lt;csq&gt;&gt;</t>
  </si>
  <si>
    <t>00004334-TRANSPORTADORA NOVA UNIAO LTDA</t>
  </si>
  <si>
    <t xml:space="preserve">TELEFONE(S): (61) 3234-6320  </t>
  </si>
  <si>
    <t>000000100955A-CC</t>
  </si>
  <si>
    <t>TRANSFERENCIA VIA PIX - PAGTO.PARCIAL - DTA. REC.: 03/11/2021 - VR. ORIGINAL: -46,00 - VR. PAGO: -36,00</t>
  </si>
  <si>
    <t>04000210-TRATAUTO CENTRO DE DETALHAMENTO AUTOMOTIVO LTDA</t>
  </si>
  <si>
    <t>TOT.DÉBITO: 1.824,00</t>
  </si>
  <si>
    <t>001000001686E-AG</t>
  </si>
  <si>
    <t>REF. AGRUPAMENTO Nro. 001000001686 - PARC. 5 / 5 - DOC(S): 000000400133A/000000400140A/000000407187A/000000407190A/000000407205A/000000407217A/000000407219A/000000407220A/000000407221A/000000407223A/000000407224A/000000407226A/000000407230A/000000407231A/000000407235A/000000407236A/000000407244A/000000407245A/000000407247A/000000407248A/000000407249A/000000407253A/000000407257A/000000407260A/000000407262A/000000407264A/000000407267A/000000407271A/000000407280A/000000407285A/000000407286A/000000407289A/000000407293A/000000407300A/000000407308A/000000407311A/000000407312A/000000407313A/000000407322A/000000407349A/000000407350A/000000407353A/000000407361A/000000407364A/000000407367A/000000407370A/000000407372A/000000407381A/000000407383A/000000407385A/000000407396A - PAGTO.PARCIAL - DTA. REC.: 26/07/2024 - VR. ORIGINAL: 3.508,00 - VR. PAGO: 84,00 - PAGTO.PARCIAL - DTA. REC.: 27/11/2024 - VR. ORIGINAL: 3.508,00 - VR. PAGO: 800,00 - PAGTO.PARCIAL - DTA. REC.: 27/12/2024 - VR. ORIGINAL: 3.508,00 - VR. PAGO: 800,00</t>
  </si>
  <si>
    <t>00004771-TS AUTOMOVEIS LTDA</t>
  </si>
  <si>
    <t>TELEFONE(S): (61) 3465-2030  (61) 9211-7933</t>
  </si>
  <si>
    <t>TOT.DÉBITO: 5.270,46</t>
  </si>
  <si>
    <t>000000000254A-AG</t>
  </si>
  <si>
    <t>REF. AGRUPAMENTO Nro. 000000000254 - PARC. 1 / 1 - DOC(S): 000000000925A/000000000965A - PAGTO.PARCIAL - DTA. REC.: 01/11/2024 - VR. ORIGINAL: 3.609,30 - VR. PAGO: 720,98</t>
  </si>
  <si>
    <t>00004918-UNICA ATACADISTA DE TINTAS E COMPLEMENTOS LTDA</t>
  </si>
  <si>
    <t>00002656-UNIMAN CONSTRUCOES EIRELI.</t>
  </si>
  <si>
    <t>TELEFONE(S): (61) 3968-5009  (61) 9966-5544</t>
  </si>
  <si>
    <t>000000010256A-NF</t>
  </si>
  <si>
    <t>REF.DEV.: 000000010256-NF REF.DOC.: 000000009709-NF-012-04/08/2023 - PARC. 1/1&lt;&lt;csq&gt;&gt; - PAGTO.PARCIAL - DTA. REC.: 19/09/2023 - VR. ORIGINAL: -1.207,08 - VR. PAGO: -1.203,64 - PAGTO.PARCIAL - DTA. REC.: 31/10/2024 - VR. ORIGINAL: -3,44 - VR. PAGO: -0,16</t>
  </si>
  <si>
    <t>000000002281A-CC</t>
  </si>
  <si>
    <t>REF. LANC. CREDITO - CLIENTE: 00002656-UNIMAN CONSTRUCOES EIRELI.</t>
  </si>
  <si>
    <t>02000046-UNITY COMERCIO E SERVIÇOS AUTOMOTIVOS EIRELI</t>
  </si>
  <si>
    <t>TELEFONE(S): (61) 3254-7979  (61)99315-0071</t>
  </si>
  <si>
    <t>TOT.DÉBITO: 250,28</t>
  </si>
  <si>
    <t>REFERENTE A FATURAMENTO - PARC. 1/1&lt;&lt;csq&gt;&gt;_x000D_Em 03/12/2024, ocorreu prorrogação do vencimento. Operador: 020_x000D_Vencimento Original: 10/11/2024 - Vr.Original: 315,20_x000D_Novo Vencimento    : 04/12/2024 - Novo Valor : 315,20_x000D_Juros alterado de 0,00 para 0,00 por motivo de prorrogação do vencimento._x000D_</t>
  </si>
  <si>
    <t>00004574-UTB UNIAO TRANSPORTES BRASILIA LTDA</t>
  </si>
  <si>
    <t xml:space="preserve">TELEFONE(S): (61) 3233-2505  </t>
  </si>
  <si>
    <t>TOT.DÉBITO: 120,00</t>
  </si>
  <si>
    <t>000000019308A-NF</t>
  </si>
  <si>
    <t>00004270-V12 MOTORS VW COMERCIO DE VEICULOS LTDA</t>
  </si>
  <si>
    <t>TELEFONE(S): (61) 3234-1328  (61)98157-1191</t>
  </si>
  <si>
    <t>80006376-VAGNER DA SILVA</t>
  </si>
  <si>
    <t>TELEFONE(S): (74)99812-9514  (74)99812-9514</t>
  </si>
  <si>
    <t>000000601314A-CC</t>
  </si>
  <si>
    <t>REF. LANC. CREDITO - CLIENTE: 80006376-VAGNER DA SILVA</t>
  </si>
  <si>
    <t>00002678-VALDEMIR PEREIRA DOS SANTOS</t>
  </si>
  <si>
    <t>TELEFONE(S):   (61)99614-3500</t>
  </si>
  <si>
    <t>TOT.DÉBITO: 694,97</t>
  </si>
  <si>
    <t>001000001729A-AG</t>
  </si>
  <si>
    <t>REF. AGRUPAMENTO Nro. 001000001729 - PARC. 1 / 1 - DOC(S): 000000004098A/000000004150A</t>
  </si>
  <si>
    <t>000000001233A-CC</t>
  </si>
  <si>
    <t>REF. LANC. CREDITO - CLIENTE: 00002678-VALDEMIR PEREIRA DOS SANTOS</t>
  </si>
  <si>
    <t>80005002-VALDEMIRO</t>
  </si>
  <si>
    <t>11005318-VALDENILSON CASTELO BRANCO AMARAL</t>
  </si>
  <si>
    <t>TELEFONE(S):   (63) 8426-9898</t>
  </si>
  <si>
    <t>TOT.DÉBITO: 3.848,04</t>
  </si>
  <si>
    <t>000000023028B-NF</t>
  </si>
  <si>
    <t>REFERENTE A FATURAMENTO - PARC. 2/3&lt;&lt;csq&gt;&gt; - PAGTO.PARCIAL - DTA. REC.: 02/08/2024 - VR. ORIGINAL: 2.424,02 - VR. PAGO: 1.000,00</t>
  </si>
  <si>
    <t>000000023028C-NF</t>
  </si>
  <si>
    <t>80005277-VALMIR FERNADES DO COUTO</t>
  </si>
  <si>
    <t>TELEFONE(S):   (61)99976-0766</t>
  </si>
  <si>
    <t>TOT.DÉBITO: -24,04</t>
  </si>
  <si>
    <t>000000000136A-CC</t>
  </si>
  <si>
    <t>LANC. CRED. REF. A  - PAGTO.PARCIAL - DTA. REC.: 02/10/2025 - VR. ORIGINAL: -350,10 - VR. PAGO: -12,97 - PAGTO.PARCIAL - DTA. REC.: 16/10/2025 - VR. ORIGINAL: -337,13 - VR. PAGO: -1,09 - PAGTO.PARCIAL - DTA. REC.: 08/12/2025 - VR. ORIGINAL: -336,04 - VR. PAGO: -192,00 - PAGTO.PARCIAL - DTA. REC.: 11/12/2025 - VR. ORIGINAL: -144,04 - VR. PAGO: -120,00</t>
  </si>
  <si>
    <t>05000514-VALMIR TAVARES DE SOUZA</t>
  </si>
  <si>
    <t>TOT.DÉBITO: -0,21</t>
  </si>
  <si>
    <t>REF. LANC. CREDITO - CLIENTE: 05000514-VALMIR TAVARES DE SOUZA</t>
  </si>
  <si>
    <t>00001558-VALNEY A. DINIZ</t>
  </si>
  <si>
    <t xml:space="preserve">TELEFONE(S): (61) 8444-5702  </t>
  </si>
  <si>
    <t>000000002362A-NF</t>
  </si>
  <si>
    <t>REF.DEV.: 000000002362-NF REF.DOC.: 000000002721-IF-014-25/11/2021 - PARC. 1/1&lt;&lt;csq&gt;&gt; - PAGTO.PARCIAL - DTA. REC.: 25/11/2021 - VR. ORIGINAL: -67,20 - VR. PAGO: -63,20</t>
  </si>
  <si>
    <t>00004892-VANDERLEIDE ECILDA DE CARVALHO PESSOA</t>
  </si>
  <si>
    <t xml:space="preserve">TELEFONE(S): (61) 3536-2337  </t>
  </si>
  <si>
    <t>000000040408A-NF</t>
  </si>
  <si>
    <t>REF.DEV.: 000000040408-NF REF.DOC.: 000000040374-NF-009-23/01/2026 - PARC. 1/1&lt;&lt;csq&gt;&gt;</t>
  </si>
  <si>
    <t>06000056-VANDIR SILVA DE DEUS</t>
  </si>
  <si>
    <t xml:space="preserve">TELEFONE(S):  (61) 3384-0739 </t>
  </si>
  <si>
    <t>000000601371A-CC</t>
  </si>
  <si>
    <t>REF. LANC. CREDITO - CLIENTE: 06000056-VANDIR SILVA DE DEUS - PAGTO.PARCIAL - DTA. REC.: 01/12/2025 - VR. ORIGINAL: -1,00 - VR. PAGO: -0,33</t>
  </si>
  <si>
    <t>11005213-VANESSA PEREIRA MATEUS COMERCIAL LTDA</t>
  </si>
  <si>
    <t>TELEFONE(S):   (61) 9677-6583</t>
  </si>
  <si>
    <t>000000021314A-NF</t>
  </si>
  <si>
    <t>REF.DEV.: 000000021314-NF REF.DOC.: 000000021270-NF-009-07/02/2024 - PARC. 1/1&lt;&lt;csq&gt;&gt;</t>
  </si>
  <si>
    <t>00004699-VANILDO FERNANDES DE MEDEIROS</t>
  </si>
  <si>
    <t xml:space="preserve">TELEFONE(S): (61) 3373-7219  </t>
  </si>
  <si>
    <t>TOT.DÉBITO: 1.192,39</t>
  </si>
  <si>
    <t>000000026622A-IF</t>
  </si>
  <si>
    <t>000000002624A-CC</t>
  </si>
  <si>
    <t>LANC. CRED. REF. A  - PAGTO.PARCIAL - DTA. REC.: 23/12/2025 - VR. ORIGINAL: -2.000,00 - VR. PAGO: -1.937,88</t>
  </si>
  <si>
    <t>06000160-VANUSA CARDOSO DE MENDES</t>
  </si>
  <si>
    <t>TELEFONE(S):  (61)99834-4696 (61)99827-2980</t>
  </si>
  <si>
    <t>000000000667A-CC</t>
  </si>
  <si>
    <t>LANC. CRED. REF. A  - PAGTO.PARCIAL - DTA. REC.: 09/12/2025 - VR. ORIGINAL: -192,00 - VR. PAGO: -142,50</t>
  </si>
  <si>
    <t>11004867-VASCONCELOS PRODUTOS AUTOMOTIVOS LTDA</t>
  </si>
  <si>
    <t xml:space="preserve">TELEFONE(S): (61)98282-9667  </t>
  </si>
  <si>
    <t>000000000150A-CC</t>
  </si>
  <si>
    <t>REF. LANC. CREDITO - CLIENTE: 11004867-VASCONCELOS PRODUTOS AUTOMOTIVOS LTDA</t>
  </si>
  <si>
    <t>00004467-VELCAR CENTRO AUTOMOTIVO LTDA</t>
  </si>
  <si>
    <t xml:space="preserve">TELEFONE(S): (61) 3234-7878  </t>
  </si>
  <si>
    <t>000000040842A-NF</t>
  </si>
  <si>
    <t>REF.DEV.: 000000040842-NF REF.DOC.: 000000040840-NF-009-09/02/2026 - PARC. 1/1&lt;&lt;csq&gt;&gt;</t>
  </si>
  <si>
    <t>11005316-VENANCIO OFICIO DA MADEIRA COMERCIO DE PRODUTOS P CASA E JAR</t>
  </si>
  <si>
    <t xml:space="preserve">TELEFONE(S):  (61) 3045-0024 </t>
  </si>
  <si>
    <t>TOT.DÉBITO: -4,64</t>
  </si>
  <si>
    <t>000000037456A-NF</t>
  </si>
  <si>
    <t>REF.DEV.: 000000037456-NF REF.DOC.: 000000037393-NF-009-15/10/2025 - PARC. 1/1&lt;&lt;csq&gt;&gt; - PAGTO.PARCIAL - DTA. REC.: 17/10/2025 - VR. ORIGINAL: -234,76 - VR. PAGO: -230,12</t>
  </si>
  <si>
    <t>11005842-VETA PANIFICACAO LTDA</t>
  </si>
  <si>
    <t xml:space="preserve">TELEFONE(S):  (61)99616-1002 </t>
  </si>
  <si>
    <t>REF. LANC. CREDITO - CLIENTE: 11005842-VETA PANIFICACAO LTDA</t>
  </si>
  <si>
    <t>02001502-VIAÇAO NOVO HORI LTDA</t>
  </si>
  <si>
    <t xml:space="preserve">TELEFONE(S): (61) 9128-2425  </t>
  </si>
  <si>
    <t>TOT.DÉBITO: -1,80</t>
  </si>
  <si>
    <t>000000011545A-NF</t>
  </si>
  <si>
    <t>REF.DEV.: 000000011545-NF REF.DOC.: 000000011511-NF-014-05/07/2023 - PARC. 1/1&lt;&lt;csq&gt;&gt; - PAGTO.PARCIAL - DTA. REC.: 07/07/2023 - VR. ORIGINAL: -75,60 - VR. PAGO: -73,80</t>
  </si>
  <si>
    <t>11004973-VICTOR HUGO ALVES CARNEIRO</t>
  </si>
  <si>
    <t>TELEFONE(S):   (61)98526-4440</t>
  </si>
  <si>
    <t>000000001858A-CC</t>
  </si>
  <si>
    <t>REF. LANC. CREDITO - CLIENTE: 11004973-VICTOR HUGO ALVES CARNEIRO</t>
  </si>
  <si>
    <t>01000069-VIER CONSTRUCOES E INCORPORACOES LTDA</t>
  </si>
  <si>
    <t xml:space="preserve">TELEFONE(S): (61) 3542-5432 (61)99844-6359 </t>
  </si>
  <si>
    <t>TOT.DÉBITO: -0,69</t>
  </si>
  <si>
    <t>01000057-VILLA MARINA SERVIÇO E COM. DE PRODUTOS NAUTICOS LTDA</t>
  </si>
  <si>
    <t xml:space="preserve">TELEFONE(S): (61) 3223-5216 (61) 3223-0201 </t>
  </si>
  <si>
    <t>LANC. CRED. REF. A  - PAGTO.PARCIAL - DTA. REC.: 01/02/2024 - VR. ORIGINAL: -100,00 - VR. PAGO: -98,00</t>
  </si>
  <si>
    <t>11006040-VINICIUS BRUNO LIMA DIAS</t>
  </si>
  <si>
    <t>TELEFONE(S):   (61)99663-1765</t>
  </si>
  <si>
    <t>TOT.DÉBITO: 5.882,38</t>
  </si>
  <si>
    <t>000000035951C-NF</t>
  </si>
  <si>
    <t>000000037837B-NF</t>
  </si>
  <si>
    <t>000000036869C-NF</t>
  </si>
  <si>
    <t>000000038430B-NF</t>
  </si>
  <si>
    <t>000000037209C-NF</t>
  </si>
  <si>
    <t>000000038222B-NF</t>
  </si>
  <si>
    <t>000000038430C-NF</t>
  </si>
  <si>
    <t>000000038487B-NF</t>
  </si>
  <si>
    <t>000000037837C-NF</t>
  </si>
  <si>
    <t>000000038430D-NF</t>
  </si>
  <si>
    <t>000000038222C-NF</t>
  </si>
  <si>
    <t>80005555-VINICIUS RODRIGUES COSTA</t>
  </si>
  <si>
    <t>TELEFONE(S):   (61)99547-0895</t>
  </si>
  <si>
    <t>TOT.DÉBITO: -100,68</t>
  </si>
  <si>
    <t>000000000722A-CC</t>
  </si>
  <si>
    <t>LANC. CRED. REF. A  - DINHEIRO</t>
  </si>
  <si>
    <t>000000000944A-CC</t>
  </si>
  <si>
    <t>REF. LANC. CREDITO - CLIENTE: 80005555-VINICIUS RODRIGUES COSTA - PAGTO.PARCIAL - DTA. REC.: 07/06/2025 - VR. ORIGINAL: -4,00 - VR. PAGO: -3,78</t>
  </si>
  <si>
    <t>000000001027A-CC</t>
  </si>
  <si>
    <t>REF. LANC. CREDITO - CLIENTE: 80005555-VINICIUS RODRIGUES COSTA</t>
  </si>
  <si>
    <t>00004117-VIPLAN VIACAO PLANALTO LTDA</t>
  </si>
  <si>
    <t>TELEFONE(S): (61) 3362-1100  (61)33333-3333</t>
  </si>
  <si>
    <t>000000000669A-CC</t>
  </si>
  <si>
    <t>REF. LANC. CREDITO - CLIENTE: 00004117-VIPLAN VIACAO PLANALTO LTDA</t>
  </si>
  <si>
    <t>80005390-VITAL MOTOS</t>
  </si>
  <si>
    <t>REF. LANC. CREDITO - CLIENTE: 80005390-VITAL MOTOS</t>
  </si>
  <si>
    <t>80005736-VITOR MANOEL</t>
  </si>
  <si>
    <t>TOT.DÉBITO: -37,00</t>
  </si>
  <si>
    <t>000000002373A-CC</t>
  </si>
  <si>
    <t>LANC. CRED. REF. A  - PAGTO.PARCIAL - DTA. REC.: 29/07/2025 - VR. ORIGINAL: -600,00 - VR. PAGO: -563,00</t>
  </si>
  <si>
    <t>00002348-VOLT CAR CENTRO AUTOMOTIVO LTDA-ME</t>
  </si>
  <si>
    <t xml:space="preserve">TELEFONE(S): (61) 3306-1837  </t>
  </si>
  <si>
    <t>LIM.CRÉDITO: 2.865,25</t>
  </si>
  <si>
    <t>TOT.DÉBITO: 223,00</t>
  </si>
  <si>
    <t>000000003548A-IF</t>
  </si>
  <si>
    <t>00002010-VOO LIVRE COMERCIO DE PECAS E SERVICOS LTDA ME</t>
  </si>
  <si>
    <t>TELEFONE(S): (61) 3361-0840  (61) 8486-6041</t>
  </si>
  <si>
    <t>000000001117A-CC</t>
  </si>
  <si>
    <t>REF. LANC. CREDITO - CLIENTE: 00002010-VOO LIVRE COMERCIO DE PECAS E SERVICOS LTDA ME - PAGTO.PARCIAL - DTA. REC.: 12/09/2025 - VR. ORIGINAL: -76,40 - VR. PAGO: -66,40</t>
  </si>
  <si>
    <t>11005242-W E W QUEIROZ TINTAS LIMITADA</t>
  </si>
  <si>
    <t>000000039756A-NF</t>
  </si>
  <si>
    <t>REF.DEV.: 000000039756-NF REF.DOC.: 000000039706-NF-009-06/01/2026 - PARC. 1/1&lt;&lt;csq&gt;&gt;</t>
  </si>
  <si>
    <t>02001056-W R DANTAS CONST LTDA</t>
  </si>
  <si>
    <t xml:space="preserve">TELEFONE(S): (61) 3222-4455 (61) 3222-4457 </t>
  </si>
  <si>
    <t>TOT.DÉBITO: -7,91</t>
  </si>
  <si>
    <t>000000027712A-NF</t>
  </si>
  <si>
    <t>REF.DEV.: 000000027712-NF REF.DOC.: 000000014580-IF-004-06/09/2024 - PARC. 1/1&lt;&lt;csq&gt;&gt; - PAGTO.PARCIAL - DTA. REC.: 12/09/2024 - VR. ORIGINAL: -47,90 - VR. PAGO: -40,00</t>
  </si>
  <si>
    <t>000000000952A-CC</t>
  </si>
  <si>
    <t>REF. LANC. CREDITO - CLIENTE: 02001056-W R DANTAS CONST LTDA</t>
  </si>
  <si>
    <t>04000269-W R DANTAS CONSTRUCOES LTDA</t>
  </si>
  <si>
    <t>TELEFONE(S):   (61)99116-9674</t>
  </si>
  <si>
    <t>000000402018A-CC</t>
  </si>
  <si>
    <t>LANC. CRED. REF. A  - PAGTO.PARCIAL - DTA. REC.: 28/09/2023 - VR. ORIGINAL: -301,96 - VR. PAGO: -79,82 - PAGTO.PARCIAL - DTA. REC.: 28/09/2023 - VR. ORIGINAL: -222,14 - VR. PAGO: -17,90 - PAGTO.PARCIAL - DTA. REC.: 06/10/2023 - VR. ORIGINAL: -204,24 - VR. PAGO: -26,14 - PAGTO.PARCIAL - DTA. REC.: 30/11/2023 - VR. ORIGINAL: -178,10 - VR. PAGO: -178,00</t>
  </si>
  <si>
    <t>04000413-WAGNER FIALHO</t>
  </si>
  <si>
    <t>TOT.DÉBITO: -14,90</t>
  </si>
  <si>
    <t>000000031480A-NF</t>
  </si>
  <si>
    <t>REF.DEV.: 000000031480-NF REF.DOC.: 000000018877-IF-004-17/11/2025 - PARC. 1/1&lt;&lt;csq&gt;&gt; - PAGTO.PARCIAL - DTA. REC.: 24/11/2025 - VR. ORIGINAL: -74,90 - VR. PAGO: -60,00</t>
  </si>
  <si>
    <t>80005194-WAGNER LEONARDO NOVAES PINTO</t>
  </si>
  <si>
    <t>000000002518A-CC</t>
  </si>
  <si>
    <t>LANC. CRED. REF. A  - PAGTO.PARCIAL - DTA. REC.: 20/10/2025 - VR. ORIGINAL: -78,00 - VR. PAGO: -76,00</t>
  </si>
  <si>
    <t>80005985-WALDO DE ARAUJO MEIRELES</t>
  </si>
  <si>
    <t xml:space="preserve">TELEFONE(S): (61)99983-8982  </t>
  </si>
  <si>
    <t>TOT.DÉBITO: -577,83</t>
  </si>
  <si>
    <t>000000003815A-NF</t>
  </si>
  <si>
    <t>REF.DEV.: 000000003815-NF REF.DOC.: 000000031364-IF-008-02/12/2024 - PARC. 1/1&lt;&lt;csq&gt;&gt; - PAGTO.PARCIAL - DTA. REC.: 04/12/2024 - VR. ORIGINAL: -699,19 - VR. PAGO: -121,36</t>
  </si>
  <si>
    <t>80005039-WALKIRIA MOREIRA DA COSTA</t>
  </si>
  <si>
    <t xml:space="preserve">TELEFONE(S): (38)99910-0185 (38)99723-5819 </t>
  </si>
  <si>
    <t>TOT.DÉBITO: 13.735,07</t>
  </si>
  <si>
    <t>000000000009B-AG</t>
  </si>
  <si>
    <t>REF. AGRUPAMENTO Nro. 000000000009 - PARC. 2 / 8 - DOC(S): 000000000612A</t>
  </si>
  <si>
    <t>000000000009C-AG</t>
  </si>
  <si>
    <t>REF. AGRUPAMENTO Nro. 000000000009 - PARC. 3 / 8 - DOC(S): 000000000612A</t>
  </si>
  <si>
    <t>000000000009D-AG</t>
  </si>
  <si>
    <t>REF. AGRUPAMENTO Nro. 000000000009 - PARC. 4 / 8 - DOC(S): 000000000612A</t>
  </si>
  <si>
    <t>000000000009E-AG</t>
  </si>
  <si>
    <t>REF. AGRUPAMENTO Nro. 000000000009 - PARC. 5 / 8 - DOC(S): 000000000612A</t>
  </si>
  <si>
    <t>000000000009F-AG</t>
  </si>
  <si>
    <t>REF. AGRUPAMENTO Nro. 000000000009 - PARC. 6 / 8 - DOC(S): 000000000612A</t>
  </si>
  <si>
    <t>000000000009G-AG</t>
  </si>
  <si>
    <t>REF. AGRUPAMENTO Nro. 000000000009 - PARC. 7 / 8 - DOC(S): 000000000612A</t>
  </si>
  <si>
    <t>000000000009H-AG</t>
  </si>
  <si>
    <t>REF. AGRUPAMENTO Nro. 000000000009 - PARC. 8 / 8 - DOC(S): 000000000612A</t>
  </si>
  <si>
    <t>000000001738A-NF</t>
  </si>
  <si>
    <t>REFERENTE A FATURAMENTO - PARC. 1/1&lt;&lt;csq&gt;&gt; - PAGTO.PARCIAL - DTA. REC.: 04/10/2023 - VR. ORIGINAL: 1.268,34 - VR. PAGO: 218,34 - PAGTO.PARCIAL - DTA. REC.: 05/10/2023 - VR. ORIGINAL: 1.268,34 - VR. PAGO: 650,00</t>
  </si>
  <si>
    <t>80005504-WALLACE RODRIGUES DE QUEIROZ</t>
  </si>
  <si>
    <t>TELEFONE(S):   (61)99390-0420</t>
  </si>
  <si>
    <t>TOT.DÉBITO: -0,93</t>
  </si>
  <si>
    <t>REF. LANC. CREDITO - CLIENTE: 80005504-WALLACE RODRIGUES DE QUEIROZ</t>
  </si>
  <si>
    <t>02001274-WANDERSON ALVES</t>
  </si>
  <si>
    <t>TELEFONE(S):   (61) 9963-0572</t>
  </si>
  <si>
    <t>TOT.DÉBITO: -0,28</t>
  </si>
  <si>
    <t>000000021523A-NF</t>
  </si>
  <si>
    <t>REF.DEV.: 000000021523-NF REF.DOC.: 000000025297-IF-014-16/05/2025 - PARC. 1/1&lt;&lt;csq&gt;&gt; - PAGTO.PARCIAL - DTA. REC.: 16/05/2025 - VR. ORIGINAL: -98,66 - VR. PAGO: -98,38</t>
  </si>
  <si>
    <t>00004273-WASHINGTON OLIVEIRA DE SOUZA</t>
  </si>
  <si>
    <t>TELEFONE(S): (61) 8557-9094  (61) 9560-7855</t>
  </si>
  <si>
    <t>TOT.DÉBITO: 394,48</t>
  </si>
  <si>
    <t>000000000164A-AG</t>
  </si>
  <si>
    <t>REF. AGRUPAMENTO Nro. 000000000164 - PARC. 1 / 1 - DOC(S): 000000013133A/000000013141A/000000013151A/000000013158A/000000013166A/000000013169A/000000013178A/000000013188A/000000013217A/000000013221A/000000013224A - PAGTO.PARCIAL - DTA. REC.: 30/09/2024 - VR. ORIGINAL: 4.686,68 - VR. PAGO: 451,60 - PAGTO.PARCIAL - DTA. REC.: 06/11/2024 - VR. ORIGINAL: 4.686,68 - VR. PAGO: 200,00 - PAGTO.PARCIAL - DTA. REC.: 25/11/2024 - VR. ORIGINAL: 4.686,68 - VR. PAGO: 2.500,00 - PAGTO.PARCIAL - DTA. REC.: 02/12/2024 - VR. ORIGINAL: 4.686,68 - VR. PAGO: 168,00 - PAGTO.PARCIAL - DTA. REC.: 13/12/2024 - VR. ORIGINAL: 4.686,68 - VR. PAGO: 272,60 - PAGTO.PARCIAL - DTA. REC.: 30/01/2025 - VR. ORIGINAL: 4.686,68 - VR. PAGO: 700,00 - PAGTO.PARCIAL - DTA. REC.: 13/03/2025 - VR. ORIGINAL: 4.686,68 - VR. PAGO: 194,00 &lt;&lt;csq&gt;&gt; - DUPLICATA ESTORNADA: 13/03/2025 000000000164A - SEQ: 7 - ESP: AG - EMP: 006 - DTA. REC.: 13/03/2025 - VR. REC.: 194,00</t>
  </si>
  <si>
    <t>00003280-WESKSLEY FERNANDES MENDES</t>
  </si>
  <si>
    <t>TELEFONE(S):   (61)99349-9807</t>
  </si>
  <si>
    <t>000000000239A-CC</t>
  </si>
  <si>
    <t>LANC. CRED. REF. A  - PAGTO.PARCIAL - DTA. REC.: 09/06/2022 - VR. ORIGINAL: -800,00 - VR. PAGO: -799,90</t>
  </si>
  <si>
    <t>06000219-WESLEY GOMES DE ARAUJO</t>
  </si>
  <si>
    <t>TELEFONE(S):  (61)98570-6890 (61)98570-6890</t>
  </si>
  <si>
    <t>000000601277A-CC</t>
  </si>
  <si>
    <t>LANC. CRED. REF. A  - PAGTO.PARCIAL - DTA. REC.: 28/07/2025 - VR. ORIGINAL: -200,80 - VR. PAGO: -200,00</t>
  </si>
  <si>
    <t>00003352-WEST CAR LANTERNAGEM E PINTURA EIRELI ME</t>
  </si>
  <si>
    <t>TELEFONE(S): (61) 3394-3581  (61) 9345-0072</t>
  </si>
  <si>
    <t>TOT.DÉBITO: 529,89</t>
  </si>
  <si>
    <t>000000601367A-CC</t>
  </si>
  <si>
    <t>REF. LANC. CREDITO - CLIENTE: 00003352-WEST CAR LANTERNAGEM E PINTURA EIRELI ME</t>
  </si>
  <si>
    <t>06000035-WESTER JOSÉ XAVIER</t>
  </si>
  <si>
    <t xml:space="preserve">TELEFONE(S): (61)98596-5635  </t>
  </si>
  <si>
    <t>000000600983A-CC</t>
  </si>
  <si>
    <t>LANC. CRED. REF. A  - PAGTO.PARCIAL - DTA. REC.: 06/03/2024 - VR. ORIGINAL: -900,00 - VR. PAGO: -460,00 - PAGTO.PARCIAL - DTA. REC.: 07/03/2024 - VR. ORIGINAL: -440,00 - VR. PAGO: -50,00 - PAGTO.PARCIAL - DTA. REC.: 11/03/2024 - VR. ORIGINAL: -390,00 - VR. PAGO: -243,00 - PAGTO.PARCIAL - DTA. REC.: 11/03/2024 - VR. ORIGINAL: -147,00 - VR. PAGO: -34,90 - PAGTO.PARCIAL - DTA. REC.: 12/03/2024 - VR. ORIGINAL: -112,10 - VR. PAGO: -112,00</t>
  </si>
  <si>
    <t>06000057-WILLIAN C.S BRAGA</t>
  </si>
  <si>
    <t xml:space="preserve">TELEFONE(S):  (61)99339-3260 </t>
  </si>
  <si>
    <t>000000601308A-CC</t>
  </si>
  <si>
    <t>REF. LANC. CREDITO - CLIENTE: 06000057-WILLIAN C.S BRAGA - PAGTO.PARCIAL - DTA. REC.: 19/09/2025 - VR. ORIGINAL: -30,00 - VR. PAGO: -29,96</t>
  </si>
  <si>
    <t>00003429-WM COMERCIO DE TINTAS LTDA</t>
  </si>
  <si>
    <t xml:space="preserve">TELEFONE(S): (61) 3622-2618  </t>
  </si>
  <si>
    <t>000000040012A-NF</t>
  </si>
  <si>
    <t>REF.DEV.: 000000040012-NF REF.DOC.: 000000039851-NF-009-09/01/2026 - PARC. 1/1&lt;&lt;csq&gt;&gt;</t>
  </si>
  <si>
    <t>000000040135A-NF</t>
  </si>
  <si>
    <t>REF.DEV.: 000000040135-NF REF.DOC.: 000000040016-NF-009-14/01/2026 - PARC. 1/1&lt;&lt;csq&gt;&gt;</t>
  </si>
  <si>
    <t>06000124-WOLNEI MARTINS TEIXEIRA</t>
  </si>
  <si>
    <t xml:space="preserve">TELEFONE(S): (61)98137-1510 (61)98551-8700 </t>
  </si>
  <si>
    <t>000000601305A-CC</t>
  </si>
  <si>
    <t>LANC. CRED. REF. A  - PAGTO.PARCIAL - DTA. REC.: 16/09/2025 - VR. ORIGINAL: -20,00 - VR. PAGO: -18,00</t>
  </si>
  <si>
    <t>80005378-Y.C. CARNEIRO LTDA</t>
  </si>
  <si>
    <t>TELEFONE(S):   (61)98125-1525</t>
  </si>
  <si>
    <t>000000000112A-DV</t>
  </si>
  <si>
    <t>REF.DEV.: 000000000112-DV REF.DOC.: 000000006644-FF-008-12/12/2023 - PARC. 1/1&lt;&lt;csq&gt;&gt; - PAGTO.PARCIAL - DTA. REC.: 19/12/2023 - VR. ORIGINAL: -390,00 - VR. PAGO: -350,00</t>
  </si>
  <si>
    <t>80005704-YAN FERREIRA DA SILVA</t>
  </si>
  <si>
    <t>TELEFONE(S):   (61)97402-5357</t>
  </si>
  <si>
    <t>TOT.DÉBITO: -1,90</t>
  </si>
  <si>
    <t>000000001234A-CC</t>
  </si>
  <si>
    <t>REF. LANC. CREDITO - CLIENTE: 80005704-YAN FERREIRA DA SILVA - PAGTO.PARCIAL - DTA. REC.: 12/11/2025 - VR. ORIGINAL: -17,90 - VR. PAGO: -16,00</t>
  </si>
  <si>
    <t>11005908-YESHUA SERVICOS E MANUTENCAO LTDA</t>
  </si>
  <si>
    <t>TELEFONE(S):  (61)99953-5265 (61)98135-7243</t>
  </si>
  <si>
    <t>TOT.DÉBITO: 2.059,58</t>
  </si>
  <si>
    <t>000000037720B-NF</t>
  </si>
  <si>
    <t>000000036804C-NF</t>
  </si>
  <si>
    <t>000000037720C-NF</t>
  </si>
  <si>
    <t>00003332-ZE FILHO LANTERNAGEM E PINTURA EMPRESA INDIVIDUAL DE RESPONS</t>
  </si>
  <si>
    <t xml:space="preserve">TELEFONE(S):  (61)98482-8327 </t>
  </si>
  <si>
    <t>000000002630A-CC</t>
  </si>
  <si>
    <t>00003349-ZENILDO FURTADO-ME</t>
  </si>
  <si>
    <t>TELEFONE(S): (61) 3385-6856  (61) 8554-0169</t>
  </si>
  <si>
    <t>LIM.CRÉDITO: 35.000,00</t>
  </si>
  <si>
    <t>000000601184A-CC</t>
  </si>
  <si>
    <t>REF. LANC. CREDITO - CLIENTE: 00003349-ZENILDO FURTADO-ME</t>
  </si>
  <si>
    <t>RESUMO DE VENCIMENTOS</t>
  </si>
  <si>
    <t>PERÍODO</t>
  </si>
  <si>
    <t>VAL.DUP</t>
  </si>
  <si>
    <t>TELEFONE</t>
  </si>
  <si>
    <t>LIMITE DE CRÉDITO</t>
  </si>
  <si>
    <t>OBS</t>
  </si>
  <si>
    <t>VAZIO</t>
  </si>
  <si>
    <t>EMPRESA</t>
  </si>
  <si>
    <t>VAZIO2</t>
  </si>
  <si>
    <t>VAZIO3</t>
  </si>
  <si>
    <t>VAZIO4</t>
  </si>
  <si>
    <t>VAZIO5</t>
  </si>
  <si>
    <t>OPERADOR2</t>
  </si>
  <si>
    <t>VENDE</t>
  </si>
  <si>
    <t>11006379-22.749.579 CARLOS MARCOS BARBOSA DE OLIVEIRA JUNIOR</t>
  </si>
  <si>
    <t>TELEFONE(S):   (61)99619-4158</t>
  </si>
  <si>
    <t>TOT.DÉBITO: -2,52</t>
  </si>
  <si>
    <t>000000000181A-CC</t>
  </si>
  <si>
    <t>REF. LANC. CREDITO - CLIENTE: 11006379-22.749.579 CARLOS MARCOS BARBOSA DE OLIVEIRA JUNIOR</t>
  </si>
  <si>
    <t>80006304-42.089.856 EDUARDO OLIVEIRA DA SILVA</t>
  </si>
  <si>
    <t>TELEFONE(S):   (61)98664-6101</t>
  </si>
  <si>
    <t>TOT.DÉBITO: -27,99</t>
  </si>
  <si>
    <t>000000002524A-CC</t>
  </si>
  <si>
    <t>LANC. CRED. REF. A  - PAGTO.PARCIAL - DTA. REC.: 09/02/2026 - VR. ORIGINAL: -10,00 - VR. PAGO: -0,01</t>
  </si>
  <si>
    <t>000000002555A-CC</t>
  </si>
  <si>
    <t>LANC. CRED. REF. A  - PAGTO.PARCIAL - DTA. REC.: 19/02/2026 - VR. ORIGINAL: -76,67 - VR. PAGO: -58,67</t>
  </si>
  <si>
    <t>TOT.DÉBITO: 3.398,77</t>
  </si>
  <si>
    <t>001000001538A-AG</t>
  </si>
  <si>
    <t>REF. AGRUPAMENTO Nro. 001000001538 - PARC. 1 / 1 - DOC(S): 000000009193A/000000009195A/000000009235A/000000009236A/000000009251A/000000009271A/000000009286A/000000009301A/000000009324A/000000009327A/000000009336A/000000009340A - PAGTO.PARCIAL - DTA. REC.: 11/02/2026 - VR. ORIGINAL: 2.347,58 - VR. PAGO: 700,00 - PAGTO.PARCIAL - DTA. REC.: 24/02/2026 - VR. ORIGINAL: 2.347,58 - VR. PAGO: 28,41 - PAGTO.PARCIAL - DTA. REC.: 28/02/2026 - VR. ORIGINAL: 2.347,58 - VR. PAGO: 700,00</t>
  </si>
  <si>
    <t>11006603-52.150.859 GABRIEL FERNANDES SILVA</t>
  </si>
  <si>
    <t>TELEFONE(S):   (61)99999-9999</t>
  </si>
  <si>
    <t>TOT.DÉBITO: 60,16</t>
  </si>
  <si>
    <t>000000041458A-NF</t>
  </si>
  <si>
    <t>11006066-55.055.702 WALIRES UCHOA LOPES</t>
  </si>
  <si>
    <t>TELEFONE(S):   (61)99309-6654</t>
  </si>
  <si>
    <t>TOT.DÉBITO: 997,77</t>
  </si>
  <si>
    <t>000000041504A-NF</t>
  </si>
  <si>
    <t>80006455-61.034.364 GILBERTO MARQUES DA SILVA</t>
  </si>
  <si>
    <t xml:space="preserve">TELEFONE(S):  (61)99843-6127 </t>
  </si>
  <si>
    <t>TOT.DÉBITO: 2.650,00</t>
  </si>
  <si>
    <t>000000009458A-NF</t>
  </si>
  <si>
    <t>11006594-64.827.110 FABIO HENRIQUE DE ALMEIDA</t>
  </si>
  <si>
    <t>TELEFONE(S):   (43)98811-4902</t>
  </si>
  <si>
    <t>TOT.DÉBITO: 1.192,20</t>
  </si>
  <si>
    <t>000000041456A-NF</t>
  </si>
  <si>
    <t>00002046-ADEILSON BATISTA DO NASCIMENTO</t>
  </si>
  <si>
    <t xml:space="preserve">TELEFONE(S): (61) 3465-2183  </t>
  </si>
  <si>
    <t>TOT.DÉBITO: 1.979,43</t>
  </si>
  <si>
    <t>000000029371A-IF</t>
  </si>
  <si>
    <t>REFERENTE A FATURAMENTO - PARC. 1/1&lt;&lt;csq&gt;&gt; - PAGTO.PARCIAL - DTA. REC.: 26/02/2026 - VR. ORIGINAL: 46,00 - VR. PAGO: 45,00</t>
  </si>
  <si>
    <t>80005887-ADRIANO FELICIO DOS SANTOS</t>
  </si>
  <si>
    <t xml:space="preserve">TELEFONE(S): (61)98421-1716  </t>
  </si>
  <si>
    <t>TOT.DÉBITO: 1.296,60</t>
  </si>
  <si>
    <t>000000002743A-CC</t>
  </si>
  <si>
    <t>LANC. CRED. REF. A  - PAGTO.PARCIAL - DTA. REC.: 03/03/2026 - VR. ORIGINAL: -1.000,00 - VR. PAGO: -992,20</t>
  </si>
  <si>
    <t>TOT.DÉBITO: -37,63</t>
  </si>
  <si>
    <t>000000601413A-CC</t>
  </si>
  <si>
    <t>REF. LANC. CREDITO - CLIENTE: 00000819-AGNALDO DE CARVALHO CARDOSO</t>
  </si>
  <si>
    <t>000000015135A-NF</t>
  </si>
  <si>
    <t>REF.DEV.: 000000015135-NF REF.DOC.: 000000015095-NF-006-12/02/2026 - PARC. 1/1&lt;&lt;csq&gt;&gt;</t>
  </si>
  <si>
    <t>80006623-ALAN GOMES</t>
  </si>
  <si>
    <t>TELEFONE(S): (61)99429-7245  (61)99429-7245</t>
  </si>
  <si>
    <t>000000000943A-CC</t>
  </si>
  <si>
    <t>LANC. CRED. REF. A  - PAGTO.PARCIAL - DTA. REC.: 24/02/2026 - VR. ORIGINAL: -55,00 - VR. PAGO: -54,90</t>
  </si>
  <si>
    <t>TOT.DÉBITO: 11.077,43</t>
  </si>
  <si>
    <t>TOT.DÉBITO: 36.800,27</t>
  </si>
  <si>
    <t>11005038-ALYSSON VIEIRA DE OLIVEIRA</t>
  </si>
  <si>
    <t xml:space="preserve">TELEFONE(S): (34)99946-7288  </t>
  </si>
  <si>
    <t>TOT.DÉBITO: 256,40</t>
  </si>
  <si>
    <t>000000402781A-CC</t>
  </si>
  <si>
    <t>LANC. CRED. REF. A  - PAGTO.PARCIAL - DTA. REC.: 27/02/2026 - VR. ORIGINAL: -978,00 - VR. PAGO: -969,40</t>
  </si>
  <si>
    <t>000000019934A-IF</t>
  </si>
  <si>
    <t>TOT.DÉBITO: -1.955,77</t>
  </si>
  <si>
    <t>REF. LANC. CREDITO - PAGTO.PARCIAL - DTA. REC.: 23/01/2026 - VR. ORIGINAL: -3.251,50 - VR. PAGO: -491,34 - PAGTO.PARCIAL - DTA. REC.: 18/02/2026 - VR. ORIGINAL: -2.760,16 - VR. PAGO: -804,39</t>
  </si>
  <si>
    <t>TOT.DÉBITO: -22,05</t>
  </si>
  <si>
    <t>000000007974A-IF</t>
  </si>
  <si>
    <t>TOT.DÉBITO: -135,90</t>
  </si>
  <si>
    <t>TOT.DÉBITO: 464,80</t>
  </si>
  <si>
    <t>TOT.DÉBITO: 333,44</t>
  </si>
  <si>
    <t>001000001265A-AG</t>
  </si>
  <si>
    <t>REF. AGRUPAMENTO Nro. 001000001265 - PARC. 1 / 1 - DOC(S): 000000015002A/000000015011A/000000015018A/000000015019A/000000015024A</t>
  </si>
  <si>
    <t>TOT.DÉBITO: 3.518,86</t>
  </si>
  <si>
    <t>000000000956A-CC</t>
  </si>
  <si>
    <t>00002681-ANTONIO DE PADUA FERNANDO CANDIDO</t>
  </si>
  <si>
    <t xml:space="preserve">TELEFONE(S): (61)98171-7135  </t>
  </si>
  <si>
    <t>TOT.DÉBITO: 406,76</t>
  </si>
  <si>
    <t>000000003324A-CC</t>
  </si>
  <si>
    <t>REF. LANC. CREDITO - CLIENTE: 00002681-ANTONIO DE PADUA FERNANDO CANDIDO</t>
  </si>
  <si>
    <t>TOT.DÉBITO: 4.351,97</t>
  </si>
  <si>
    <t>TOT.DÉBITO: 2.894,48</t>
  </si>
  <si>
    <t>000000002589A-CC</t>
  </si>
  <si>
    <t>REF. LANC. CREDITO - CLIENTE: 00002683-ANTONIO LOPES CALDAS</t>
  </si>
  <si>
    <t>TOT.DÉBITO: -3,90</t>
  </si>
  <si>
    <t>000000402775A-CC</t>
  </si>
  <si>
    <t>LANC. CRED. REF. A  - PAGTO.PARCIAL - DTA. REC.: 25/02/2026 - VR. ORIGINAL: -197,80 - VR. PAGO: -193,90</t>
  </si>
  <si>
    <t>TOT.DÉBITO: 16.759,82</t>
  </si>
  <si>
    <t>000000031476C-NF</t>
  </si>
  <si>
    <t>000000031840A-NF</t>
  </si>
  <si>
    <t>000000031856A-NF</t>
  </si>
  <si>
    <t>000000031690B-NF</t>
  </si>
  <si>
    <t>LANC. CRED. REF. A  - PAGTO.PARCIAL - DTA. REC.: 27/02/2026 - VR. ORIGINAL: -64,00 - VR. PAGO: -25,73</t>
  </si>
  <si>
    <t>REF. LANC. CREDITO - CLIENTE: 00004331-AO CONSUMIDOR - PAGTO.PARCIAL - DTA. REC.: 16/01/2026 - VR. ORIGINAL: -74,00 - VR. PAGO: -69,40 - PAGTO.PARCIAL - DTA. REC.: 12/02/2026 - VR. ORIGINAL: -4,60 - VR. PAGO: -2,00</t>
  </si>
  <si>
    <t>000000601412A-CC</t>
  </si>
  <si>
    <t>000000029346A-IF</t>
  </si>
  <si>
    <t>000000402780A-CC</t>
  </si>
  <si>
    <t>000000002577A-CC</t>
  </si>
  <si>
    <t>REF. LANC. CREDITO - CLIENTE: 00004331-KELVI</t>
  </si>
  <si>
    <t>000000029393A-IF</t>
  </si>
  <si>
    <t>000000019953A-IF</t>
  </si>
  <si>
    <t>000000003334A-CC</t>
  </si>
  <si>
    <t>000000002590A-CC</t>
  </si>
  <si>
    <t>000000001356A-CC</t>
  </si>
  <si>
    <t>000000001358A-CC</t>
  </si>
  <si>
    <t>000000001362A-CC</t>
  </si>
  <si>
    <t>REF. LANC. CREDITO - CLIENTE: 00004973-RAIMUNDO BS</t>
  </si>
  <si>
    <t>000000001365A-CC</t>
  </si>
  <si>
    <t>REF. LANC. CREDITO - CLIENTE: 00004973-JOSIMAR COCALZINHO</t>
  </si>
  <si>
    <t>000000001367A-CC</t>
  </si>
  <si>
    <t>REF. LANC. CREDITO - CLIENTE: 00004973-GERSON</t>
  </si>
  <si>
    <t>000000007727A-IF</t>
  </si>
  <si>
    <t>000000000960A-CC</t>
  </si>
  <si>
    <t>REF. LANC. CREDITO - CLIENTE: 80004936-AO CONSUMIDOR LUZIANIA</t>
  </si>
  <si>
    <t>000000000970A-CC</t>
  </si>
  <si>
    <t>000000000958A-CC</t>
  </si>
  <si>
    <t>REF. LANC. CREDITO - CLIENTE: 80004936-AO CONSUMIDOR LUZIANIA - PAGTO.PARCIAL - DTA. REC.: 03/03/2026 - VR. ORIGINAL: -9,00 - VR. PAGO: -7,01</t>
  </si>
  <si>
    <t>000000000972A-CC</t>
  </si>
  <si>
    <t>80005420-APARECIDO MANOEL CARDOSO SOUSA</t>
  </si>
  <si>
    <t>TELEFONE(S):  (61)98341-4730 (61)98341-4730</t>
  </si>
  <si>
    <t>TOT.DÉBITO: 962,50</t>
  </si>
  <si>
    <t>000000055676A-IF</t>
  </si>
  <si>
    <t>TOT.DÉBITO: 155,89</t>
  </si>
  <si>
    <t>TOT.DÉBITO: -923,31</t>
  </si>
  <si>
    <t>LANC. CRED. REF. A  - PAGTO.PARCIAL - DTA. REC.: 25/02/2026 - VR. ORIGINAL: -2.000,00 - VR. PAGO: -962,27 - PAGTO.PARCIAL - DTA. REC.: 25/02/2026 - VR. ORIGINAL: -1.037,73 - VR. PAGO: -10,00</t>
  </si>
  <si>
    <t>TOT.DÉBITO: 9.861,10</t>
  </si>
  <si>
    <t>001000002181C-AG</t>
  </si>
  <si>
    <t>REF. AGRUPAMENTO Nro. 001000002181 - PARC. 3 / 3 - DOC(S): 000000031431A/000000031432A/000000031441A/000000031443A/000000031450A/000000031454A/000000031462A/000000031464A</t>
  </si>
  <si>
    <t>TOT.DÉBITO: 220,58</t>
  </si>
  <si>
    <t>001000001545A-AG</t>
  </si>
  <si>
    <t>REF. AGRUPAMENTO Nro. 001000001545 - PARC. 1 / 1 - DOC(S): 000000007683A</t>
  </si>
  <si>
    <t>TOT.DÉBITO: 31.514,86</t>
  </si>
  <si>
    <t>REF. AGRUPAMENTO Nro. 001000001529 - PARC. 2 / 6 - DOC(S): 000000003534A - PAGTO.PARCIAL - DTA. REC.: 02/03/2026 - VR. ORIGINAL: 594,00 - VR. PAGO: 324,75 - PAGTO.PARCIAL - DTA. REC.: 02/03/2026 - VR. ORIGINAL: 594,00 - VR. PAGO: 190,00</t>
  </si>
  <si>
    <t>000000003832A-NF</t>
  </si>
  <si>
    <t>001000001514C-AG</t>
  </si>
  <si>
    <t>REF. AGRUPAMENTO Nro. 001000001514 - PARC. 3 / 3 - DOC(S): 000000003408A/000000003411A/000000003419A/000000003425A/000000003437A/000000003449A/000000003457A/000000003460A/000000003471A/000000003472A/000000003475A/000000003478A/000000003489A/000000003490A/000000003491A/000000003500A/000000003502A/000000003504A/000000003509A/000000003517A/000000003518A/000000003523A/000000003537A/000000003543A/000000003547A</t>
  </si>
  <si>
    <t>TOT.DÉBITO: 3.282,04</t>
  </si>
  <si>
    <t>TOT.DÉBITO: 1.571,35</t>
  </si>
  <si>
    <t>00004789-AUTOMASTER RETOQUES EM VEICULOS LTDA ME</t>
  </si>
  <si>
    <t xml:space="preserve">TELEFONE(S): (61) 3352-4994 (61)99440-2139 </t>
  </si>
  <si>
    <t>TOT.DÉBITO: 38.362,50</t>
  </si>
  <si>
    <t>001000002183C-AG</t>
  </si>
  <si>
    <t>REF. AGRUPAMENTO Nro. 001000002183 - PARC. 3 / 5 - DOC(S): 000000031337A/000000031341A/000000031342A/000000031343A/000000031350A/000000031358A/000000031369A/000000031370A/000000031376A/000000031381A/000000031388A/000000031400A/000000031407A/000000031410A/000000031425A/000000031437A/000000031440A/000000031445A/000000031448A/000000031466A/000000031470A/000000031472A/000000031481A/000000031507A/000000031522A</t>
  </si>
  <si>
    <t>11006515-BARBOSA COMERCIO DE FERRAGENS E FERRAMENTAS LTDA.</t>
  </si>
  <si>
    <t>TELEFONE(S):   (00)00000-0000</t>
  </si>
  <si>
    <t>TOT.DÉBITO: 542,56</t>
  </si>
  <si>
    <t>000000041500A-NF</t>
  </si>
  <si>
    <t>TOT.DÉBITO: 1.375,35</t>
  </si>
  <si>
    <t>11005411-BOREAL TINTAS AUTOMOTIVAS LTDA</t>
  </si>
  <si>
    <t xml:space="preserve">TELEFONE(S):  (61) 3388-5143 </t>
  </si>
  <si>
    <t>TOT.DÉBITO: 7.449,70</t>
  </si>
  <si>
    <t>000000041509A-NF</t>
  </si>
  <si>
    <t>REF.DEV.: 000000041509-NF REF.DOC.: 000000039073-NF-009-08/12/2025 - PARC. 1/1&lt;&lt;csq&gt;&gt;</t>
  </si>
  <si>
    <t>TOT.DÉBITO: 4.675,38</t>
  </si>
  <si>
    <t>000000025259A-NF</t>
  </si>
  <si>
    <t>TOT.DÉBITO: 3.493,60</t>
  </si>
  <si>
    <t>TOT.DÉBITO: 6.355,56</t>
  </si>
  <si>
    <t>02000380-BRUNO MENDES DE CARVALHO</t>
  </si>
  <si>
    <t xml:space="preserve">TELEFONE(S): (61)99102-1641  </t>
  </si>
  <si>
    <t>TOT.DÉBITO: 248,53</t>
  </si>
  <si>
    <t>000000029378A-IF</t>
  </si>
  <si>
    <t>TOT.DÉBITO: 1.650,78</t>
  </si>
  <si>
    <t>02002333-CAMPECAS LANTERNAGEM E PINTURA LTDA</t>
  </si>
  <si>
    <t>TELEFONE(S): (61) 3575-5864  (61) 3575-5864</t>
  </si>
  <si>
    <t>TOT.DÉBITO: 30.949,66</t>
  </si>
  <si>
    <t>000000024253A-NF</t>
  </si>
  <si>
    <t>REFERENTE A FATURAMENTO - PARC. 1/6&lt;&lt;csq&gt;&gt;_x000D_Em 08/01/2026, ocorreu prorrogação do vencimento. Operador: 020_x000D_Vencimento Original: 27/12/2025 - Vr.Original: 1.481,67_x000D_Novo Vencimento    : 04/02/2026 - Novo Valor : 1.481,67_x000D_Juros alterado de 0,00 para 0,00 por motivo de prorrogação do vencimento._x000D__x000D_Em 11/02/2026, ocorreu prorrogação do vencimento. Operador: 020_x000D_Vencimento Original: 04/02/2026 - Vr.Original: 1.481,67_x000D_Novo Vencimento    : 26/02/2026 - Novo Valor : 1.481,67_x000D_Juros alterado de 0,00 para 0,00 por motivo de prorrogação do vencimento._x000D__x000D_Em 27/02/2026, ocorreu prorrogação do vencimento. Operador: 020_x000D_Vencimento Original: 26/02/2026 - Vr.Original: 1.481,67_x000D_Novo Vencimento    : 02/03/2026 - Novo Valor : 1.481,67_x000D_Juros alterado de 0,00 para 0,00 por motivo de prorrogação do vencimento._x000D_</t>
  </si>
  <si>
    <t>TOT.DÉBITO: 302,28</t>
  </si>
  <si>
    <t>REFERENTE A FATURAMENTO - PARC. 1/1&lt;&lt;csq&gt;&gt; - PAGTO.PARCIAL - DTA. REC.: 02/02/2026 - VR. ORIGINAL: 302,28 - VR. PAGO: 100,76 - PAGTO.PARCIAL - DTA. REC.: 03/03/2026 - VR. ORIGINAL: 201,52 - VR. PAGO: 100,76</t>
  </si>
  <si>
    <t>TOT.DÉBITO: 7.506,50</t>
  </si>
  <si>
    <t>TOT.DÉBITO: 1.764,00</t>
  </si>
  <si>
    <t>11005357-CASA COELHOTINTAS E MATERIAIS LTDA</t>
  </si>
  <si>
    <t xml:space="preserve">TELEFONE(S): (61) 3272-5046  </t>
  </si>
  <si>
    <t>TOT.DÉBITO: 1.582,15</t>
  </si>
  <si>
    <t>000000041225A-NF</t>
  </si>
  <si>
    <t>REF.DEV.: 000000041225-NF REF.DOC.: 000000041165-NF-009-20/02/2026 - PARC. 1/1&lt;&lt;csq&gt;&gt;</t>
  </si>
  <si>
    <t>TOT.DÉBITO: 2.036,17</t>
  </si>
  <si>
    <t>00001502-CASTELO FORTE SAMAMBAIA MAT. P CONST.</t>
  </si>
  <si>
    <t>TOT.DÉBITO: 945,91</t>
  </si>
  <si>
    <t>000000040995A-NF</t>
  </si>
  <si>
    <t>REF.DEV.: 000000040995-NF REF.DOC.: 000000040923-NF-009-10/02/2026 - PARC. 1/1&lt;&lt;csq&gt;&gt;</t>
  </si>
  <si>
    <t>11005082-CELINA BARROS DE AMORIM 54003601149</t>
  </si>
  <si>
    <t xml:space="preserve">TELEFONE(S): (61)99653-1720  </t>
  </si>
  <si>
    <t>TOT.DÉBITO: 67.861,74</t>
  </si>
  <si>
    <t>000000041173A-NF</t>
  </si>
  <si>
    <t>REF.DEV.: 000000041173-NF REF.DOC.: 000000040659-NF-009-03/02/2026 - PARC. 1/1&lt;&lt;csq&gt;&gt; - PAGTO.PARCIAL - DTA. REC.: 20/02/2026 - VR. ORIGINAL: -685,00 - VR. PAGO: -601,86</t>
  </si>
  <si>
    <t>000000000182A-CC</t>
  </si>
  <si>
    <t>REF. LANC. CREDITO - CLIENTE: 11005082-CELINA BARROS DE AMORIM 54003601149</t>
  </si>
  <si>
    <t>000000039570B-NF</t>
  </si>
  <si>
    <t>000000040486A-NF</t>
  </si>
  <si>
    <t>000000039605B-NF</t>
  </si>
  <si>
    <t>000000041435A-NF</t>
  </si>
  <si>
    <t>000000001127C-AG</t>
  </si>
  <si>
    <t>REF. AGRUPAMENTO Nro. 000000001127 - PARC. 3 / 3 - DOC(S): 000000038897A</t>
  </si>
  <si>
    <t>000000041542A-NF</t>
  </si>
  <si>
    <t>REF.DEV.: 000000041542-NF REF.DOC.: 000000041048-NF-009-13/02/2026 - PARC. 1/1&lt;&lt;csq&gt;&gt;</t>
  </si>
  <si>
    <t>000000001082A-AG</t>
  </si>
  <si>
    <t>REF. AGRUPAMENTO Nro. 000000001082 - PARC. 1 / 1 - DOC(S): 000000018905A/000000019091A/000000019104A</t>
  </si>
  <si>
    <t>00002837-CENTRO AUTOMOTIVO GUARA LTDA EPP</t>
  </si>
  <si>
    <t xml:space="preserve">TELEFONE(S): (61) 3382-6786 (61) 9981-0708 </t>
  </si>
  <si>
    <t>LIM.CRÉDITO: 45.000,00</t>
  </si>
  <si>
    <t>TOT.DÉBITO: 20.673,61</t>
  </si>
  <si>
    <t>000000000047A-DV</t>
  </si>
  <si>
    <t>REF.DEV.: 000000000047-DV REF.DOC.: 000000007803-FF-022-27/01/2026 - PARC. 1/1&lt;&lt;csq&gt;&gt;</t>
  </si>
  <si>
    <t>001000001516C-AG</t>
  </si>
  <si>
    <t>REF. AGRUPAMENTO Nro. 001000001516 - PARC. 3 / 3 - DOC(S): 000000007443A/000000007463A</t>
  </si>
  <si>
    <t>TOT.DÉBITO: 4.489,29</t>
  </si>
  <si>
    <t>000000402773A-CC</t>
  </si>
  <si>
    <t>LANC. CRED. REF. A  - PAGTO.PARCIAL - DTA. REC.: 23/02/2026 - VR. ORIGINAL: -1.517,00 - VR. PAGO: -1.516,18</t>
  </si>
  <si>
    <t>000000402779A-CC</t>
  </si>
  <si>
    <t>REF. LANC. CREDITO - CLIENTE: 04000290-CENTRO AUTOMOTIVO RESTAURA CAR</t>
  </si>
  <si>
    <t>TOT.DÉBITO: 27.440,63</t>
  </si>
  <si>
    <t>001000001477E-AG</t>
  </si>
  <si>
    <t>REF. AGRUPAMENTO Nro. 001000001477 - PARC. 5 / 5 - DOC(S): 000000008430A/000000008431A/000000008584A</t>
  </si>
  <si>
    <t>000000008849D-NF</t>
  </si>
  <si>
    <t>000000009483A-NF</t>
  </si>
  <si>
    <t>000000009485A-NF</t>
  </si>
  <si>
    <t>000000003335A-CC</t>
  </si>
  <si>
    <t>00004634-CESAR CARVALHO MACHADO</t>
  </si>
  <si>
    <t>TELEFONE(S): (61) 3022-4837  (61) 8168-9956</t>
  </si>
  <si>
    <t>TOT.DÉBITO: 454,07</t>
  </si>
  <si>
    <t>000000601411A-CC</t>
  </si>
  <si>
    <t>REF. LANC. CREDITO - CLIENTE: 00004634-CESAR CARVALHO MACHADO</t>
  </si>
  <si>
    <t>00002380-CGR SOARES AUTO PARACHOQUES LTDA- ME</t>
  </si>
  <si>
    <t>TELEFONE(S): (61) 3234-2213  (61)99803-6651</t>
  </si>
  <si>
    <t>TOT.DÉBITO: 3.743,33</t>
  </si>
  <si>
    <t>001000002293A-AG</t>
  </si>
  <si>
    <t>REF. AGRUPAMENTO Nro. 001000002293 - PARC. 1 / 1 - DOC(S): 000000016416A/000000016418A/000000016449A/000000016456A/000000016483A/000000016486A/000000016488A/000000016492A/000000016512A/000000016532A/000000016534A/000000016535A/000000016536A/000000016554A/000000016576A</t>
  </si>
  <si>
    <t>TOT.DÉBITO: 147,35</t>
  </si>
  <si>
    <t>REF. LANC. CREDITO - CLIENTE: 80006486-CLAYTON MARCIEL LOPES</t>
  </si>
  <si>
    <t>TOT.DÉBITO: 5.691,75</t>
  </si>
  <si>
    <t>TOT.DÉBITO: 25.168,81</t>
  </si>
  <si>
    <t>000000039701B-NF</t>
  </si>
  <si>
    <t>TOT.DÉBITO: 1.371,05</t>
  </si>
  <si>
    <t>11005252-COMERCIO DE TINTAS D&amp; A LTDA</t>
  </si>
  <si>
    <t>TOT.DÉBITO: 7.846,97</t>
  </si>
  <si>
    <t>000000041203A-NF</t>
  </si>
  <si>
    <t>REF.DEV.: 000000041203-NF REF.DOC.: 000000041109-NF-009-18/02/2026 - PARC. 1/1&lt;&lt;csq&gt;&gt;</t>
  </si>
  <si>
    <t>TOT.DÉBITO: 6.293,19</t>
  </si>
  <si>
    <t>TOT.DÉBITO: 4.257,08</t>
  </si>
  <si>
    <t>11005677-CONSTRUSOLLO CONSTRUCOES LTDA</t>
  </si>
  <si>
    <t xml:space="preserve">TELEFONE(S):  (61) 3372-1826 </t>
  </si>
  <si>
    <t>TOT.DÉBITO: 6.012,89</t>
  </si>
  <si>
    <t>000000040256A-NF</t>
  </si>
  <si>
    <t>000000040579A-NF</t>
  </si>
  <si>
    <t>11006221-CONTARPP ENGENHARIA S.A.</t>
  </si>
  <si>
    <t xml:space="preserve">TELEFONE(S):  (61) 3248-4538 </t>
  </si>
  <si>
    <t>TOT.DÉBITO: 35.997,92</t>
  </si>
  <si>
    <t>000000038931C-NF</t>
  </si>
  <si>
    <t>TOT.DÉBITO: 590,62</t>
  </si>
  <si>
    <t>REFERENTE A FATURAMENTO - PARC. 1/1&lt;&lt;csq&gt;&gt; - PAGTO.PARCIAL - DTA. REC.: 02/02/2026 - VR. ORIGINAL: 885,94 - VR. PAGO: 147,66 - PAGTO.PARCIAL - DTA. REC.: 03/03/2026 - VR. ORIGINAL: 738,28 - VR. PAGO: 147,66</t>
  </si>
  <si>
    <t>80006683-CS LANTERNAGEM E PINTURA</t>
  </si>
  <si>
    <t>TELEFONE(S):  (61)99661-5239 (61)99661-5239</t>
  </si>
  <si>
    <t>TOT.DÉBITO: 281,00</t>
  </si>
  <si>
    <t>000000032062A-NF</t>
  </si>
  <si>
    <t>TOT.DÉBITO: 21.368,59</t>
  </si>
  <si>
    <t>TOT.DÉBITO: -21,84</t>
  </si>
  <si>
    <t>000000000950A-NF</t>
  </si>
  <si>
    <t>REF.DEV.: 000000000950-NF REF.DOC.: 000000006589-IF-024-21/01/2026,000000006944-IF-024-30/01/2026 - PARC. 1/1&lt;&lt;csq&gt;&gt; - PAGTO.PARCIAL - DTA. REC.: 20/02/2026 - VR. ORIGINAL: -505,80 - VR. PAGO: -499,96</t>
  </si>
  <si>
    <t>000000000953A-CC</t>
  </si>
  <si>
    <t>TOT.DÉBITO: 706,66</t>
  </si>
  <si>
    <t>000000402767A-CC</t>
  </si>
  <si>
    <t>LANC. CRED. REF. A  - PAGTO.PARCIAL - DTA. REC.: 18/02/2026 - VR. ORIGINAL: -260,00 - VR. PAGO: -252,66</t>
  </si>
  <si>
    <t>TOT.DÉBITO: 35.745,16</t>
  </si>
  <si>
    <t>000000040290A-NF</t>
  </si>
  <si>
    <t>00004550-DAUTO PINTURA E MECANICA LTDA - TAGUATINGA</t>
  </si>
  <si>
    <t>TELEFONE(S): (61) 3356-1616  (61) 9294-6181</t>
  </si>
  <si>
    <t>TOT.DÉBITO: 54.488,17</t>
  </si>
  <si>
    <t>000000041432A-NF</t>
  </si>
  <si>
    <t>REF.DEV.: 000000041432-NF REF.DOC.: 000000041431-NF-009-27/02/2026 - PARC. 1/1&lt;&lt;csq&gt;&gt;</t>
  </si>
  <si>
    <t>TOT.DÉBITO: 94.223,10</t>
  </si>
  <si>
    <t>TOT.DÉBITO: 122,46</t>
  </si>
  <si>
    <t>000000001372A-CC</t>
  </si>
  <si>
    <t>TOT.DÉBITO: 398,10</t>
  </si>
  <si>
    <t>TOT.DÉBITO: -201,30</t>
  </si>
  <si>
    <t>TOT.DÉBITO: 764,07</t>
  </si>
  <si>
    <t>TOT.DÉBITO: 3.880,14</t>
  </si>
  <si>
    <t>000000038530C-NF</t>
  </si>
  <si>
    <t>000000038646C-NF</t>
  </si>
  <si>
    <t>TOT.DÉBITO: 5.047,99</t>
  </si>
  <si>
    <t>TOT.DÉBITO: 793,99</t>
  </si>
  <si>
    <t>000000003793A-NF</t>
  </si>
  <si>
    <t>000000003671B-NF</t>
  </si>
  <si>
    <t>TOT.DÉBITO: 11.654,41</t>
  </si>
  <si>
    <t>LANC. CRED. REF. A  - PAGTO.PARCIAL - DTA. REC.: 20/02/2026 - VR. ORIGINAL: -2.000,00 - VR. PAGO: -1.945,98</t>
  </si>
  <si>
    <t>00003137-E2R2 CENTRO AUTOMOTIVO-ME</t>
  </si>
  <si>
    <t xml:space="preserve">TELEFONE(S): (61) 3399-5136  </t>
  </si>
  <si>
    <t>TOT.DÉBITO: 794,06</t>
  </si>
  <si>
    <t>001000002186C-AG</t>
  </si>
  <si>
    <t>REF. AGRUPAMENTO Nro. 001000002186 - PARC. 3 / 3 - DOC(S): 000000031340A/000000031346A/000000031349A/000000031367A/000000031375A/000000031389A/000000031395A/000000031399A/000000031403A/000000031447A/000000031457A/000000031469A/000000031482A/000000031483A/000000031505A/000000031512A/000000031517A/000000031526A/000000031531A/000000031555A</t>
  </si>
  <si>
    <t>TOT.DÉBITO: 1.916,45</t>
  </si>
  <si>
    <t>000000019561A-IF</t>
  </si>
  <si>
    <t>000000019576A-IF</t>
  </si>
  <si>
    <t>000000019943A-IF</t>
  </si>
  <si>
    <t>000000019944A-IF</t>
  </si>
  <si>
    <t>TOT.DÉBITO: 5.442,84</t>
  </si>
  <si>
    <t>000000039312B-NF</t>
  </si>
  <si>
    <t>000000040076A-NF</t>
  </si>
  <si>
    <t>000000038691C-NF</t>
  </si>
  <si>
    <t>000000038926C-NF</t>
  </si>
  <si>
    <t>11005475-EDIVANIO CONCEICAO DA SILVA 00291474179</t>
  </si>
  <si>
    <t>TELEFONE(S):  (61)99905-2238 (61)99905-2238</t>
  </si>
  <si>
    <t>TOT.DÉBITO: 385,85</t>
  </si>
  <si>
    <t>000000041466A-NF</t>
  </si>
  <si>
    <t>11006422-ELITE ESTETICA  AUTOMOTIVA LTDA</t>
  </si>
  <si>
    <t xml:space="preserve">TELEFONE(S):  (77)99908-7205 </t>
  </si>
  <si>
    <t>TOT.DÉBITO: 891,81</t>
  </si>
  <si>
    <t>000000041505A-NF</t>
  </si>
  <si>
    <t>TOT.DÉBITO: 7.850,25</t>
  </si>
  <si>
    <t>TOT.DÉBITO: 154.132,62</t>
  </si>
  <si>
    <t>80006439-ERLANE BORGES RODRIGUES</t>
  </si>
  <si>
    <t>TELEFONE(S):   (61)99903-7684</t>
  </si>
  <si>
    <t>000000002726A-CC</t>
  </si>
  <si>
    <t>LANC. CRED. REF. A  - PAGTO.PARCIAL - DTA. REC.: 25/02/2026 - VR. ORIGINAL: -17,00 - VR. PAGO: -14,00</t>
  </si>
  <si>
    <t>00004860-ETICA COMERCIO VAREJISTA DE TINTAS LTDA (SOFN)</t>
  </si>
  <si>
    <t xml:space="preserve">TELEFONE(S): (61) 3038-1003  </t>
  </si>
  <si>
    <t>TOT.DÉBITO: 998,20</t>
  </si>
  <si>
    <t>004000400735A-TE</t>
  </si>
  <si>
    <t>80006531-EUROGARDE ESTETICA AUTOMOTIVA LTDA</t>
  </si>
  <si>
    <t>TELEFONE(S): (38)99940-9289  (38)99940-9289</t>
  </si>
  <si>
    <t>TOT.DÉBITO: 310,64</t>
  </si>
  <si>
    <t>000000003207A-NF</t>
  </si>
  <si>
    <t>11005506-F &amp; M TINTAS AUTOMOTIVAS LTDA</t>
  </si>
  <si>
    <t>TELEFONE(S):  (61)98550-2212 (61)98550-2212</t>
  </si>
  <si>
    <t>TOT.DÉBITO: 423,51</t>
  </si>
  <si>
    <t>000000041341A-NF</t>
  </si>
  <si>
    <t>11005315-F B FLORES DE OLIVEIRA</t>
  </si>
  <si>
    <t>TELEFONE(S):   (61) 8310-5683</t>
  </si>
  <si>
    <t>TOT.DÉBITO: -3,15</t>
  </si>
  <si>
    <t>000000000188A-CC</t>
  </si>
  <si>
    <t>REF. LANC. CREDITO - CLIENTE: 11005315-F B FLORES DE OLIVEIRA</t>
  </si>
  <si>
    <t>TOT.DÉBITO: 753,75</t>
  </si>
  <si>
    <t>000000000955A-CC</t>
  </si>
  <si>
    <t>REF. LANC. CREDITO - CLIENTE: 80005415-F1 VEICULOS LTDA</t>
  </si>
  <si>
    <t>TOT.DÉBITO: 3.833,50</t>
  </si>
  <si>
    <t>000000002587A-CC</t>
  </si>
  <si>
    <t>11005428-FABIANO NASCIMENTO CHMURZYNSKI</t>
  </si>
  <si>
    <t>TELEFONE(S):  (61) 3039-7789 (61) 9684-6137</t>
  </si>
  <si>
    <t>TOT.DÉBITO: -6,06</t>
  </si>
  <si>
    <t>000000041100A-NF</t>
  </si>
  <si>
    <t>REF.DEV.: 000000041100-NF REF.DOC.: 000000041099-NF-009-18/02/2026 - PARC. 1/1&lt;&lt;csq&gt;&gt;</t>
  </si>
  <si>
    <t>02002093-FABIO JUNIOR DE FARIAS SANTOS</t>
  </si>
  <si>
    <t>TELEFONE(S):   (61)98514-7845</t>
  </si>
  <si>
    <t>TOT.DÉBITO: 48.860,60</t>
  </si>
  <si>
    <t>000000000328A-CH</t>
  </si>
  <si>
    <t>DTA.TIT: 06/02/2026, REF. A CHQ. No: 000241, AGE: 2407_x000D_ EMITENTE: SILFARNEY DE FARIA ANDRADE_x000D_ TELECHEQUE NÃO - PAGTO.PARCIAL - DTA. REC.: 26/02/2026 - VR. ORIGINAL: 27.153,00 - VR. PAGO: 20.000,00</t>
  </si>
  <si>
    <t>TOT.DÉBITO: 33,90</t>
  </si>
  <si>
    <t>TOT.DÉBITO: 1.541,00</t>
  </si>
  <si>
    <t>000000000967A-CC</t>
  </si>
  <si>
    <t>TOT.DÉBITO: 717,33</t>
  </si>
  <si>
    <t>11005498-FRANCISCO PEDRO DE ALENCAR LTDA</t>
  </si>
  <si>
    <t>TELEFONE(S):  (61)98514-0400 (61)98514-0400</t>
  </si>
  <si>
    <t>TOT.DÉBITO: -15,84</t>
  </si>
  <si>
    <t>000000000180A-CC</t>
  </si>
  <si>
    <t>REF. LANC. CREDITO - CLIENTE: 11005498-FRANCISCO PEDRO DE ALENCAR LTDA</t>
  </si>
  <si>
    <t>01000263-FRANCISCO PEREIRA DE FRANÇA FILHO</t>
  </si>
  <si>
    <t xml:space="preserve">TELEFONE(S): (61)99327-2791  </t>
  </si>
  <si>
    <t>TOT.DÉBITO: 607,89</t>
  </si>
  <si>
    <t>000000019897A-IF</t>
  </si>
  <si>
    <t>REFERENTE A FATURAMENTO - PARC. 1/1&lt;&lt;csq&gt;&gt; - PAGTO.PARCIAL - DTA. REC.: 11/02/2026 - VR. ORIGINAL: 1.637,89 - VR. PAGO: 1.446,00</t>
  </si>
  <si>
    <t>80006673-FRANCISCO SERGIO</t>
  </si>
  <si>
    <t>REF. LANC. CREDITO - CLIENTE: 80006673-FRANCISCO SERGIO</t>
  </si>
  <si>
    <t>00000114-GALEGO 24</t>
  </si>
  <si>
    <t xml:space="preserve">TELEFONE(S): (61) 9271-9195  </t>
  </si>
  <si>
    <t>TOT.DÉBITO: 2.214,01</t>
  </si>
  <si>
    <t>001000001543A-AG</t>
  </si>
  <si>
    <t>REF. AGRUPAMENTO Nro. 001000001543 - PARC. 1 / 1 - DOC(S): 000000014304A/000000014370A/000000014382A/000000014388A/000000014392A/000000014394A</t>
  </si>
  <si>
    <t>TOT.DÉBITO: 3.429,49</t>
  </si>
  <si>
    <t>00001293-GESIMAR DE SOUZA</t>
  </si>
  <si>
    <t>TOT.DÉBITO: 0,90</t>
  </si>
  <si>
    <t>000000043824A-IF</t>
  </si>
  <si>
    <t>REFERENTE A FATURAMENTO - PARC. 1/1&lt;&lt;csq&gt;&gt; - PAGTO.PARCIAL - DTA. REC.: 20/02/2026 - VR. ORIGINAL: 49,90 - VR. PAGO: 49,00</t>
  </si>
  <si>
    <t>00000464-GILSON CORREA LIMA</t>
  </si>
  <si>
    <t>TOT.DÉBITO: 5.384,50</t>
  </si>
  <si>
    <t>000000000179A-CC</t>
  </si>
  <si>
    <t>REF. LANC. CREDITO - CLIENTE: 00000464-GILSON CORREA LIMA</t>
  </si>
  <si>
    <t>TOT.DÉBITO: 10.719,10</t>
  </si>
  <si>
    <t>000000024963A-NF</t>
  </si>
  <si>
    <t>TOT.DÉBITO: 10.240,16</t>
  </si>
  <si>
    <t>000000024935A-NF</t>
  </si>
  <si>
    <t>TOT.DÉBITO: 9.941,46</t>
  </si>
  <si>
    <t>001000001266A-AG</t>
  </si>
  <si>
    <t>REF. AGRUPAMENTO Nro. 001000001266 - PARC. 1 / 1 - DOC(S): 000000613143A/000000613145A/000000613147A/000000613150A/000000613151A</t>
  </si>
  <si>
    <t>02002686-HAQZ ESTETICA  AUTOMOTIVA</t>
  </si>
  <si>
    <t>TELEFONE(S):   (61)9811-8977</t>
  </si>
  <si>
    <t>TOT.DÉBITO: 429,62</t>
  </si>
  <si>
    <t>000000025238A-NF</t>
  </si>
  <si>
    <t>TOT.DÉBITO: 281,38</t>
  </si>
  <si>
    <t>TOT.DÉBITO: -17,38</t>
  </si>
  <si>
    <t>TOT.DÉBITO: -29,87</t>
  </si>
  <si>
    <t>REF.DEV.: 000000003127-NF REF.DOC.: 000000003126-NF-015-19/12/2025 - PARC. 1/1&lt;&lt;csq&gt;&gt; - PAGTO.PARCIAL - DTA. REC.: 22/12/2025 - VR. ORIGINAL: -279,90 - VR. PAGO: -60,00 - PAGTO.PARCIAL - DTA. REC.: 09/01/2026 - VR. ORIGINAL: -219,90 - VR. PAGO: -15,00 - PAGTO.PARCIAL - DTA. REC.: 21/01/2026 - VR. ORIGINAL: -204,90 - VR. PAGO: -15,00 - PAGTO.PARCIAL - DTA. REC.: 03/02/2026 - VR. ORIGINAL: -189,90 - VR. PAGO: -3,60 - PAGTO.PARCIAL - DTA. REC.: 09/02/2026 - VR. ORIGINAL: -186,30 - VR. PAGO: -16,00 - PAGTO.PARCIAL - DTA. REC.: 19/02/2026 - VR. ORIGINAL: -170,30 - VR. PAGO: -27,00 - PAGTO.PARCIAL - DTA. REC.: 23/02/2026 - VR. ORIGINAL: -143,30 - VR. PAGO: -20,43 - PAGTO.PARCIAL - DTA. REC.: 24/02/2026 - VR. ORIGINAL: -122,87 - VR. PAGO: -16,00 - PAGTO.PARCIAL - DTA. REC.: 27/02/2026 - VR. ORIGINAL: -106,87 - VR. PAGO: -15,00 - PAGTO.PARCIAL - DTA. REC.: 02/03/2026 - VR. ORIGINAL: -91,87 - VR. PAGO: -62,00</t>
  </si>
  <si>
    <t>05000568-I F CAMPOS CENTRO AUTOMOTIVO ME</t>
  </si>
  <si>
    <t>TELEFONE(S):  (61)99856-2271 (61)98409-8152</t>
  </si>
  <si>
    <t>TOT.DÉBITO: 67.006,46</t>
  </si>
  <si>
    <t>000000009310A-NF</t>
  </si>
  <si>
    <t>000000009493A-NF</t>
  </si>
  <si>
    <t>REF.DEV.: 000000009493-NF REF.DOC.: 000000009023-NF-013-26/11/2025 - PARC. 1/1&lt;&lt;csq&gt;&gt;</t>
  </si>
  <si>
    <t>REF. AGRUPAMENTO Nro. 001000001711 - PARC. 5 / 5 - DOC(S): 000000407410A/000000407415A/000000407422A/000000407426A/000000407430A/000000407431A/000000407433A/000000407440A/000000407450A/000000407455A/000000407466A/000000407469A/000000407471A/000000407475A/000000407477A/000000407479A/000000407488A/000000407501A/000000407511A/000000407518A/000000407523A/000000407526A/000000407529A/000000407530A/000000407531A/000000407540A/000000407543A/000000407546A/000000407548A/000000407558A/000000407565A/000000407568A/000000407570A/000000407571A/000000407573A/000000407579A/000000407580A/000000407581A/000000407585A/000000407587A/000000407588A/000000407591A/000000407594A/000000407596A/000000407597A/000000407599A/000000407600A/000000407605A/000000407606A/000000407608A/000000407612A/000000407613A/000000407616A/000000407617A/000000407621A/000000407624A/000000407626A/000000407630A/000000407633A/000000407634A - PAGTO.PARCIAL - DTA. REC.: 12/08/2025 - VR. ORIGINAL: 3.126,00 - VR. PAGO: 344,20 - PAGTO.PARCIAL - DTA. REC.: 30/09/2025 - VR. ORIGINAL: 2.781,80 - VR. PAGO: 519,23 - PAGTO.PARCIAL - DTA. REC.: 10/11/2025 - VR. ORIGINAL: 2.262,57 - VR. PAGO: 1.080,00 - PAGTO.PARCIAL - DTA. REC.: 01/12/2025 - VR. ORIGINAL: 1.182,57 - VR. PAGO: 1.038,47 &lt;&lt;csq&gt;&gt; - DUPLICATA ESTORNADA: 18/12/2025 001000001711E - SEQ: 4 - ESP: AG - EMP: 004 - DTA. REC.: 01/12/2025 - VR. REC.: 1.038,47 &lt;&lt;csq&gt;&gt; - DUPLICATA ESTORNADA: 18/12/2025 001000001711E - SEQ: 3 - ESP: AG - EMP: 004 - DTA. REC.: 10/11/2025 - VR. REC.: 1.080,00 - PAGTO.PARCIAL - DTA. REC.: 10/11/2025 - VR. ORIGINAL: 2.262,57 - VR. PAGO: 1.080,00 - PAGTO.PARCIAL - DTA. REC.: 01/12/2025 - VR. ORIGINAL: 1.182,57 - VR. PAGO: 1.038,47 &lt;&lt;csq&gt;&gt; - DUPLICATA ESTORNADA: 09/01/2026 001000001711E - SEQ: 4 - ESP: AG - EMP: 004 - DTA. REC.: 01/12/2025 - VR. REC.: 1.038,47 &lt;&lt;csq&gt;&gt; - DUPLICATA ESTORNADA: 09/01/2026 001000001711E - SEQ: 3 - ESP: AG - EMP: 004 - DTA. REC.: 10/11/2025 - VR. REC.: 1.080,00 - PAGTO.PARCIAL - DTA. REC.: 21/11/2025 - VR. ORIGINAL: 2.262,57 - VR. PAGO: 1.038,47 - PAGTO.PARCIAL - DTA. REC.: 04/02/2026 - VR. ORIGINAL: 1.224,10 - VR. PAGO: 1.038,47 &lt;&lt;csq&gt;&gt; - DUPLICATA ESTORNADA: 03/03/2026 001000001711E - SEQ: 4 - ESP: AG - EMP: 004 - DTA. REC.: 04/02/2026 - VR. REC.: 1.038,47 - PAGTO.PARCIAL - DTA. REC.: 04/02/2026 - VR. ORIGINAL: 1.224,10 - VR. PAGO: 1.038,47</t>
  </si>
  <si>
    <t>TOT.DÉBITO: 1.589,30</t>
  </si>
  <si>
    <t>000000000190A-CC</t>
  </si>
  <si>
    <t>REF. LANC. CREDITO - CLIENTE: 00004832-IMPERIAL TINTAS COMERCIO AUTOMOTIVO</t>
  </si>
  <si>
    <t>TOT.DÉBITO: 12.404,33</t>
  </si>
  <si>
    <t>11005827-INSPIRA COLOR LTDA</t>
  </si>
  <si>
    <t>TOT.DÉBITO: 2.143,88</t>
  </si>
  <si>
    <t>000000039376B-NF</t>
  </si>
  <si>
    <t>00004323-INSTITUTO DAS IRMAS DE SANTA MARCELINA</t>
  </si>
  <si>
    <t>TOT.DÉBITO: -80,00</t>
  </si>
  <si>
    <t>000000025298A-NF</t>
  </si>
  <si>
    <t>REF.DEV.: 000000025298-NF REF.DOC.: 000000025264-NF-014-27/02/2026 - PARC. 1/1&lt;&lt;csq&gt;&gt;</t>
  </si>
  <si>
    <t>02002548-INTTER 100 CONSTRUCAO E INCORPORACAO LTDA</t>
  </si>
  <si>
    <t>TELEFONE(S): (61) 3274-9079  (61) 3274-9079</t>
  </si>
  <si>
    <t>TOT.DÉBITO: 5.364,09</t>
  </si>
  <si>
    <t>000000024976A-NF</t>
  </si>
  <si>
    <t>00004342-IRMAOS REZENDE COMERCIO DE PECAS E SERVICOS AUTOMOTIVOS LTDA</t>
  </si>
  <si>
    <t xml:space="preserve">TELEFONE(S): (61) 3382-4870  </t>
  </si>
  <si>
    <t>TOT.DÉBITO: 9.183,61</t>
  </si>
  <si>
    <t>001000001517C-AG</t>
  </si>
  <si>
    <t>REF. AGRUPAMENTO Nro. 001000001517 - PARC. 3 / 3 - DOC(S): 000000007309A/000000007319A/000000007351A/000000007361A/000000007399A/000000007425A/000000007427A/000000007428A/000000007429A/000000007436A/000000007450A/000000007462A/000000007491A</t>
  </si>
  <si>
    <t>80006702-ISMAEL REIS FERREIRA</t>
  </si>
  <si>
    <t>TELEFONE(S):   (61)99247-7324</t>
  </si>
  <si>
    <t>REF. LANC. CREDITO - CLIENTE: 80006702-ISMAEL REIS FERREIRA</t>
  </si>
  <si>
    <t>TOT.DÉBITO: 4.793,43</t>
  </si>
  <si>
    <t>001000002095A-AG</t>
  </si>
  <si>
    <t>REF. AGRUPAMENTO Nro. 001000002095 - PARC. 1 / 4 - DOC(S): 000000018713A/000000018236A/000000018306A/000000018327A_x000D_Em 05/12/2024, ocorreu prorrogação do vencimento. Operador: 020_x000D_Vencimento Original: 04/12/2024 - Vr.Original: 843,06_x000D_Novo Vencimento    : 20/12/2024 - Novo Valor : 843,06_x000D_Juros alterado de 0,00 para 0,00 por motivo de prorrogação do vencimento._x000D__x000D_Em 26/12/2024, ocorreu prorrogação do vencimento. Operador: 020_x000D_Vencimento Original: 20/12/2024 - Vr.Original: 843,06_x000D_Novo Vencimento    : 04/01/2025 - Novo Valor : 843,06_x000D_Juros alterado de 0,00 para 0,00 por motivo de prorrogação do vencimento._x000D__x000D_Em 13/01/2025, ocorreu prorrogação do vencimento. Operador: 020_x000D_Vencimento Original: 04/01/2025 - Vr.Original: 843,06_x000D_Novo Vencimento    : 03/02/2025 - Novo Valor : 843,06_x000D_Juros alterado de 0,00 para 0,00 por motivo de prorrogação do vencimento._x000D__x000D_Em 10/02/2025, ocorreu prorrogação do vencimento. Operador: 020_x000D_Vencimento Original: 03/02/2025 - Vr.Original: 843,06_x000D_Novo Vencimento    : 07/03/2025 - Novo Valor : 843,06_x000D_Juros alterado de 0,00 para 0,00 por motivo de prorrogação do vencimento._x000D__x000D_Em 17/03/2025, ocorreu prorrogação do vencimento. Operador: 020_x000D_Vencimento Original: 07/03/2025 - Vr.Original: 843,06_x000D_Novo Vencimento    : 05/04/2025 - Novo Valor : 843,06_x000D_Juros alterado de 0,00 para 0,00 por motivo de prorrogação do vencimento._x000D__x000D_Em 08/04/2025, ocorreu prorrogação do vencimento. Operador: 020_x000D_Vencimento Original: 05/04/2025 - Vr.Original: 843,06_x000D_Novo Vencimento    : 28/05/2025 - Novo Valor : 843,06_x000D_Juros alterado de 0,00 para 0,00 por motivo de prorrogação do vencimento._x000D__x000D_Em 30/05/2025, ocorreu prorrogação do vencimento. Operador: 020_x000D_Vencimento Original: 28/05/2025 - Vr.Original: 843,06_x000D_Novo Vencimento    : 06/06/2025 - Novo Valor : 843,06_x000D_Juros alterado de 0,00 para 0,00 por motivo de prorrogação do vencimento._x000D__x000D_Em 09/06/2025, ocorreu prorrogação do vencimento. Operador: 020_x000D_Vencimento Original: 06/06/2025 - Vr.Original: 843,06_x000D_Novo Vencimento    : 25/07/2025 - Novo Valor : 843,06_x000D_Juros alterado de 0,00 para 0,00 por motivo de prorrogação do vencimento._x000D__x000D_Em 30/07/2025, ocorreu prorrogação do vencimento. Operador: 020_x000D_Vencimento Original: 25/07/2025 - Vr.Original: 843,06_x000D_Novo Vencimento    : 05/08/2025 - Novo Valor : 843,06_x000D_Juros alterado de 0,00 para 0,00 por motivo de prorrogação do vencimento._x000D__x000D_Em 14/08/2025, ocorreu prorrogação do vencimento. Operador: 020_x000D_Vencimento Original: 05/08/2025 - Vr.Original: 843,06_x000D_Novo Vencimento    : 10/10/2025 - Novo Valor : 843,06_x000D_Juros alterado de 0,00 para 0,00 por motivo de prorrogação do vencimento._x000D__x000D_Em 20/10/2025, ocorreu prorrogação do vencimento. Operador: 020_x000D_Vencimento Original: 10/10/2025 - Vr.Original: 843,06_x000D_Novo Vencimento    : 06/11/2025 - Novo Valor : 843,06_x000D_Juros alterado de 0,00 para 0,00 por motivo de prorrogação do vencimento._x000D__x000D_Em 25/11/2025, ocorreu prorrogação do vencimento. Operador: 020_x000D_Vencimento Original: 06/11/2025 - Vr.Original: 843,06_x000D_Novo Vencimento    : 03/02/2026 - Novo Valor : 843,06_x000D_Juros alterado de 0,00 para 0,00 por motivo de prorrogação do vencimento._x000D__x000D_Em 04/02/2026, ocorreu prorrogação do vencimento. Operador: 020_x000D_Vencimento Original: 03/02/2026 - Vr.Original: 843,06_x000D_Novo Vencimento    : 03/03/2026 - Novo Valor : 843,06_x000D_Juros alterado de 0,00 para 0,00 por motivo de prorrogação do vencimento._x000D_</t>
  </si>
  <si>
    <t>TOT.DÉBITO: 7.844,84</t>
  </si>
  <si>
    <t>000000009377A-NF</t>
  </si>
  <si>
    <t>000000003330A-CC</t>
  </si>
  <si>
    <t>REF. LANC. CREDITO - CLIENTE: 05000616-IVAN SILVA SANTOS</t>
  </si>
  <si>
    <t>11006576-J A R COMERCIO DE MATERIAIS PARA CONSTRUCAO E SERVICOS LTDA</t>
  </si>
  <si>
    <t>TELEFONE(S):   (61)99228-8984</t>
  </si>
  <si>
    <t>TOT.DÉBITO: -77,95</t>
  </si>
  <si>
    <t>000000000183A-CC</t>
  </si>
  <si>
    <t>REF. LANC. CREDITO - CLIENTE: 11006576-J A R COMERCIO DE MATERIAIS PARA CONSTRUCAO E SERVICOS LTDA</t>
  </si>
  <si>
    <t>TOT.DÉBITO: 7.517,90</t>
  </si>
  <si>
    <t>000000000975A-CC</t>
  </si>
  <si>
    <t>000000003331A-CC</t>
  </si>
  <si>
    <t>REF. LANC. CREDITO - CLIENTE: 00001626-JAILSON ALVES - PAGTO.PARCIAL - DTA. REC.: 28/02/2026 - VR. ORIGINAL: -275,10 - VR. PAGO: -270,95 - PAGTO.PARCIAL - DTA. REC.: 28/02/2026 - VR. ORIGINAL: -4,15 - VR. PAGO: -4,00</t>
  </si>
  <si>
    <t>TOT.DÉBITO: 608,61</t>
  </si>
  <si>
    <t>00004378-JB LANTERNAGEM E PINTURA</t>
  </si>
  <si>
    <t>TELEFONE(S): (61) 3301-4976  (61) 9215-0727</t>
  </si>
  <si>
    <t>TOT.DÉBITO: 6.130,77</t>
  </si>
  <si>
    <t>001000002295A-AG</t>
  </si>
  <si>
    <t>REF. AGRUPAMENTO Nro. 001000002295 - PARC. 1 / 1 - DOC(S): 000000024691A/000000024765A/000000024796A/000000024797A/000000024819A/000000024823A/000000024889A/000000024950A</t>
  </si>
  <si>
    <t>000000024268C-NF</t>
  </si>
  <si>
    <t>TOT.DÉBITO: -14,98</t>
  </si>
  <si>
    <t>000000002579A-CC</t>
  </si>
  <si>
    <t>TOT.DÉBITO: 1.808,74</t>
  </si>
  <si>
    <t>REFERENTE A FATURAMENTO - PARC. 1/1&lt;&lt;csq&gt;&gt; - PAGTO.PARCIAL - DTA. REC.: 02/01/2026 - VR. ORIGINAL: 1.620,49 - VR. PAGO: 450,00 - PAGTO.PARCIAL - DTA. REC.: 02/03/2026 - VR. ORIGINAL: 1.620,49 - VR. PAGO: 38,65</t>
  </si>
  <si>
    <t>000000000939A-CC</t>
  </si>
  <si>
    <t>11006321-JK SOLUCOES LTDA</t>
  </si>
  <si>
    <t>REF. LANC. CREDITO - CLIENTE: 11006321-JK SOLUCOES LTDA</t>
  </si>
  <si>
    <t>TOT.DÉBITO: 1.622,27</t>
  </si>
  <si>
    <t>000000038414C-NF</t>
  </si>
  <si>
    <t>000000039597B-NF</t>
  </si>
  <si>
    <t>000000039702B-NF</t>
  </si>
  <si>
    <t>TOT.DÉBITO: 20.971,98</t>
  </si>
  <si>
    <t>001000001518C-AG</t>
  </si>
  <si>
    <t>REF. AGRUPAMENTO Nro. 001000001518 - PARC. 3 / 5 - DOC(S): 000000007259A/000000007263A/000000007271A/000000007274A/000000007277A/000000007285A/000000007286A/000000007298A/000000007300A/000000007301A/000000007311A/000000007318A/000000007339A/000000007366A/000000007367A/000000007383A/000000007388A/000000007391A/000000007402A/000000007423A/000000007431A/000000007444A</t>
  </si>
  <si>
    <t>01000208-JOAO BATISTA DOS SANTOS</t>
  </si>
  <si>
    <t>TELEFONE(S):   (61)99906-8670</t>
  </si>
  <si>
    <t>000000002562A-CC</t>
  </si>
  <si>
    <t>REF. LANC. CREDITO - CLIENTE: 01000208-JOAO BATISTA DOS SANTOS</t>
  </si>
  <si>
    <t>00000461-JOAO CARLOS ALVES DOS SANTOS</t>
  </si>
  <si>
    <t>TELEFONE(S): (61) 3353-4119  (61) 8421-3935</t>
  </si>
  <si>
    <t>TOT.DÉBITO: 3.030,92</t>
  </si>
  <si>
    <t>REF. AGRUPAMENTO Nro. 001000001545 - PARC. 1 / 1 - DOC(S): 000000014103A/000000014104A/000000014106A/000000014130A/000000014298A/000000014376A</t>
  </si>
  <si>
    <t>TOT.DÉBITO: 4.154,51</t>
  </si>
  <si>
    <t>000000019913A-IF</t>
  </si>
  <si>
    <t>000000019915A-IF</t>
  </si>
  <si>
    <t>000000019916A-IF</t>
  </si>
  <si>
    <t>000000019912A-IF</t>
  </si>
  <si>
    <t>REFERENTE A FATURAMENTO - PARC. 1/1&lt;&lt;csq&gt;&gt; - PAGTO.PARCIAL - DTA. REC.: 12/02/2026 - VR. ORIGINAL: 548,00 - VR. PAGO: 537,93</t>
  </si>
  <si>
    <t>000000019917A-IF</t>
  </si>
  <si>
    <t>TOT.DÉBITO: 2.153,88</t>
  </si>
  <si>
    <t>001000002209A-AG</t>
  </si>
  <si>
    <t>REF. AGRUPAMENTO Nro. 001000002209 - PARC. 1 / 1 - DOC(S): 000000031791A</t>
  </si>
  <si>
    <t>TOT.DÉBITO: 925,98</t>
  </si>
  <si>
    <t>TOT.DÉBITO: -5,03</t>
  </si>
  <si>
    <t>REF. LANC. CREDITO - CLIENTE: 06000060-JOSÉ MARCOS DA COSTA BARBOSA - PAGTO.PARCIAL - DTA. REC.: 27/02/2026 - VR. ORIGINAL: -20,00 - VR. PAGO: -15,00</t>
  </si>
  <si>
    <t>TOT.DÉBITO: 9.193,82</t>
  </si>
  <si>
    <t>000000000049A-DV</t>
  </si>
  <si>
    <t>REF.DEV.: 000000000049-DV REF.DOC.: 000000008012-FF-022-27/02/2026 - PARC. 1/1&lt;&lt;csq&gt;&gt;</t>
  </si>
  <si>
    <t>TOT.DÉBITO: 4.418,60</t>
  </si>
  <si>
    <t>000000000989A-NF</t>
  </si>
  <si>
    <t>TOT.DÉBITO: 648,50</t>
  </si>
  <si>
    <t>REFERENTE A FATURAMENTO - PARC. 1/1&lt;&lt;csq&gt;&gt; - PAGTO.PARCIAL - DTA. REC.: 05/02/2026 - VR. ORIGINAL: 1.209,90 - VR. PAGO: 200,00 - PAGTO.PARCIAL - DTA. REC.: 12/02/2026 - VR. ORIGINAL: 1.209,90 - VR. PAGO: 200,00 - PAGTO.PARCIAL - DTA. REC.: 20/02/2026 - VR. ORIGINAL: 1.209,90 - VR. PAGO: 200,00 - PAGTO.PARCIAL - DTA. REC.: 26/02/2026 - VR. ORIGINAL: 1.209,90 - VR. PAGO: 200,00</t>
  </si>
  <si>
    <t>000000003337A-CC</t>
  </si>
  <si>
    <t>REF. LANC. CREDITO - CLIENTE: 05000337-JUNIOR'S CAR PINTURAS AUTOMOTIVAS PERSONALIZADAS LTDA - PAGTO.PARCIAL - DTA. REC.: 03/03/2026 - VR. ORIGINAL: -579,09 - VR. PAGO: -577,10</t>
  </si>
  <si>
    <t>TOT.DÉBITO: 165,49</t>
  </si>
  <si>
    <t>REF. LANC. CREDITO - CLIENTE: 80005380-JURANDIR SOUSA BARBOSA DE ARRUDA - PAGTO.PARCIAL - DTA. REC.: 02/03/2026 - VR. ORIGINAL: -47,00 - VR. PAGO: -27,88</t>
  </si>
  <si>
    <t>TOT.DÉBITO: 200,54</t>
  </si>
  <si>
    <t>REFERENTE A FATURAMENTO - PARC. 1/1&lt;&lt;csq&gt;&gt; - PAGTO.PARCIAL - DTA. REC.: 03/02/2026 - VR. ORIGINAL: 601,60 - VR. PAGO: 200,53 - PAGTO.PARCIAL - DTA. REC.: 03/03/2026 - VR. ORIGINAL: 401,07 - VR. PAGO: 190,87 - PAGTO.PARCIAL - DTA. REC.: 03/03/2026 - VR. ORIGINAL: 210,20 - VR. PAGO: 9,66</t>
  </si>
  <si>
    <t>02002704-JVJ ALIMENTOS E BEBIDAS EIRELI</t>
  </si>
  <si>
    <t>TELEFONE(S):   (61) 3326-2589</t>
  </si>
  <si>
    <t>TOT.DÉBITO: 1.954,54</t>
  </si>
  <si>
    <t>000000025274A-NF</t>
  </si>
  <si>
    <t>TOT.DÉBITO: 14.197,15</t>
  </si>
  <si>
    <t>80006667-KLM CONSTRUTORA SERVICOS E COMERCIO LTDA</t>
  </si>
  <si>
    <t>TOT.DÉBITO: -45,43</t>
  </si>
  <si>
    <t>000000000997A-NF</t>
  </si>
  <si>
    <t>REF.DEV.: 000000000997-NF REF.DOC.: 000000000908-NF-024-10/02/2026 - PARC. 1/1&lt;&lt;csq&gt;&gt; - PAGTO.PARCIAL - DTA. REC.: 03/03/2026 - VR. ORIGINAL: -662,22 - VR. PAGO: -616,79</t>
  </si>
  <si>
    <t>REF. AGRUPAMENTO Nro. 001000001514 - PARC. 2 / 3 - DOC(S): 000000013445A/000000013468A/000000013473A/000000013481A/000000013504A/000000013516A/000000013527A/000000013551A/000000013567A/000000013568A/000000013655A/000000013659A/000000013673A/000000013680A</t>
  </si>
  <si>
    <t>001000001473E-AG</t>
  </si>
  <si>
    <t>REF. AGRUPAMENTO Nro. 001000001473 - PARC. 5 / 5 - DOC(S): 000000012311A/000000012381A/000000012382A/000000012387A/000000012413A/000000012416A/000000012428A/000000012429A/000000012467A/000000012521A/000000012523A/000000012525A/000000012540A/000000012542A/000000012557A/000000012560A/000000012562A/000000012593A/000000012597A/000000012609A/000000012620A/000000012621A/000000012650A/000000012673A/000000012705A/000000012706A</t>
  </si>
  <si>
    <t>001000001499C-AG</t>
  </si>
  <si>
    <t>REF. AGRUPAMENTO Nro. 001000001499 - PARC. 3 / 3 - DOC(S): 000000013092A/000000013095A/000000013116A/000000013143A/000000013149A/000000013151A/000000013154A/000000013157A/000000013158A/000000013160A/000000013181A/000000013202A/000000013214A/000000013243A/000000013263A/000000013295A/000000013296A/000000013300A/000000013311A/000000013316A/000000013324A/000000013325A/000000013326A/000000013351A/000000013359A/000000013360A/000000013388A/000000013394A/000000013399A/000000013431A/000000013434A</t>
  </si>
  <si>
    <t>TOT.DÉBITO: 111,25</t>
  </si>
  <si>
    <t>000000002740A-CC</t>
  </si>
  <si>
    <t>LANC. CRED. REF. A  - PAGTO.PARCIAL - DTA. REC.: 26/02/2026 - VR. ORIGINAL: -1.300,00 - VR. PAGO: -1.187,25</t>
  </si>
  <si>
    <t>80006184-KURUMA VEICULOS LTDA</t>
  </si>
  <si>
    <t xml:space="preserve">TELEFONE(S): (61) 2123-7736  </t>
  </si>
  <si>
    <t>TOT.DÉBITO: 302,26</t>
  </si>
  <si>
    <t>000000003826A-NF</t>
  </si>
  <si>
    <t>TOT.DÉBITO: 1.197,58</t>
  </si>
  <si>
    <t>000000028889A-IF</t>
  </si>
  <si>
    <t>000000028899A-IF</t>
  </si>
  <si>
    <t>000000028902A-IF</t>
  </si>
  <si>
    <t>000000002739A-CC</t>
  </si>
  <si>
    <t>LANC. CRED. REF. A  - PAGTO.PARCIAL - DTA. REC.: 26/02/2026 - VR. ORIGINAL: -400,00 - VR. PAGO: -399,58</t>
  </si>
  <si>
    <t>TOT.DÉBITO: 2.636,99</t>
  </si>
  <si>
    <t>000000038704C-NF</t>
  </si>
  <si>
    <t>000000039625B-NF</t>
  </si>
  <si>
    <t>000000040575A-NF</t>
  </si>
  <si>
    <t>000000038906C-NF</t>
  </si>
  <si>
    <t>000000039660B-NF</t>
  </si>
  <si>
    <t>TOT.DÉBITO: 2.170,83</t>
  </si>
  <si>
    <t>000000019740A-IF</t>
  </si>
  <si>
    <t>TOT.DÉBITO: 16.657,00</t>
  </si>
  <si>
    <t>REF. AGRUPAMENTO Nro. 001000001543 - PARC. 1 / 3 - DOC(S): 000000007324A/000000007327A/000000007329A/000000007337A/000000007343A/000000007365A/000000007397A/000000007426A/000000007432A/000000007434A</t>
  </si>
  <si>
    <t>001000001522C-AG</t>
  </si>
  <si>
    <t>REF. AGRUPAMENTO Nro. 001000001522 - PARC. 3 / 6 - DOC(S): 000000007458A/000000007461A</t>
  </si>
  <si>
    <t>80005162-LEANDRO HENRIQUE SANTOS</t>
  </si>
  <si>
    <t>TOT.DÉBITO: -1,72</t>
  </si>
  <si>
    <t>000000000937A-CC</t>
  </si>
  <si>
    <t>LANC. CRED. REF. A  - PAGTO.PARCIAL - DTA. REC.: 27/02/2026 - VR. ORIGINAL: -100,00 - VR. PAGO: -74,78 - PAGTO.PARCIAL - DTA. REC.: 03/03/2026 - VR. ORIGINAL: -25,22 - VR. PAGO: -23,50</t>
  </si>
  <si>
    <t>TOT.DÉBITO: 1.985,50</t>
  </si>
  <si>
    <t>TOT.DÉBITO: 255,09</t>
  </si>
  <si>
    <t>LANC. CRED. REF. A  - PAGTO.PARCIAL - DTA. REC.: 23/02/2026 - VR. ORIGINAL: -590,00 - VR. PAGO: -400,09</t>
  </si>
  <si>
    <t>TOT.DÉBITO: 493,06</t>
  </si>
  <si>
    <t>000000002742A-CC</t>
  </si>
  <si>
    <t>LANC. CRED. REF. A  - PAGTO.PARCIAL - DTA. REC.: 27/02/2026 - VR. ORIGINAL: -1.156,00 - VR. PAGO: -1.155,90</t>
  </si>
  <si>
    <t>TOT.DÉBITO: 6.899,92</t>
  </si>
  <si>
    <t>000000040215A-NF</t>
  </si>
  <si>
    <t>TOT.DÉBITO: 16,00</t>
  </si>
  <si>
    <t>TOT.DÉBITO: 287,00</t>
  </si>
  <si>
    <t>80006689-LINE TOLDOS LTDA</t>
  </si>
  <si>
    <t xml:space="preserve">TELEFONE(S): (61)99660-6464  </t>
  </si>
  <si>
    <t>TOT.DÉBITO: -805,00</t>
  </si>
  <si>
    <t>000000002553A-CC</t>
  </si>
  <si>
    <t>TOT.DÉBITO: 133.214,56</t>
  </si>
  <si>
    <t>000000031513C-NF</t>
  </si>
  <si>
    <t>000000031514C-NF</t>
  </si>
  <si>
    <t>000000031515C-NF</t>
  </si>
  <si>
    <t>000000031849A-NF</t>
  </si>
  <si>
    <t>000000031851A-NF</t>
  </si>
  <si>
    <t>000000031858A-NF</t>
  </si>
  <si>
    <t>000000031567C-NF</t>
  </si>
  <si>
    <t>000000031568C-NF</t>
  </si>
  <si>
    <t>TOT.DÉBITO: 347,45</t>
  </si>
  <si>
    <t>TOT.DÉBITO: 880,99</t>
  </si>
  <si>
    <t>TOT.DÉBITO: 8.815,62</t>
  </si>
  <si>
    <t>LANC. CRED. REF. A  - PAGTO.PARCIAL - DTA. REC.: 05/02/2026 - VR. ORIGINAL: -3.500,00 - VR. PAGO: -2.979,90 - PAGTO.PARCIAL - DTA. REC.: 07/02/2026 - VR. ORIGINAL: -520,10 - VR. PAGO: -72,00 - PAGTO.PARCIAL - DTA. REC.: 13/02/2026 - VR. ORIGINAL: -448,10 - VR. PAGO: -150,00 - PAGTO.PARCIAL - DTA. REC.: 20/02/2026 - VR. ORIGINAL: -298,10 - VR. PAGO: -94,00 - PAGTO.PARCIAL - DTA. REC.: 24/02/2026 - VR. ORIGINAL: -204,10 - VR. PAGO: -132,00 - PAGTO.PARCIAL - DTA. REC.: 24/02/2026 - VR. ORIGINAL: -72,10 - VR. PAGO: -72,00</t>
  </si>
  <si>
    <t>TOT.DÉBITO: 2.936,72</t>
  </si>
  <si>
    <t>REFERENTE A FATURAMENTO - PARC. 1/1&lt;&lt;csq&gt;&gt; - PAGTO.PARCIAL - DTA. REC.: 27/09/2025 - VR. ORIGINAL: 3.049,31 - VR. PAGO: 218,54 - PAGTO.PARCIAL - DTA. REC.: 30/10/2025 - VR. ORIGINAL: 3.049,31 - VR. PAGO: 662,34 - PAGTO.PARCIAL - DTA. REC.: 19/02/2026 - VR. ORIGINAL: 3.049,31 - VR. PAGO: 930,00 - PAGTO.PARCIAL - DTA. REC.: 03/03/2026 - VR. ORIGINAL: 3.049,31 - VR. PAGO: 880,00</t>
  </si>
  <si>
    <t>TOT.DÉBITO: 1.051,45</t>
  </si>
  <si>
    <t>000000002564A-CC</t>
  </si>
  <si>
    <t>000000002582A-CC</t>
  </si>
  <si>
    <t>80005285-LUIZ FELIPE DE FREITAS SILVA</t>
  </si>
  <si>
    <t xml:space="preserve">TELEFONE(S):  (61)99848-5075 </t>
  </si>
  <si>
    <t>TOT.DÉBITO: 180,00</t>
  </si>
  <si>
    <t>REF. LANC. CREDITO - CLIENTE: 80005285-LUIZ FELIPE DE FREITAS SILVA</t>
  </si>
  <si>
    <t>TOT.DÉBITO: 377,40</t>
  </si>
  <si>
    <t>TOT.DÉBITO: 1.141,16</t>
  </si>
  <si>
    <t>000000002552A-CC</t>
  </si>
  <si>
    <t>LANC. CRED. REF. A  - PAGTO.PARCIAL - DTA. REC.: 19/02/2026 - VR. ORIGINAL: -855,00 - VR. PAGO: -836,24</t>
  </si>
  <si>
    <t>TOT.DÉBITO: 4.519,97</t>
  </si>
  <si>
    <t>000000001087A-AG</t>
  </si>
  <si>
    <t>REF. AGRUPAMENTO Nro. 000000001087 - PARC. 1 / 1 - DOC(S): 000000006835A/000000006853A/000000006866A/000000006867A/000000006872A/000000006877A/000000006879A/000000006885A/000000006889A/000000006894A/000000006898A/000000006904A/000000006913A/000000006916A/000000006931A/000000006933A - PAGTO.PARCIAL - DTA. REC.: 25/02/2026 - VR. ORIGINAL: 1.268,48 - VR. PAGO: 62,51</t>
  </si>
  <si>
    <t>00000971-M&amp;A LANTERNAGEM E PINTURA</t>
  </si>
  <si>
    <t xml:space="preserve">TELEFONE(S):  (61) 3373-3383 </t>
  </si>
  <si>
    <t>TOT.DÉBITO: 3.712,20</t>
  </si>
  <si>
    <t>000000009237A-NF</t>
  </si>
  <si>
    <t>000000009240A-NF</t>
  </si>
  <si>
    <t>11005285-MACCAN ATACADISTA DE TINTAS AUTOMOTIVAS LTDA</t>
  </si>
  <si>
    <t>TOT.DÉBITO: 5.861,88</t>
  </si>
  <si>
    <t>000000038954C-NF</t>
  </si>
  <si>
    <t>TOT.DÉBITO: 13.790,73</t>
  </si>
  <si>
    <t>000000041200A-NF</t>
  </si>
  <si>
    <t>000000041482A-NF</t>
  </si>
  <si>
    <t>TOT.DÉBITO: 102,61</t>
  </si>
  <si>
    <t>REF. LANC. CREDITO - CLIENTE: 00001998-MARCELO HENRIQUE DE PAIVA - ME - PAGTO.PARCIAL - DTA. REC.: 20/02/2026 - VR. ORIGINAL: -1.248,63 - VR. PAGO: -370,57</t>
  </si>
  <si>
    <t>TOT.DÉBITO: 61,21</t>
  </si>
  <si>
    <t>001000002296A-AG</t>
  </si>
  <si>
    <t>REF. AGRUPAMENTO Nro. 001000002296 - PARC. 1 / 1 - DOC(S): 000000024906A</t>
  </si>
  <si>
    <t>TOT.DÉBITO: 63,60</t>
  </si>
  <si>
    <t>TOT.DÉBITO: 612,90</t>
  </si>
  <si>
    <t>000000043736A-IF</t>
  </si>
  <si>
    <t>REFERENTE A FATURAMENTO - PARC. 1/1&lt;&lt;csq&gt;&gt; - PAGTO.PARCIAL - DTA. REC.: 19/02/2026 - VR. ORIGINAL: 1.402,90 - VR. PAGO: 790,00</t>
  </si>
  <si>
    <t>11004863-MARCOS ROBERTO PEREIRA DE FARIA EIRELI</t>
  </si>
  <si>
    <t>TOT.DÉBITO: 601,58</t>
  </si>
  <si>
    <t>000000041506A-NF</t>
  </si>
  <si>
    <t>11005086-MARIA FERNANDA MORAIS DE ARAUJO</t>
  </si>
  <si>
    <t xml:space="preserve">TELEFONE(S):  (61) 9378-0538 </t>
  </si>
  <si>
    <t>TOT.DÉBITO: 2.937,27</t>
  </si>
  <si>
    <t>000000039651B-NF</t>
  </si>
  <si>
    <t>80006400-MARIA WITHALINA CUNHA DE SOUZA</t>
  </si>
  <si>
    <t>TELEFONE(S):   (86)99596-1729</t>
  </si>
  <si>
    <t>TOT.DÉBITO: 144,35</t>
  </si>
  <si>
    <t>000000002735A-CC</t>
  </si>
  <si>
    <t>REF. LANC. CREDITO - CLIENTE: 80006400-MARIA WITHALINA CUNHA DE SOUZA</t>
  </si>
  <si>
    <t>000000002741A-CC</t>
  </si>
  <si>
    <t>80005152-MARINA OLIVEIRA SOMMER</t>
  </si>
  <si>
    <t xml:space="preserve">TELEFONE(S): (61)99679-0022  </t>
  </si>
  <si>
    <t>TOT.DÉBITO: 2.170,17</t>
  </si>
  <si>
    <t>000000000918A-NF</t>
  </si>
  <si>
    <t>TOT.DÉBITO: 5.462,60</t>
  </si>
  <si>
    <t>REFERENTE A FATURAMENTO - PARC. 1/1&lt;&lt;csq&gt;&gt; - PAGTO.PARCIAL - DTA. REC.: 29/12/2025 - VR. ORIGINAL: 6.850,00 - VR. PAGO: 1.000,00 - PAGTO.PARCIAL - DTA. REC.: 02/02/2026 - VR. ORIGINAL: 6.850,00 - VR. PAGO: 1.000,00 - PAGTO.PARCIAL - DTA. REC.: 09/02/2026 - VR. ORIGINAL: 6.850,00 - VR. PAGO: 693,69 - PAGTO.PARCIAL - DTA. REC.: 24/02/2026 - VR. ORIGINAL: 6.850,00 - VR. PAGO: 769,38</t>
  </si>
  <si>
    <t>000000043589A-IF</t>
  </si>
  <si>
    <t>000000043575A-IF</t>
  </si>
  <si>
    <t>REFERENTE A FATURAMENTO - PARC. 1/1&lt;&lt;csq&gt;&gt; - PAGTO.PARCIAL - DTA. REC.: 03/03/2026 - VR. ORIGINAL: 1.244,21 - VR. PAGO: 319,71</t>
  </si>
  <si>
    <t>000000043624A-IF</t>
  </si>
  <si>
    <t>000000043626A-IF</t>
  </si>
  <si>
    <t>TOT.DÉBITO: 2.375,50</t>
  </si>
  <si>
    <t>11005097-MASTER SERVICE LTDA</t>
  </si>
  <si>
    <t>TELEFONE(S): (61) 9178-9386  (62)99322-9984</t>
  </si>
  <si>
    <t>TOT.DÉBITO: 841,73</t>
  </si>
  <si>
    <t>000000038854C-NF</t>
  </si>
  <si>
    <t>00000506-MD TINTAS LTDA</t>
  </si>
  <si>
    <t>TELEFONE(S): (61) 3084-9999  (61) 8401-1009</t>
  </si>
  <si>
    <t>TOT.DÉBITO: 660,20</t>
  </si>
  <si>
    <t>000000000185A-CC</t>
  </si>
  <si>
    <t>REF. LANC. CREDITO - CLIENTE: 00000506-MD TINTAS LTDA</t>
  </si>
  <si>
    <t>000000000187A-CC</t>
  </si>
  <si>
    <t>80006613-MIDNIGHT RACING CAR TEAM LTDA</t>
  </si>
  <si>
    <t>TELEFONE(S):   (61)98285-7286</t>
  </si>
  <si>
    <t>TOT.DÉBITO: 4.885,28</t>
  </si>
  <si>
    <t>000000003794A-NF</t>
  </si>
  <si>
    <t>TOT.DÉBITO: 9.819,56</t>
  </si>
  <si>
    <t>TOT.DÉBITO: 2.525,17</t>
  </si>
  <si>
    <t>000000040064A-NF</t>
  </si>
  <si>
    <t>TOT.DÉBITO: 211,75</t>
  </si>
  <si>
    <t>000000003557C-NF</t>
  </si>
  <si>
    <t>000000003558C-NF</t>
  </si>
  <si>
    <t>000000001552A-NF</t>
  </si>
  <si>
    <t>REF.DEV.: 000000001552-NF REF.DOC.: 000000022246-IF-016-02/03/2026 - PARC. 1/1&lt;&lt;csq&gt;&gt; - PAGTO.PARCIAL - DTA. REC.: 03/03/2026 - VR. ORIGINAL: -144,54 - VR. PAGO: -144,22</t>
  </si>
  <si>
    <t>02001256-MS2 PART E EMPREED LTDA</t>
  </si>
  <si>
    <t xml:space="preserve">TELEFONE(S): (61) 3328-0031  </t>
  </si>
  <si>
    <t>TOT.DÉBITO: 3.320,00</t>
  </si>
  <si>
    <t>000000024961A-NF</t>
  </si>
  <si>
    <t>TOT.DÉBITO: 2.782,40</t>
  </si>
  <si>
    <t>000000000861A-NF</t>
  </si>
  <si>
    <t>TOT.DÉBITO: 5.398,03</t>
  </si>
  <si>
    <t>00000547-NEIDE BRAZ DE QUEIROZ RIBEIRO ME</t>
  </si>
  <si>
    <t>TELEFONE(S): (61) 3181-0047  (61)99994-6606</t>
  </si>
  <si>
    <t>LIM.CRÉDITO: 13,00</t>
  </si>
  <si>
    <t>TOT.DÉBITO: 300,75</t>
  </si>
  <si>
    <t>000000041474A-NF</t>
  </si>
  <si>
    <t>TOT.DÉBITO: 1.624,53</t>
  </si>
  <si>
    <t>REF. LANC. CREDITO - CLIENTE: 02001787-NEM CENTRO AUTOMOTIVO - PAGTO.PARCIAL - DTA. REC.: 12/02/2026 - VR. ORIGINAL: -5,04 - VR. PAGO: -0,40</t>
  </si>
  <si>
    <t>000000024951A-NF</t>
  </si>
  <si>
    <t>000000024952A-NF</t>
  </si>
  <si>
    <t>000000024334C-NF</t>
  </si>
  <si>
    <t>TOT.DÉBITO: -199,20</t>
  </si>
  <si>
    <t>REF.DEV.: 000000014866-NF REF.DOC.: 000000054599-IF-006-11/11/2025 - PARC. 1/1&lt;&lt;csq&gt;&gt; - PAGTO.PARCIAL - DTA. REC.: 17/11/2025 - VR. ORIGINAL: -356,32 - VR. PAGO: -135,76 &lt;&lt;csq&gt;&gt; - DUPLICATA ESTORNADA: 17/11/2025 000000014866A - SEQ: 1 - ESP: NF - EMP: 006 - DTA. REC.: 17/11/2025 - VR. REC.: -135,76 - PAGTO.PARCIAL - DTA. REC.: 27/11/2025 - VR. ORIGINAL: -356,32 - VR. PAGO: -131,13 &lt;&lt;csq&gt;&gt; - DUPLICATA ESTORNADA: 27/11/2025 000000014866A - SEQ: 1 - ESP: NF - EMP: 006 - DTA. REC.: 27/11/2025 - VR. REC.: -131,13 - PAGTO.PARCIAL - DTA. REC.: 27/11/2025 - VR. ORIGINAL: -356,32 - VR. PAGO: -131,13 - PAGTO.PARCIAL - DTA. REC.: 28/11/2025 - VR. ORIGINAL: -225,19 - VR. PAGO: -127,90 &lt;&lt;csq&gt;&gt; - DUPLICATA ESTORNADA: 29/11/2025 000000014866A - SEQ: 2 - ESP: NF - EMP: 006 - DTA. REC.: 28/11/2025 - VR. REC.: -127,90 - PAGTO.PARCIAL - DTA. REC.: 13/02/2026 - VR. ORIGINAL: -225,19 - VR. PAGO: -35,00</t>
  </si>
  <si>
    <t>TOT.DÉBITO: 471,95</t>
  </si>
  <si>
    <t>TOT.DÉBITO: -18,50</t>
  </si>
  <si>
    <t>000000000942A-CC</t>
  </si>
  <si>
    <t>80006333-NILSON PAULINO GUSMÃO</t>
  </si>
  <si>
    <t>TELEFONE(S): (61)98590-2176  (61)98590-2176</t>
  </si>
  <si>
    <t>TOT.DÉBITO: -30,00</t>
  </si>
  <si>
    <t>000000015097A-NF</t>
  </si>
  <si>
    <t>REF.DEV.: 000000015097-NF REF.DOC.: 000000055540-IF-006-13/02/2026 - PARC. 1/1&lt;&lt;csq&gt;&gt;</t>
  </si>
  <si>
    <t>00000446-NILTON JOSE DOS REIS ME</t>
  </si>
  <si>
    <t xml:space="preserve">TELEFONE(S): (61) 3335-1032  </t>
  </si>
  <si>
    <t>TOT.DÉBITO: 863,47</t>
  </si>
  <si>
    <t>000000041501A-NF</t>
  </si>
  <si>
    <t>80006241-NOVAIS SOLUÇÕES VISUAIS</t>
  </si>
  <si>
    <t xml:space="preserve">TELEFONE(S): (61)98602-4266  </t>
  </si>
  <si>
    <t>TOT.DÉBITO: 1.035,70</t>
  </si>
  <si>
    <t>000000003814A-NF</t>
  </si>
  <si>
    <t>TOT.DÉBITO: 404,61</t>
  </si>
  <si>
    <t>TOT.DÉBITO: 6.401,57</t>
  </si>
  <si>
    <t>TOT.DÉBITO: 826,87</t>
  </si>
  <si>
    <t>001000002298A-AG</t>
  </si>
  <si>
    <t>REF. AGRUPAMENTO Nro. 001000002298 - PARC. 1 / 1 - DOC(S): 000000016387A/000000016541A</t>
  </si>
  <si>
    <t>TOT.DÉBITO: -352,32</t>
  </si>
  <si>
    <t>REF.DEV.: 000000038141-NF REF.DOC.: 000000037960-NF-009-04/11/2025 - PARC. 1/1&lt;&lt;csq&gt;&gt; - PAGTO.PARCIAL - DTA. REC.: 11/11/2025 - VR. ORIGINAL: -1.194,25 - VR. PAGO: -160,12 - PAGTO.PARCIAL - DTA. REC.: 18/11/2025 - VR. ORIGINAL: -1.034,13 - VR. PAGO: -251,81 - PAGTO.PARCIAL - DTA. REC.: 11/12/2025 - VR. ORIGINAL: -782,32 - VR. PAGO: -107,03 - PAGTO.PARCIAL - DTA. REC.: 12/02/2026 - VR. ORIGINAL: -675,29 - VR. PAGO: -100,54 - PAGTO.PARCIAL - DTA. REC.: 24/02/2026 - VR. ORIGINAL: -574,75 - VR. PAGO: -222,43</t>
  </si>
  <si>
    <t>06000196-OSMIRIO PINTO COELHO</t>
  </si>
  <si>
    <t>TELEFONE(S):  (61)99659-1020 (61) 3556-7758</t>
  </si>
  <si>
    <t>TOT.DÉBITO: 4.797,14</t>
  </si>
  <si>
    <t>001000001267A-AG</t>
  </si>
  <si>
    <t>REF. AGRUPAMENTO Nro. 001000001267 - PARC. 1 / 1 - DOC(S): 000000014988A/000000014989A/000000014996A/000000014999A/000000015010A/000000015015A/000000015017A/000000015025A/000000015040A/000000015047A</t>
  </si>
  <si>
    <t>TOT.DÉBITO: 1.862,99</t>
  </si>
  <si>
    <t>REF. AGRUPAMENTO Nro. 001000002200 - PARC. 1 / 1 - DOC(S): 000000031508A - PAGTO.PARCIAL - DTA. REC.: 13/02/2026 - VR. ORIGINAL: 2.473,93 - VR. PAGO: 610,94</t>
  </si>
  <si>
    <t>TOT.DÉBITO: 54.482,53</t>
  </si>
  <si>
    <t>000000041546A-NF</t>
  </si>
  <si>
    <t>REF.DEV.: 000000041546-NF REF.DOC.: 000000041452-NF-009-27/02/2026 - PARC. 1/1&lt;&lt;csq&gt;&gt;</t>
  </si>
  <si>
    <t>TOT.DÉBITO: -15,97</t>
  </si>
  <si>
    <t>000000000968A-CC</t>
  </si>
  <si>
    <t>LANC. CRED. REF. A  - PAGTO.PARCIAL - DTA. REC.: 02/03/2026 - VR. ORIGINAL: -32,90 - VR. PAGO: -16,93</t>
  </si>
  <si>
    <t>TOT.DÉBITO: 247,02</t>
  </si>
  <si>
    <t>TOT.DÉBITO: -175,65</t>
  </si>
  <si>
    <t>000000000969A-CC</t>
  </si>
  <si>
    <t>000000000963A-CC</t>
  </si>
  <si>
    <t>REF. LANC. CREDITO - CLIENTE: 80004956-PAULO AUGUSTO DO CORAÇAO DE JESUS - PAGTO.PARCIAL - DTA. REC.: 02/03/2026 - VR. ORIGINAL: -126,65 - VR. PAGO: -29,00 - PAGTO.PARCIAL - DTA. REC.: 03/03/2026 - VR. ORIGINAL: -97,65 - VR. PAGO: -4,00</t>
  </si>
  <si>
    <t>TOT.DÉBITO: -14,62</t>
  </si>
  <si>
    <t>80005967-PAULO P22</t>
  </si>
  <si>
    <t xml:space="preserve">TELEFONE(S): (61)99862-3792  </t>
  </si>
  <si>
    <t>TOT.DÉBITO: 466,30</t>
  </si>
  <si>
    <t>REF. LANC. CREDITO - CLIENTE: 80005967-PAULO P22</t>
  </si>
  <si>
    <t>000000007719A-IF</t>
  </si>
  <si>
    <t>000000007749A-IF</t>
  </si>
  <si>
    <t>000000007895A-IF</t>
  </si>
  <si>
    <t>05000404-PEDRO LEAL DOS SANTOS JUNIOR</t>
  </si>
  <si>
    <t xml:space="preserve">TELEFONE(S):  (61)99429-1685 </t>
  </si>
  <si>
    <t>TOT.DÉBITO: 49,84</t>
  </si>
  <si>
    <t>000000003326A-CC</t>
  </si>
  <si>
    <t>REF. LANC. CREDITO - CLIENTE: 05000404-PEDRO LEAL DOS SANTOS JUNIOR</t>
  </si>
  <si>
    <t>000000044000A-IF</t>
  </si>
  <si>
    <t>02002142-PINCEL PRINT COMUNICACAO LTDA</t>
  </si>
  <si>
    <t>TOT.DÉBITO: 358,02</t>
  </si>
  <si>
    <t>000000024918A-NF</t>
  </si>
  <si>
    <t>TOT.DÉBITO: 9.494,21</t>
  </si>
  <si>
    <t>TOT.DÉBITO: 19.895,26</t>
  </si>
  <si>
    <t>TOT.DÉBITO: 7.921,09</t>
  </si>
  <si>
    <t>000000002592A-NS</t>
  </si>
  <si>
    <t>TOT.DÉBITO: 77.171,08</t>
  </si>
  <si>
    <t>000000002612A-NS</t>
  </si>
  <si>
    <t>TOT.DÉBITO: 72.847,19</t>
  </si>
  <si>
    <t>000000002584A-NS</t>
  </si>
  <si>
    <t>TOT.DÉBITO: -715,59</t>
  </si>
  <si>
    <t>LANC. CRED. REF. A  - PAGTO.PARCIAL - DTA. REC.: 30/09/2025 - VR. ORIGINAL: -1.400,00 - VR. PAGO: -415,20 - PAGTO.PARCIAL - DTA. REC.: 02/12/2025 - VR. ORIGINAL: -984,80 - VR. PAGO: -83,81 - PAGTO.PARCIAL - DTA. REC.: 30/01/2026 - VR. ORIGINAL: -900,99 - VR. PAGO: -83,62 - PAGTO.PARCIAL - DTA. REC.: 05/02/2026 - VR. ORIGINAL: -817,37 - VR. PAGO: -43,78 - PAGTO.PARCIAL - DTA. REC.: 24/02/2026 - VR. ORIGINAL: -773,59 - VR. PAGO: -58,00</t>
  </si>
  <si>
    <t>11005726-R O DA SILVA ERCO TINTAS E MATERIAIS DE CONSTRUCAO</t>
  </si>
  <si>
    <t>TOT.DÉBITO: 34,60</t>
  </si>
  <si>
    <t>000000041476A-NF</t>
  </si>
  <si>
    <t>TOT.DÉBITO: 1.558,24</t>
  </si>
  <si>
    <t>000000038667C-NF</t>
  </si>
  <si>
    <t>TOT.DÉBITO: 5.859,61</t>
  </si>
  <si>
    <t>05000593-RAFAEL OLIVEIRA BORGES</t>
  </si>
  <si>
    <t xml:space="preserve">TELEFONE(S):  (61)99121-4622 </t>
  </si>
  <si>
    <t>TOT.DÉBITO: 852,55</t>
  </si>
  <si>
    <t>000000043453A-IF</t>
  </si>
  <si>
    <t>000000043731A-IF</t>
  </si>
  <si>
    <t>TOT.DÉBITO: 3.645,80</t>
  </si>
  <si>
    <t>000000001370A-CC</t>
  </si>
  <si>
    <t>TOT.DÉBITO: 8.288,28</t>
  </si>
  <si>
    <t>000000020298A-IF</t>
  </si>
  <si>
    <t>REFERENTE A FATURAMENTO - PARC. 1/1&lt;&lt;csq&gt;&gt; - PAGTO.PARCIAL - DTA. REC.: 27/02/2026 - VR. ORIGINAL: 2.762,70 - VR. PAGO: 1.974,42</t>
  </si>
  <si>
    <t>TOT.DÉBITO: 1.314,10</t>
  </si>
  <si>
    <t>000000039546B-NF</t>
  </si>
  <si>
    <t>000000038874C-NF</t>
  </si>
  <si>
    <t>TOT.DÉBITO: -43,40</t>
  </si>
  <si>
    <t>REF. LANC. CREDITO - CLIENTE: 04000174-RENNAN CARLOS TOLEDO PINHEIRO - PAGTO.PARCIAL - DTA. REC.: 17/07/2025 - VR. ORIGINAL: -2,00 - VR. PAGO: -0,90 - PAGTO.PARCIAL - DTA. REC.: 26/02/2026 - VR. ORIGINAL: -1,10 - VR. PAGO: -1,03</t>
  </si>
  <si>
    <t>00004462-RENOVACAR LANTERNAGEM E PINTURA LTDA ME</t>
  </si>
  <si>
    <t>TOT.DÉBITO: 4.556,11</t>
  </si>
  <si>
    <t>001000001548A-AG</t>
  </si>
  <si>
    <t>REF. AGRUPAMENTO Nro. 001000001548 - PARC. 1 / 1 - DOC(S): 000000014090A/000000014091A/000000014111A/000000014113A/000000014117A/000000014151A/000000014200A/000000014234A/000000014240A/000000014260A/000000014301A/000000014335A/000000014349A/000000014360A - PAGTO.PARCIAL - DTA. REC.: 09/02/2026 - VR. ORIGINAL: 1.702,13 - VR. PAGO: 550,00 - PAGTO.PARCIAL - DTA. REC.: 09/02/2026 - VR. ORIGINAL: 1.702,13 - VR. PAGO: 500,00</t>
  </si>
  <si>
    <t>TOT.DÉBITO: 90.543,18</t>
  </si>
  <si>
    <t>000000007340A-IF</t>
  </si>
  <si>
    <t>000000007346A-IF</t>
  </si>
  <si>
    <t>000000007382A-IF</t>
  </si>
  <si>
    <t>000000007400A-IF</t>
  </si>
  <si>
    <t>000000007433A-IF</t>
  </si>
  <si>
    <t>000000007469A-IF</t>
  </si>
  <si>
    <t>000000007536A-IF</t>
  </si>
  <si>
    <t>000000007574A-IF</t>
  </si>
  <si>
    <t>000000007591A-IF</t>
  </si>
  <si>
    <t>000000007625A-IF</t>
  </si>
  <si>
    <t>000000000934A-CC</t>
  </si>
  <si>
    <t>LANC. CRED. REF. A  - PAGTO.PARCIAL - DTA. REC.: 23/02/2026 - VR. ORIGINAL: -5.000,00 - VR. PAGO: -4.979,43</t>
  </si>
  <si>
    <t>000000007682A-IF</t>
  </si>
  <si>
    <t>000000007702A-IF</t>
  </si>
  <si>
    <t>000000007713A-IF</t>
  </si>
  <si>
    <t>000000007722A-IF</t>
  </si>
  <si>
    <t>000000007766A-IF</t>
  </si>
  <si>
    <t>000000007772A-IF</t>
  </si>
  <si>
    <t>000000007791A-IF</t>
  </si>
  <si>
    <t>000000007830A-IF</t>
  </si>
  <si>
    <t>000000007874A-IF</t>
  </si>
  <si>
    <t>000000007896A-IF</t>
  </si>
  <si>
    <t>000000007927A-IF</t>
  </si>
  <si>
    <t>000000007946A-IF</t>
  </si>
  <si>
    <t>TOT.DÉBITO: 78.332,89</t>
  </si>
  <si>
    <t>REF. AGRUPAMENTO Nro. 001000002180 - PARC. 2 / 3 - DOC(S): 000000021264A/000000020906A/000000020937A/000000020950A/000000020951A/000000020953A/000000021007A/000000021031A/000000021046A/000000021047A/000000021048A/000000021049A/000000021050A/000000021067A/000000021098A/000000021110A/000000021111A/000000021118A/000000021127A/000000021129A - PAGTO.PARCIAL - DTA. REC.: 06/01/2026 - VR. ORIGINAL: 5.211,00 - VR. PAGO: 2.378,05 - PAGTO.PARCIAL - DTA. REC.: 11/02/2026 - VR. ORIGINAL: 5.211,00 - VR. PAGO: 2.747,54 &lt;&lt;csq&gt;&gt; - DUPLICATA ESTORNADA: 12/02/2026 001000002180B - SEQ: 2 - ESP: AG - EMP: 014 - DTA. REC.: 11/02/2026 - VR. REC.: 2.747,54</t>
  </si>
  <si>
    <t>000000025164A-NF</t>
  </si>
  <si>
    <t>001000002285A-AG</t>
  </si>
  <si>
    <t>REF. AGRUPAMENTO Nro. 001000002285 - PARC. 1 / 1 - DOC(S): 000000024304A/000000024312A/000000024346A/000000024348A/000000024365A/000000024450A/000000024452A/000000024460A/000000024570A/000000024583A</t>
  </si>
  <si>
    <t>TOT.DÉBITO: 21.758,75</t>
  </si>
  <si>
    <t>000000011676A-NF</t>
  </si>
  <si>
    <t>000000025110A-NF</t>
  </si>
  <si>
    <t>TOT.DÉBITO: 8.840,80</t>
  </si>
  <si>
    <t>000000001089A-AG</t>
  </si>
  <si>
    <t>REF. AGRUPAMENTO Nro. 000000001089 - PARC. 1 / 1 - DOC(S): 000000018900A/000000018914A/000000018915A/000000018918A/000000018927A/000000018936A/000000018940A/000000018955A/000000018960A/000000018981A/000000018997A/000000018998A/000000018999A/000000019019A/000000019020A/000000019023A/000000019027A/000000019040A/000000019046A/000000019072A/000000019073A/000000019079A/000000019089A/000000019093A</t>
  </si>
  <si>
    <t>11004997-RICARDO DE SOUZA O. MACARIO</t>
  </si>
  <si>
    <t>TOT.DÉBITO: 516,54</t>
  </si>
  <si>
    <t>000000000191A-CC</t>
  </si>
  <si>
    <t>REF. LANC. CREDITO - CLIENTE: 11004997-RICARDO DE SOUZA O. MACARIO</t>
  </si>
  <si>
    <t>TOT.DÉBITO: 1.355,09</t>
  </si>
  <si>
    <t>000000041279A-NF</t>
  </si>
  <si>
    <t>REF.DEV.: 000000041279-NF REF.DOC.: 000000041239-NF-009-23/02/2026 - PARC. 1/1&lt;&lt;csq&gt;&gt;</t>
  </si>
  <si>
    <t>00004768-ROBERTO CEZAR MACEDO DE SOUZA</t>
  </si>
  <si>
    <t>TELEFONE(S):   (61) 9644-3135</t>
  </si>
  <si>
    <t>TOT.DÉBITO: 3.294,12</t>
  </si>
  <si>
    <t>001000001549A-AG</t>
  </si>
  <si>
    <t>REF. AGRUPAMENTO Nro. 001000001549 - PARC. 1 / 1 - DOC(S): 000000014086A/000000014143A/000000014150A/000000014171A/000000014218A/000000014241A/000000014250A/000000014269A/000000014305A/000000014332A/000000014358A/000000014375A - PAGTO.PARCIAL - DTA. REC.: 26/02/2026 - VR. ORIGINAL: 868,25 - VR. PAGO: 500,00</t>
  </si>
  <si>
    <t>000000000234A-DV</t>
  </si>
  <si>
    <t>REF.DEV.: 000000000234-DV REF.DOC.: 000000014723-FF-013-03/03/2026 - PARC. 1/1&lt;&lt;csq&gt;&gt;</t>
  </si>
  <si>
    <t>01000164-ROBERTO MALAQUIAS</t>
  </si>
  <si>
    <t xml:space="preserve">TELEFONE(S): (61)99682-2347  </t>
  </si>
  <si>
    <t>TOT.DÉBITO: -26,80</t>
  </si>
  <si>
    <t>000000002567A-CC</t>
  </si>
  <si>
    <t>REF. LANC. CREDITO - CLIENTE: 01000164-ROBERTO MALAQUIAS</t>
  </si>
  <si>
    <t>TOT.DÉBITO: 2.651,97</t>
  </si>
  <si>
    <t>000000001090A-AG</t>
  </si>
  <si>
    <t>REF. AGRUPAMENTO Nro. 000000001090 - PARC. 1 / 1 - DOC(S): 000000018912A/000000018944A/000000018951A/000000018966A/000000019022A/000000019038A/000000019044A/000000019055A/000000019107A/000000019111A/000000019127A/000000019141A/000000019146A/000000019167A</t>
  </si>
  <si>
    <t>TOT.DÉBITO: 884,71</t>
  </si>
  <si>
    <t>000000043908A-IF</t>
  </si>
  <si>
    <t>000000044025A-IF</t>
  </si>
  <si>
    <t>000000044044A-IF</t>
  </si>
  <si>
    <t>TOT.DÉBITO: 778,45</t>
  </si>
  <si>
    <t>TOT.DÉBITO: -1,83</t>
  </si>
  <si>
    <t>LANC. CRED. REF. A  - PAGTO.PARCIAL - DTA. REC.: 26/12/2025 - VR. ORIGINAL: -388,66 - VR. PAGO: -384,66 - PAGTO.PARCIAL - DTA. REC.: 27/02/2026 - VR. ORIGINAL: -4,00 - VR. PAGO: -2,17</t>
  </si>
  <si>
    <t>TOT.DÉBITO: 14.339,66</t>
  </si>
  <si>
    <t>TOT.DÉBITO: 4.190,07</t>
  </si>
  <si>
    <t>000000039461B-NF</t>
  </si>
  <si>
    <t>REFERENTE A FATURAMENTO - PARC. 2/3&lt;&lt;csq&gt;&gt; - PAGTO.PARCIAL - DTA. REC.: 25/02/2026 - VR. ORIGINAL: 1.191,33 - VR. PAGO: 1.181,35</t>
  </si>
  <si>
    <t>TOT.DÉBITO: 49.173,68</t>
  </si>
  <si>
    <t>000000038955C-NF</t>
  </si>
  <si>
    <t>TOT.DÉBITO: -908,09</t>
  </si>
  <si>
    <t>TOT.DÉBITO: 20.219,43</t>
  </si>
  <si>
    <t>05000682-SANDRO PEREIRA DA CRUZ</t>
  </si>
  <si>
    <t xml:space="preserve">TELEFONE(S):  (61)98115-3266 </t>
  </si>
  <si>
    <t>TOT.DÉBITO: 108,09</t>
  </si>
  <si>
    <t>000000003332A-CC</t>
  </si>
  <si>
    <t>REF. LANC. CREDITO - CLIENTE: 05000682-SANDRO PEREIRA DA CRUZ</t>
  </si>
  <si>
    <t>000000044023A-IF</t>
  </si>
  <si>
    <t>000000044024A-IF</t>
  </si>
  <si>
    <t>00003365-SAO MATEUS CARMEM</t>
  </si>
  <si>
    <t xml:space="preserve">TELEFONE(S):  (61)98202-6701 </t>
  </si>
  <si>
    <t>TOT.DÉBITO: 14.341,67</t>
  </si>
  <si>
    <t>001000001527C-AG</t>
  </si>
  <si>
    <t>REF. AGRUPAMENTO Nro. 001000001527 - PARC. 3 / 5 - DOC(S): 000000007475A</t>
  </si>
  <si>
    <t>80005935-SAT CAR LTDA</t>
  </si>
  <si>
    <t>TELEFONE(S):  (61) 4141-2893 (61) 9874-0589</t>
  </si>
  <si>
    <t>TOT.DÉBITO: 197,00</t>
  </si>
  <si>
    <t>REF. LANC. CREDITO - CLIENTE: 80005935-SAT CAR LTDA</t>
  </si>
  <si>
    <t>000000003953A-NF</t>
  </si>
  <si>
    <t>TOT.DÉBITO: 1.487,70</t>
  </si>
  <si>
    <t>TOT.DÉBITO: 479,90</t>
  </si>
  <si>
    <t>TOT.DÉBITO: 19.542,24</t>
  </si>
  <si>
    <t>TOT.DÉBITO: 157,98</t>
  </si>
  <si>
    <t>000000043735A-IF</t>
  </si>
  <si>
    <t>TOT.DÉBITO: 6.067,14</t>
  </si>
  <si>
    <t>000000003197B-NF</t>
  </si>
  <si>
    <t>TOT.DÉBITO: 4.375,00</t>
  </si>
  <si>
    <t>TOT.DÉBITO: 1.191,42</t>
  </si>
  <si>
    <t>TOT.DÉBITO: 1.847,87</t>
  </si>
  <si>
    <t>TOT.DÉBITO: 18.442,87</t>
  </si>
  <si>
    <t>001000002210A-AG</t>
  </si>
  <si>
    <t>REF. AGRUPAMENTO Nro. 001000002210 - PARC. 1 / 1 - DOC(S): 000000031698A/000000031714A/000000031720A/000000031723A/000000031749A/000000031752A/000000031753A/000000031763A/000000031790A/000000031803A/000000031832A/000000031845A/000000031850A</t>
  </si>
  <si>
    <t>11006135-SUPORTE EXTINTORES LTDA</t>
  </si>
  <si>
    <t>TELEFONE(S):   (61)99352-5476</t>
  </si>
  <si>
    <t>TOT.DÉBITO: 1.069,39</t>
  </si>
  <si>
    <t>000000038962C-NF</t>
  </si>
  <si>
    <t>000000039261B-NF</t>
  </si>
  <si>
    <t>TOT.DÉBITO: 8.750,53</t>
  </si>
  <si>
    <t>000000000866A-NF</t>
  </si>
  <si>
    <t>80006221-THAIAN CRISLEY ALVES DO VALE</t>
  </si>
  <si>
    <t>TELEFONE(S):   (61)99416-4636</t>
  </si>
  <si>
    <t>TOT.DÉBITO: -4,57</t>
  </si>
  <si>
    <t>000000019349A-NF</t>
  </si>
  <si>
    <t>REF.DEV.: 000000019349-NF REF.DOC.: 000000018631-NF-012-26/11/2025 - PARC. 1/1&lt;&lt;csq&gt;&gt; - PAGTO.PARCIAL - DTA. REC.: 20/02/2026 - VR. ORIGINAL: -141,26 - VR. PAGO: -136,69</t>
  </si>
  <si>
    <t>02001032-THAYNARA FERREIRA DE JESUS SILVA</t>
  </si>
  <si>
    <t>TELEFONE(S):   (61)98249-9608</t>
  </si>
  <si>
    <t>TOT.DÉBITO: -31,87</t>
  </si>
  <si>
    <t>000000002591A-CC</t>
  </si>
  <si>
    <t>TOT.DÉBITO: 131,38</t>
  </si>
  <si>
    <t>TOT.DÉBITO: 7.807,34</t>
  </si>
  <si>
    <t>000000003668B-NF</t>
  </si>
  <si>
    <t>000000003801A-NF</t>
  </si>
  <si>
    <t>000000003819A-NF</t>
  </si>
  <si>
    <t>000000003820A-NF</t>
  </si>
  <si>
    <t>000000003579C-NF</t>
  </si>
  <si>
    <t>80005892-ULISSES NOIGUEIRA</t>
  </si>
  <si>
    <t>TELEFONE(S): (38)99963-7980  (38)99963-7980</t>
  </si>
  <si>
    <t>000000000941A-CC</t>
  </si>
  <si>
    <t>LANC. CRED. REF. A  - PAGTO.PARCIAL - DTA. REC.: 03/03/2026 - VR. ORIGINAL: -50,00 - VR. PAGO: -46,00</t>
  </si>
  <si>
    <t>TOT.DÉBITO: 1.506,44</t>
  </si>
  <si>
    <t>004000400736A-TE</t>
  </si>
  <si>
    <t>TOT.DÉBITO: 7.176,27</t>
  </si>
  <si>
    <t>11006071-UNIVERSO DOS EQUIPAMENTOS LTDA</t>
  </si>
  <si>
    <t xml:space="preserve">TELEFONE(S):  (61)99319-6425 </t>
  </si>
  <si>
    <t>TOT.DÉBITO: 256,72</t>
  </si>
  <si>
    <t>000000041475A-NF</t>
  </si>
  <si>
    <t>TOT.DÉBITO: 24.192,07</t>
  </si>
  <si>
    <t>000000003825A-NF</t>
  </si>
  <si>
    <t>000000003575C-NF</t>
  </si>
  <si>
    <t>000000003680B-NF</t>
  </si>
  <si>
    <t>TOT.DÉBITO: 2.193,69</t>
  </si>
  <si>
    <t>TOT.DÉBITO: 1.459,49</t>
  </si>
  <si>
    <t>000000002738A-CC</t>
  </si>
  <si>
    <t>LANC. CRED. REF. A  - PAGTO.PARCIAL - DTA. REC.: 26/02/2026 - VR. ORIGINAL: -400,00 - VR. PAGO: -383,04</t>
  </si>
  <si>
    <t>05000329-VALDIR PEREIRA DA SILVA</t>
  </si>
  <si>
    <t xml:space="preserve">TELEFONE(S):  (61)99213-6281 </t>
  </si>
  <si>
    <t>TOT.DÉBITO: 8.912,04</t>
  </si>
  <si>
    <t>000000042769A-IF</t>
  </si>
  <si>
    <t>TOT.DÉBITO: 253,00</t>
  </si>
  <si>
    <t>TOT.DÉBITO: 1.387,46</t>
  </si>
  <si>
    <t>000000040413A-NF</t>
  </si>
  <si>
    <t>TOT.DÉBITO: 1.684,47</t>
  </si>
  <si>
    <t>TOT.DÉBITO: 1.227,29</t>
  </si>
  <si>
    <t>TOT.DÉBITO: 373,68</t>
  </si>
  <si>
    <t>TOT.DÉBITO: 26.488,46</t>
  </si>
  <si>
    <t>TOT.DÉBITO: 4.202,90</t>
  </si>
  <si>
    <t>000000038430E-NF</t>
  </si>
  <si>
    <t>000000038487C-NF</t>
  </si>
  <si>
    <t>TOT.DÉBITO: 186,80</t>
  </si>
  <si>
    <t>05000288-VITORIA SERVICOS DE SERRALHERIA E CONSTRUCAO CIVIL LTDA</t>
  </si>
  <si>
    <t>TELEFONE(S):  (61) 3468-8230 (61) 8127-7845</t>
  </si>
  <si>
    <t>TOT.DÉBITO: 1.333,20</t>
  </si>
  <si>
    <t>000000009347A-NF</t>
  </si>
  <si>
    <t>TOT.DÉBITO: 6.724,86</t>
  </si>
  <si>
    <t>TOT.DÉBITO: 3.448,51</t>
  </si>
  <si>
    <t>80005333-WALDINHO VENTURA DOS SANTOS</t>
  </si>
  <si>
    <t>TELEFONE(S):   (61)99444-5361</t>
  </si>
  <si>
    <t>TOT.DÉBITO: -2.000,00</t>
  </si>
  <si>
    <t>000000001371A-CC</t>
  </si>
  <si>
    <t>LANC. CRED. REF. A  - CREDITO  - PAGTO.PARCIAL - DTA. REC.: 02/03/2026 - VR. ORIGINAL: -3.000,00 - VR. PAGO: -476,26 - PAGTO.PARCIAL - DTA. REC.: 02/03/2026 - VR. ORIGINAL: -2.523,74 - VR. PAGO: -523,74</t>
  </si>
  <si>
    <t>000000001355A-CC</t>
  </si>
  <si>
    <t>00004271-WALTER RAMOS DA MOTA ME</t>
  </si>
  <si>
    <t>TELEFONE(S): (61) 3567-9506  (61)98229-1600</t>
  </si>
  <si>
    <t>TOT.DÉBITO: 1.202,39</t>
  </si>
  <si>
    <t>001000001557A-AG</t>
  </si>
  <si>
    <t>REF. AGRUPAMENTO Nro. 001000001557 - PARC. 1 / 1 - DOC(S): 000000007700A/000000007772A/000000007779A/000000007830A/000000007832A</t>
  </si>
  <si>
    <t>TOT.DÉBITO: 12.064,46</t>
  </si>
  <si>
    <t>TOT.DÉBITO: 137,30</t>
  </si>
  <si>
    <t>LANC. CRED. REF. A  - PAGTO.PARCIAL - DTA. REC.: 23/12/2025 - VR. ORIGINAL: -4.800,00 - VR. PAGO: -278,35 - PAGTO.PARCIAL - DTA. REC.: 17/01/2026 - VR. ORIGINAL: -4.521,65 - VR. PAGO: -1.716,05 - PAGTO.PARCIAL - DTA. REC.: 25/02/2026 - VR. ORIGINAL: -2.805,60 - VR. PAGO: -2.663,01</t>
  </si>
  <si>
    <t>000000002736A-CC</t>
  </si>
  <si>
    <t>TOT.DÉBITO: 1.755,55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</si>
</sst>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\Desktop\ARQUIVOS%20PARA%20DASHBOARD\OPERADORES.xlsx" TargetMode="External"/><Relationship Id="rId1" Type="http://schemas.openxmlformats.org/officeDocument/2006/relationships/externalLinkPath" Target="/Users/Samuel/Desktop/ARQUIVOS%20PARA%20DASHBOARD/OPER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DORES"/>
      <sheetName val="LOJA"/>
      <sheetName val="CLIENTE FILIAL"/>
      <sheetName val="LOJAS2"/>
    </sheetNames>
    <sheetDataSet>
      <sheetData sheetId="0">
        <row r="1">
          <cell r="A1" t="str">
            <v>CÓDIGO</v>
          </cell>
          <cell r="B1" t="str">
            <v>NOME DO OPERADOR</v>
          </cell>
        </row>
        <row r="2">
          <cell r="A2">
            <v>999</v>
          </cell>
          <cell r="B2" t="str">
            <v>ADMINISTRAÇÃO CITEL</v>
          </cell>
        </row>
        <row r="3">
          <cell r="A3">
            <v>182</v>
          </cell>
          <cell r="B3" t="str">
            <v>ADRIANA</v>
          </cell>
        </row>
        <row r="4">
          <cell r="A4">
            <v>91</v>
          </cell>
          <cell r="B4" t="str">
            <v>AILTON CAVALCANTE</v>
          </cell>
        </row>
        <row r="5">
          <cell r="A5">
            <v>47</v>
          </cell>
          <cell r="B5" t="str">
            <v>ALESSANDRA</v>
          </cell>
        </row>
        <row r="6">
          <cell r="A6">
            <v>60</v>
          </cell>
          <cell r="B6" t="str">
            <v>ALEXANDRA</v>
          </cell>
        </row>
        <row r="7">
          <cell r="A7">
            <v>52</v>
          </cell>
          <cell r="B7" t="str">
            <v>ALEXANDRE</v>
          </cell>
        </row>
        <row r="8">
          <cell r="A8">
            <v>86</v>
          </cell>
          <cell r="B8" t="str">
            <v>AMANDA</v>
          </cell>
        </row>
        <row r="9">
          <cell r="A9">
            <v>142</v>
          </cell>
          <cell r="B9" t="str">
            <v>ANA GABRIELA LIMA LINHARES</v>
          </cell>
        </row>
        <row r="10">
          <cell r="A10">
            <v>74</v>
          </cell>
          <cell r="B10" t="str">
            <v>ANA PAULA</v>
          </cell>
        </row>
        <row r="11">
          <cell r="A11">
            <v>80</v>
          </cell>
          <cell r="B11" t="str">
            <v>ANDERSON</v>
          </cell>
        </row>
        <row r="12">
          <cell r="A12">
            <v>187</v>
          </cell>
          <cell r="B12" t="str">
            <v>ANDERSON DOS REIS DE OLIVEIRA</v>
          </cell>
        </row>
        <row r="13">
          <cell r="A13">
            <v>103</v>
          </cell>
          <cell r="B13" t="str">
            <v>ANTONIO PEREIRA</v>
          </cell>
        </row>
        <row r="14">
          <cell r="A14">
            <v>98</v>
          </cell>
          <cell r="B14" t="str">
            <v xml:space="preserve">ARIGLEICE </v>
          </cell>
        </row>
        <row r="15">
          <cell r="A15">
            <v>997</v>
          </cell>
          <cell r="B15" t="str">
            <v>ATENDIMENTO</v>
          </cell>
        </row>
        <row r="16">
          <cell r="A16">
            <v>16</v>
          </cell>
          <cell r="B16" t="str">
            <v>AYSLAN</v>
          </cell>
        </row>
        <row r="17">
          <cell r="A17">
            <v>2</v>
          </cell>
          <cell r="B17" t="str">
            <v>BERNARDO</v>
          </cell>
        </row>
        <row r="18">
          <cell r="A18">
            <v>11</v>
          </cell>
          <cell r="B18" t="str">
            <v>BRUNO</v>
          </cell>
        </row>
        <row r="19">
          <cell r="A19">
            <v>179</v>
          </cell>
          <cell r="B19" t="str">
            <v>CAIO CRISTIANO</v>
          </cell>
        </row>
        <row r="20">
          <cell r="A20">
            <v>69</v>
          </cell>
          <cell r="B20" t="str">
            <v>CAIQUE</v>
          </cell>
        </row>
        <row r="21">
          <cell r="A21">
            <v>189</v>
          </cell>
          <cell r="B21" t="str">
            <v>CAMILA WILLIANE</v>
          </cell>
        </row>
        <row r="22">
          <cell r="A22">
            <v>36</v>
          </cell>
          <cell r="B22" t="str">
            <v>CARLOS</v>
          </cell>
        </row>
        <row r="23">
          <cell r="A23">
            <v>190</v>
          </cell>
          <cell r="B23" t="str">
            <v>CARLOS RODRIGUES DA SILVA</v>
          </cell>
        </row>
        <row r="24">
          <cell r="A24">
            <v>118</v>
          </cell>
          <cell r="B24" t="str">
            <v>CARNEIRINHO</v>
          </cell>
        </row>
        <row r="25">
          <cell r="A25">
            <v>126</v>
          </cell>
          <cell r="B25" t="str">
            <v>CESAR OLIVIEIRA DE ARAUJO</v>
          </cell>
        </row>
        <row r="26">
          <cell r="A26">
            <v>192</v>
          </cell>
          <cell r="B26" t="str">
            <v>CIDA</v>
          </cell>
        </row>
        <row r="27">
          <cell r="A27">
            <v>144</v>
          </cell>
          <cell r="B27" t="str">
            <v>CINTIA DA SILVA CARLOS</v>
          </cell>
        </row>
        <row r="28">
          <cell r="A28">
            <v>46</v>
          </cell>
          <cell r="B28" t="str">
            <v xml:space="preserve">CLAUDMIRO </v>
          </cell>
        </row>
        <row r="29">
          <cell r="A29">
            <v>122</v>
          </cell>
          <cell r="B29" t="str">
            <v>CLOVIS JUNIO</v>
          </cell>
        </row>
        <row r="30">
          <cell r="A30">
            <v>73</v>
          </cell>
          <cell r="B30" t="str">
            <v>COMPRADOR FORNECEDOR</v>
          </cell>
        </row>
        <row r="31">
          <cell r="A31">
            <v>72</v>
          </cell>
          <cell r="B31" t="str">
            <v>COMPRADOR LOJAS</v>
          </cell>
        </row>
        <row r="32">
          <cell r="A32">
            <v>130</v>
          </cell>
          <cell r="B32" t="str">
            <v>COMPRAS</v>
          </cell>
        </row>
        <row r="33">
          <cell r="A33">
            <v>70</v>
          </cell>
          <cell r="B33" t="str">
            <v>CONCESSIONARIAS</v>
          </cell>
        </row>
        <row r="34">
          <cell r="A34">
            <v>108</v>
          </cell>
          <cell r="B34" t="str">
            <v>CRISLANY DA SILVA</v>
          </cell>
        </row>
        <row r="35">
          <cell r="A35">
            <v>64</v>
          </cell>
          <cell r="B35" t="str">
            <v>CUSTODIO</v>
          </cell>
        </row>
        <row r="36">
          <cell r="A36">
            <v>107</v>
          </cell>
          <cell r="B36" t="str">
            <v>DAIANA PORTELA</v>
          </cell>
        </row>
        <row r="37">
          <cell r="A37">
            <v>43</v>
          </cell>
          <cell r="B37" t="str">
            <v>DAMIÃO</v>
          </cell>
        </row>
        <row r="38">
          <cell r="A38">
            <v>42</v>
          </cell>
          <cell r="B38" t="str">
            <v>DANIEL</v>
          </cell>
        </row>
        <row r="39">
          <cell r="A39">
            <v>17</v>
          </cell>
          <cell r="B39" t="str">
            <v>DAYANA</v>
          </cell>
        </row>
        <row r="40">
          <cell r="A40">
            <v>56</v>
          </cell>
          <cell r="B40" t="str">
            <v>DENIS</v>
          </cell>
        </row>
        <row r="41">
          <cell r="A41">
            <v>61</v>
          </cell>
          <cell r="B41" t="str">
            <v>DIEGO</v>
          </cell>
        </row>
        <row r="42">
          <cell r="A42">
            <v>114</v>
          </cell>
          <cell r="B42" t="str">
            <v>DIEGO CARNAUBA</v>
          </cell>
        </row>
        <row r="43">
          <cell r="A43">
            <v>137</v>
          </cell>
          <cell r="B43" t="str">
            <v>DIVINA ALVES DE OLIVEIRA</v>
          </cell>
        </row>
        <row r="44">
          <cell r="A44">
            <v>30</v>
          </cell>
          <cell r="B44" t="str">
            <v>DOUGLAS</v>
          </cell>
        </row>
        <row r="45">
          <cell r="A45">
            <v>50</v>
          </cell>
          <cell r="B45" t="str">
            <v>EDELSON</v>
          </cell>
        </row>
        <row r="46">
          <cell r="A46">
            <v>12</v>
          </cell>
          <cell r="B46" t="str">
            <v>EDSON</v>
          </cell>
        </row>
        <row r="47">
          <cell r="A47">
            <v>151</v>
          </cell>
          <cell r="B47" t="str">
            <v>EDSON PEREIRA DA SILVA</v>
          </cell>
        </row>
        <row r="48">
          <cell r="A48">
            <v>4</v>
          </cell>
          <cell r="B48" t="str">
            <v>EDUARDO</v>
          </cell>
        </row>
        <row r="49">
          <cell r="A49">
            <v>176</v>
          </cell>
          <cell r="B49" t="str">
            <v>EDUARDO DE JESUS BALDUINO</v>
          </cell>
        </row>
        <row r="50">
          <cell r="A50">
            <v>90</v>
          </cell>
          <cell r="B50" t="str">
            <v xml:space="preserve">ELEILTON </v>
          </cell>
        </row>
        <row r="51">
          <cell r="A51">
            <v>76</v>
          </cell>
          <cell r="B51" t="str">
            <v>ELIANA</v>
          </cell>
        </row>
        <row r="52">
          <cell r="A52">
            <v>82</v>
          </cell>
          <cell r="B52" t="str">
            <v>ELIAS</v>
          </cell>
        </row>
        <row r="53">
          <cell r="A53">
            <v>5</v>
          </cell>
          <cell r="B53" t="str">
            <v>ELINE</v>
          </cell>
        </row>
        <row r="54">
          <cell r="A54">
            <v>67</v>
          </cell>
          <cell r="B54" t="str">
            <v>ERIKA</v>
          </cell>
        </row>
        <row r="55">
          <cell r="A55">
            <v>225</v>
          </cell>
          <cell r="B55" t="str">
            <v>ERIKA ALVES DO NASCIMENTO</v>
          </cell>
        </row>
        <row r="56">
          <cell r="A56">
            <v>111</v>
          </cell>
          <cell r="B56" t="str">
            <v>ERLANE PANUCE</v>
          </cell>
        </row>
        <row r="57">
          <cell r="A57">
            <v>22</v>
          </cell>
          <cell r="B57" t="str">
            <v>ESTEFESON</v>
          </cell>
        </row>
        <row r="58">
          <cell r="A58">
            <v>45</v>
          </cell>
          <cell r="B58" t="str">
            <v>ESTERFFSON</v>
          </cell>
        </row>
        <row r="59">
          <cell r="A59">
            <v>96</v>
          </cell>
          <cell r="B59" t="str">
            <v xml:space="preserve">EVANDRO </v>
          </cell>
        </row>
        <row r="60">
          <cell r="A60">
            <v>23</v>
          </cell>
          <cell r="B60" t="str">
            <v>EXTERNO4</v>
          </cell>
        </row>
        <row r="61">
          <cell r="A61">
            <v>13</v>
          </cell>
          <cell r="B61" t="str">
            <v>EXTERNOADE</v>
          </cell>
        </row>
        <row r="62">
          <cell r="A62">
            <v>19</v>
          </cell>
          <cell r="B62" t="str">
            <v>FABIANA</v>
          </cell>
        </row>
        <row r="63">
          <cell r="A63">
            <v>99</v>
          </cell>
          <cell r="B63" t="str">
            <v>FABIO</v>
          </cell>
        </row>
        <row r="64">
          <cell r="A64">
            <v>145</v>
          </cell>
          <cell r="B64" t="str">
            <v xml:space="preserve">FABRICIA </v>
          </cell>
        </row>
        <row r="65">
          <cell r="A65">
            <v>185</v>
          </cell>
          <cell r="B65" t="str">
            <v>FELIPE OLIVEIRA PONTE</v>
          </cell>
        </row>
        <row r="66">
          <cell r="A66">
            <v>175</v>
          </cell>
          <cell r="B66" t="str">
            <v>FILIPE DE LIMA CASSIMIRO</v>
          </cell>
        </row>
        <row r="67">
          <cell r="A67">
            <v>200</v>
          </cell>
          <cell r="B67" t="str">
            <v>FLÁVIO REPRESENTANTE</v>
          </cell>
        </row>
        <row r="68">
          <cell r="A68">
            <v>102</v>
          </cell>
          <cell r="B68" t="str">
            <v>GABRIEL TEIXEIRA DA ROCHA</v>
          </cell>
        </row>
        <row r="69">
          <cell r="A69">
            <v>28</v>
          </cell>
          <cell r="B69" t="str">
            <v>GABRIELA</v>
          </cell>
        </row>
        <row r="70">
          <cell r="A70">
            <v>171</v>
          </cell>
          <cell r="B70" t="str">
            <v>GABRIELLY APARECIDA DE JESUS</v>
          </cell>
        </row>
        <row r="71">
          <cell r="A71">
            <v>31</v>
          </cell>
          <cell r="B71" t="str">
            <v>GEOVANE</v>
          </cell>
        </row>
        <row r="72">
          <cell r="A72">
            <v>59</v>
          </cell>
          <cell r="B72" t="str">
            <v>GIAN</v>
          </cell>
        </row>
        <row r="73">
          <cell r="A73">
            <v>68</v>
          </cell>
          <cell r="B73" t="str">
            <v>GIVANILDO</v>
          </cell>
        </row>
        <row r="74">
          <cell r="A74">
            <v>88</v>
          </cell>
          <cell r="B74" t="str">
            <v>GLEISON</v>
          </cell>
        </row>
        <row r="75">
          <cell r="A75">
            <v>104</v>
          </cell>
          <cell r="B75" t="str">
            <v>GUSTAVO</v>
          </cell>
        </row>
        <row r="76">
          <cell r="A76">
            <v>224</v>
          </cell>
          <cell r="B76" t="str">
            <v>GUSTAVO MOURA DE OLIVEIRA</v>
          </cell>
        </row>
        <row r="77">
          <cell r="A77">
            <v>29</v>
          </cell>
          <cell r="B77" t="str">
            <v>HELTON</v>
          </cell>
        </row>
        <row r="78">
          <cell r="A78">
            <v>149</v>
          </cell>
          <cell r="B78" t="str">
            <v>HERSON PEREIRA DA SILVA</v>
          </cell>
        </row>
        <row r="79">
          <cell r="A79">
            <v>18</v>
          </cell>
          <cell r="B79" t="str">
            <v>HUGO</v>
          </cell>
        </row>
        <row r="80">
          <cell r="A80">
            <v>100</v>
          </cell>
          <cell r="B80" t="str">
            <v>IDALICE</v>
          </cell>
        </row>
        <row r="81">
          <cell r="A81">
            <v>116</v>
          </cell>
          <cell r="B81" t="str">
            <v>IGOR PEIXOTO COSTA</v>
          </cell>
        </row>
        <row r="82">
          <cell r="A82">
            <v>95</v>
          </cell>
          <cell r="B82" t="str">
            <v>INGRIDY</v>
          </cell>
        </row>
        <row r="83">
          <cell r="A83">
            <v>41</v>
          </cell>
          <cell r="B83" t="str">
            <v>ISMAEL</v>
          </cell>
        </row>
        <row r="84">
          <cell r="A84">
            <v>27</v>
          </cell>
          <cell r="B84" t="str">
            <v>IVAN</v>
          </cell>
        </row>
        <row r="85">
          <cell r="A85">
            <v>37</v>
          </cell>
          <cell r="B85" t="str">
            <v>JANAINA</v>
          </cell>
        </row>
        <row r="86">
          <cell r="A86">
            <v>26</v>
          </cell>
          <cell r="B86" t="str">
            <v>JANUARIO</v>
          </cell>
        </row>
        <row r="87">
          <cell r="A87">
            <v>25</v>
          </cell>
          <cell r="B87" t="str">
            <v>JEFFERSON</v>
          </cell>
        </row>
        <row r="88">
          <cell r="A88">
            <v>84</v>
          </cell>
          <cell r="B88" t="str">
            <v>JEICY AZEVEDO</v>
          </cell>
        </row>
        <row r="89">
          <cell r="A89">
            <v>21</v>
          </cell>
          <cell r="B89" t="str">
            <v>JESSICA</v>
          </cell>
        </row>
        <row r="90">
          <cell r="A90">
            <v>53</v>
          </cell>
          <cell r="B90" t="str">
            <v xml:space="preserve">JOÃO FELIX MORAES SANTOS </v>
          </cell>
        </row>
        <row r="91">
          <cell r="A91">
            <v>1</v>
          </cell>
          <cell r="B91" t="str">
            <v>JOCELIA</v>
          </cell>
        </row>
        <row r="92">
          <cell r="A92">
            <v>51</v>
          </cell>
          <cell r="B92" t="str">
            <v>JOHN</v>
          </cell>
        </row>
        <row r="93">
          <cell r="A93">
            <v>186</v>
          </cell>
          <cell r="B93" t="str">
            <v>JOHN LENNON FERREIRA P BUENO</v>
          </cell>
        </row>
        <row r="94">
          <cell r="A94">
            <v>78</v>
          </cell>
          <cell r="B94" t="str">
            <v>JONAS</v>
          </cell>
        </row>
        <row r="95">
          <cell r="A95">
            <v>153</v>
          </cell>
          <cell r="B95" t="str">
            <v>JORGE LUIZ DE ALMEIDA</v>
          </cell>
        </row>
        <row r="96">
          <cell r="A96">
            <v>62</v>
          </cell>
          <cell r="B96" t="str">
            <v>JOSE ANTONIO</v>
          </cell>
        </row>
        <row r="97">
          <cell r="A97">
            <v>63</v>
          </cell>
          <cell r="B97" t="str">
            <v>JOSE SILVA</v>
          </cell>
        </row>
        <row r="98">
          <cell r="A98">
            <v>83</v>
          </cell>
          <cell r="B98" t="str">
            <v>JUCERLANDIO</v>
          </cell>
        </row>
        <row r="99">
          <cell r="A99">
            <v>152</v>
          </cell>
          <cell r="B99" t="str">
            <v>JUNIO ALVES DE ALMEIDA</v>
          </cell>
        </row>
        <row r="100">
          <cell r="A100">
            <v>38</v>
          </cell>
          <cell r="B100" t="str">
            <v>JUNIOR LIMA</v>
          </cell>
        </row>
        <row r="101">
          <cell r="A101">
            <v>140</v>
          </cell>
          <cell r="B101" t="str">
            <v>KAREN NAYARA BORGES</v>
          </cell>
        </row>
        <row r="102">
          <cell r="A102">
            <v>127</v>
          </cell>
          <cell r="B102" t="str">
            <v>KARLA CRISTYNA ALVES FIGUEIRED</v>
          </cell>
        </row>
        <row r="103">
          <cell r="A103">
            <v>210</v>
          </cell>
          <cell r="B103" t="str">
            <v>KAROL MARKETING</v>
          </cell>
        </row>
        <row r="104">
          <cell r="A104">
            <v>196</v>
          </cell>
          <cell r="B104" t="str">
            <v>KASSIANO MARCUS ALVES SILVA</v>
          </cell>
        </row>
        <row r="105">
          <cell r="A105">
            <v>207</v>
          </cell>
          <cell r="B105" t="str">
            <v>KETILE SABRINE</v>
          </cell>
        </row>
        <row r="106">
          <cell r="A106">
            <v>206</v>
          </cell>
          <cell r="B106" t="str">
            <v>LAURA LISBOA</v>
          </cell>
        </row>
        <row r="107">
          <cell r="A107">
            <v>199</v>
          </cell>
          <cell r="B107" t="str">
            <v>LEANDRO LUIZ NUNES</v>
          </cell>
        </row>
        <row r="108">
          <cell r="A108">
            <v>81</v>
          </cell>
          <cell r="B108" t="str">
            <v>LEONARDO</v>
          </cell>
        </row>
        <row r="109">
          <cell r="A109">
            <v>180</v>
          </cell>
          <cell r="B109" t="str">
            <v>LETICIA ALMEIDA</v>
          </cell>
        </row>
        <row r="110">
          <cell r="A110">
            <v>32</v>
          </cell>
          <cell r="B110" t="str">
            <v>LIDER ADE</v>
          </cell>
        </row>
        <row r="111">
          <cell r="A111">
            <v>0</v>
          </cell>
          <cell r="B111" t="str">
            <v>LIMPEZA DE ACESSO</v>
          </cell>
        </row>
        <row r="112">
          <cell r="A112">
            <v>109</v>
          </cell>
          <cell r="B112" t="str">
            <v>LIVIA DE SOUZA</v>
          </cell>
        </row>
        <row r="113">
          <cell r="A113">
            <v>173</v>
          </cell>
          <cell r="B113" t="str">
            <v>LÍVIA FRANÇA V. DO E. SANTO</v>
          </cell>
        </row>
        <row r="114">
          <cell r="A114">
            <v>113</v>
          </cell>
          <cell r="B114" t="str">
            <v>LORRANE DE BRITO</v>
          </cell>
        </row>
        <row r="115">
          <cell r="A115">
            <v>184</v>
          </cell>
          <cell r="B115" t="str">
            <v xml:space="preserve">LOUISE REGINA ALVES </v>
          </cell>
        </row>
        <row r="116">
          <cell r="A116">
            <v>35</v>
          </cell>
          <cell r="B116" t="str">
            <v>LUANA</v>
          </cell>
        </row>
        <row r="117">
          <cell r="A117">
            <v>66</v>
          </cell>
          <cell r="B117" t="str">
            <v>LUCIANA</v>
          </cell>
        </row>
        <row r="118">
          <cell r="A118">
            <v>89</v>
          </cell>
          <cell r="B118" t="str">
            <v>LUCIANO</v>
          </cell>
        </row>
        <row r="119">
          <cell r="A119">
            <v>146</v>
          </cell>
          <cell r="B119" t="str">
            <v>LUCIMEIRE ROSA RIBEIRO</v>
          </cell>
        </row>
        <row r="120">
          <cell r="A120">
            <v>8</v>
          </cell>
          <cell r="B120" t="str">
            <v>LUIS FERNANDO</v>
          </cell>
        </row>
        <row r="121">
          <cell r="A121">
            <v>44</v>
          </cell>
          <cell r="B121" t="str">
            <v>LUIS JUNIO</v>
          </cell>
        </row>
        <row r="122">
          <cell r="A122">
            <v>101</v>
          </cell>
          <cell r="B122" t="str">
            <v>LUIS PINHEIRO RODRIGUES</v>
          </cell>
        </row>
        <row r="123">
          <cell r="A123">
            <v>150</v>
          </cell>
          <cell r="B123" t="str">
            <v>LUZIBERTO GOMES DA SILVA</v>
          </cell>
        </row>
        <row r="124">
          <cell r="A124">
            <v>77</v>
          </cell>
          <cell r="B124" t="str">
            <v>MARCELO</v>
          </cell>
        </row>
        <row r="125">
          <cell r="A125">
            <v>156</v>
          </cell>
          <cell r="B125" t="str">
            <v>MARCELO DA CONCEIÇÃO FERREIRA</v>
          </cell>
        </row>
        <row r="126">
          <cell r="A126">
            <v>97</v>
          </cell>
          <cell r="B126" t="str">
            <v xml:space="preserve">MARCIA </v>
          </cell>
        </row>
        <row r="127">
          <cell r="A127">
            <v>181</v>
          </cell>
          <cell r="B127" t="str">
            <v>MARCIO KELER BITTENCORT VENIS</v>
          </cell>
        </row>
        <row r="128">
          <cell r="A128">
            <v>14</v>
          </cell>
          <cell r="B128" t="str">
            <v>MARCOS</v>
          </cell>
        </row>
        <row r="129">
          <cell r="A129">
            <v>155</v>
          </cell>
          <cell r="B129" t="str">
            <v>MARI</v>
          </cell>
        </row>
        <row r="130">
          <cell r="A130">
            <v>193</v>
          </cell>
          <cell r="B130" t="str">
            <v>MARIA ALICE</v>
          </cell>
        </row>
        <row r="131">
          <cell r="A131">
            <v>170</v>
          </cell>
          <cell r="B131" t="str">
            <v>MARIA LUISA</v>
          </cell>
        </row>
        <row r="132">
          <cell r="A132">
            <v>143</v>
          </cell>
          <cell r="B132" t="str">
            <v>MARIA THAINARA L. DA SILVA</v>
          </cell>
        </row>
        <row r="133">
          <cell r="A133">
            <v>209</v>
          </cell>
          <cell r="B133" t="str">
            <v>MARIA WITHALINA CUNHA DE SOUZA</v>
          </cell>
        </row>
        <row r="134">
          <cell r="A134">
            <v>208</v>
          </cell>
          <cell r="B134" t="str">
            <v>MARIO DE MOURA SANTANA</v>
          </cell>
        </row>
        <row r="135">
          <cell r="A135">
            <v>131</v>
          </cell>
          <cell r="B135" t="str">
            <v>MARTILIANA MERIAM LOPES CARDOS</v>
          </cell>
        </row>
        <row r="136">
          <cell r="A136">
            <v>178</v>
          </cell>
          <cell r="B136" t="str">
            <v xml:space="preserve">MATEUS </v>
          </cell>
        </row>
        <row r="137">
          <cell r="A137">
            <v>154</v>
          </cell>
          <cell r="B137" t="str">
            <v>MATHEUS</v>
          </cell>
        </row>
        <row r="138">
          <cell r="A138">
            <v>57</v>
          </cell>
          <cell r="B138" t="str">
            <v>MAURICIO</v>
          </cell>
        </row>
        <row r="139">
          <cell r="A139">
            <v>20</v>
          </cell>
          <cell r="B139" t="str">
            <v>MAYARA</v>
          </cell>
        </row>
        <row r="140">
          <cell r="A140">
            <v>79</v>
          </cell>
          <cell r="B140" t="str">
            <v>MESSIAS</v>
          </cell>
        </row>
        <row r="141">
          <cell r="A141">
            <v>147</v>
          </cell>
          <cell r="B141" t="str">
            <v>MICAELE DA CONCEIÇAO SILVA</v>
          </cell>
        </row>
        <row r="142">
          <cell r="A142">
            <v>65</v>
          </cell>
          <cell r="B142" t="str">
            <v>MICHAEL ALVES FERNANDES</v>
          </cell>
        </row>
        <row r="143">
          <cell r="A143">
            <v>198</v>
          </cell>
          <cell r="B143" t="str">
            <v>MICHELLY DIAS</v>
          </cell>
        </row>
        <row r="144">
          <cell r="A144">
            <v>174</v>
          </cell>
          <cell r="B144" t="str">
            <v>MIRIÃ LOBATO RODRIGUES</v>
          </cell>
        </row>
        <row r="145">
          <cell r="A145">
            <v>183</v>
          </cell>
          <cell r="B145" t="str">
            <v>NADINE DE OLIVEIRA MORAIS</v>
          </cell>
        </row>
        <row r="146">
          <cell r="A146">
            <v>117</v>
          </cell>
          <cell r="B146" t="str">
            <v>NAGILA DA SILVA</v>
          </cell>
        </row>
        <row r="147">
          <cell r="A147">
            <v>9</v>
          </cell>
          <cell r="B147" t="str">
            <v>NARA</v>
          </cell>
        </row>
        <row r="148">
          <cell r="A148">
            <v>55</v>
          </cell>
          <cell r="B148" t="str">
            <v>NARGILA</v>
          </cell>
        </row>
        <row r="149">
          <cell r="A149">
            <v>191</v>
          </cell>
          <cell r="B149" t="str">
            <v xml:space="preserve">NATHAN DE LIMA SOUSA </v>
          </cell>
        </row>
        <row r="150">
          <cell r="A150">
            <v>75</v>
          </cell>
          <cell r="B150" t="str">
            <v>NEUTON</v>
          </cell>
        </row>
        <row r="151">
          <cell r="A151">
            <v>128</v>
          </cell>
          <cell r="B151" t="str">
            <v>NURES GOMES BATISTA</v>
          </cell>
        </row>
        <row r="152">
          <cell r="A152">
            <v>71</v>
          </cell>
          <cell r="B152" t="str">
            <v>OFICINAS</v>
          </cell>
        </row>
        <row r="153">
          <cell r="A153">
            <v>132</v>
          </cell>
          <cell r="B153" t="str">
            <v>PAMELA GONÇALVES ROSA</v>
          </cell>
        </row>
        <row r="154">
          <cell r="A154">
            <v>93</v>
          </cell>
          <cell r="B154" t="str">
            <v>PATRICIA</v>
          </cell>
        </row>
        <row r="155">
          <cell r="A155">
            <v>33</v>
          </cell>
          <cell r="B155" t="str">
            <v>PAULINHO</v>
          </cell>
        </row>
        <row r="156">
          <cell r="A156">
            <v>115</v>
          </cell>
          <cell r="B156" t="str">
            <v>PAULO</v>
          </cell>
        </row>
        <row r="157">
          <cell r="A157">
            <v>7</v>
          </cell>
          <cell r="B157" t="str">
            <v>PEDRO</v>
          </cell>
        </row>
        <row r="158">
          <cell r="A158">
            <v>48</v>
          </cell>
          <cell r="B158" t="str">
            <v>PEDRO PAULO</v>
          </cell>
        </row>
        <row r="159">
          <cell r="A159">
            <v>197</v>
          </cell>
          <cell r="B159" t="str">
            <v xml:space="preserve">POLIANA LORRANE DE AMORIM </v>
          </cell>
        </row>
        <row r="160">
          <cell r="A160">
            <v>123</v>
          </cell>
          <cell r="B160" t="str">
            <v>PRICILA PAULA DOS SANTOS</v>
          </cell>
        </row>
        <row r="161">
          <cell r="A161">
            <v>998</v>
          </cell>
          <cell r="B161" t="str">
            <v>PROGRAMAÇÃO</v>
          </cell>
        </row>
        <row r="162">
          <cell r="A162">
            <v>129</v>
          </cell>
          <cell r="B162" t="str">
            <v>RAFAEL DA SILVA PEREIRA DIAS</v>
          </cell>
        </row>
        <row r="163">
          <cell r="A163">
            <v>120</v>
          </cell>
          <cell r="B163" t="str">
            <v>RAFAELLA DOS REIS DANTAS</v>
          </cell>
        </row>
        <row r="164">
          <cell r="A164">
            <v>172</v>
          </cell>
          <cell r="B164" t="str">
            <v>RAIMUNDO AFONSO VIEIRA</v>
          </cell>
        </row>
        <row r="165">
          <cell r="A165">
            <v>139</v>
          </cell>
          <cell r="B165" t="str">
            <v>RAMOM RODRIGUES DOS SANTOS</v>
          </cell>
        </row>
        <row r="166">
          <cell r="A166">
            <v>39</v>
          </cell>
          <cell r="B166" t="str">
            <v>RAONIREIS</v>
          </cell>
        </row>
        <row r="167">
          <cell r="A167">
            <v>136</v>
          </cell>
          <cell r="B167" t="str">
            <v>REGINALDO MARTINS DE ANDRADE</v>
          </cell>
        </row>
        <row r="168">
          <cell r="A168">
            <v>15</v>
          </cell>
          <cell r="B168" t="str">
            <v>REPRESENTANTE</v>
          </cell>
        </row>
        <row r="169">
          <cell r="A169">
            <v>106</v>
          </cell>
          <cell r="B169" t="str">
            <v>RICARDO</v>
          </cell>
        </row>
        <row r="170">
          <cell r="A170">
            <v>54</v>
          </cell>
          <cell r="B170" t="str">
            <v>ROBSON</v>
          </cell>
        </row>
        <row r="171">
          <cell r="A171">
            <v>58</v>
          </cell>
          <cell r="B171" t="str">
            <v>ROBSON SOARES</v>
          </cell>
        </row>
        <row r="172">
          <cell r="A172">
            <v>24</v>
          </cell>
          <cell r="B172" t="str">
            <v>ROGERIO</v>
          </cell>
        </row>
        <row r="173">
          <cell r="A173">
            <v>121</v>
          </cell>
          <cell r="B173" t="str">
            <v>ROMULO COSTA DE ARAUJO JUNIOR</v>
          </cell>
        </row>
        <row r="174">
          <cell r="A174">
            <v>205</v>
          </cell>
          <cell r="B174" t="str">
            <v>RONAN PARACATU</v>
          </cell>
        </row>
        <row r="175">
          <cell r="A175">
            <v>124</v>
          </cell>
          <cell r="B175" t="str">
            <v>SAMARA NERYS GUEDES NEVES</v>
          </cell>
        </row>
        <row r="176">
          <cell r="A176">
            <v>135</v>
          </cell>
          <cell r="B176" t="str">
            <v>SAMUEL DA COSTA F. CARVALHO</v>
          </cell>
        </row>
        <row r="177">
          <cell r="A177">
            <v>148</v>
          </cell>
          <cell r="B177" t="str">
            <v>SARA LUCIA DE SOUZA</v>
          </cell>
        </row>
        <row r="178">
          <cell r="A178">
            <v>211</v>
          </cell>
          <cell r="B178" t="str">
            <v>SHEILA MIRANDA</v>
          </cell>
        </row>
        <row r="179">
          <cell r="A179">
            <v>6</v>
          </cell>
          <cell r="B179" t="str">
            <v>SUZANA</v>
          </cell>
        </row>
        <row r="180">
          <cell r="A180">
            <v>112</v>
          </cell>
          <cell r="B180" t="str">
            <v>SUZANE DIAS</v>
          </cell>
        </row>
        <row r="181">
          <cell r="A181">
            <v>105</v>
          </cell>
          <cell r="B181" t="str">
            <v>TARCISIO</v>
          </cell>
        </row>
        <row r="182">
          <cell r="A182" t="str">
            <v>AUT</v>
          </cell>
          <cell r="B182" t="str">
            <v>TAREFA AUTOMÁTICA</v>
          </cell>
        </row>
        <row r="183">
          <cell r="A183">
            <v>195</v>
          </cell>
          <cell r="B183" t="str">
            <v xml:space="preserve">UILIAN ALMEIDA </v>
          </cell>
        </row>
        <row r="184">
          <cell r="A184">
            <v>194</v>
          </cell>
          <cell r="B184" t="str">
            <v>UILIAN VENDAS EXTERNAS</v>
          </cell>
        </row>
        <row r="185">
          <cell r="A185">
            <v>119</v>
          </cell>
          <cell r="B185" t="str">
            <v>VALDO RODRIGUES</v>
          </cell>
        </row>
        <row r="186">
          <cell r="A186">
            <v>141</v>
          </cell>
          <cell r="B186" t="str">
            <v>VANDERLEI RIBEIRO</v>
          </cell>
        </row>
        <row r="187">
          <cell r="A187">
            <v>94</v>
          </cell>
          <cell r="B187" t="str">
            <v>VANESSA KOBELUS</v>
          </cell>
        </row>
        <row r="188">
          <cell r="A188">
            <v>220</v>
          </cell>
          <cell r="B188" t="str">
            <v>VENDA DE PEÇAS</v>
          </cell>
        </row>
        <row r="189">
          <cell r="A189">
            <v>222</v>
          </cell>
          <cell r="B189" t="str">
            <v>VENDAS AGREGADAS</v>
          </cell>
        </row>
        <row r="190">
          <cell r="A190">
            <v>995</v>
          </cell>
          <cell r="B190" t="str">
            <v>VENDEDOR</v>
          </cell>
        </row>
        <row r="191">
          <cell r="A191">
            <v>3</v>
          </cell>
          <cell r="B191" t="str">
            <v>VICTOR DAMASCENO</v>
          </cell>
        </row>
        <row r="192">
          <cell r="A192">
            <v>40</v>
          </cell>
          <cell r="B192" t="str">
            <v>VITOR</v>
          </cell>
        </row>
        <row r="193">
          <cell r="A193">
            <v>92</v>
          </cell>
          <cell r="B193" t="str">
            <v>WAGNER</v>
          </cell>
        </row>
        <row r="194">
          <cell r="A194">
            <v>133</v>
          </cell>
          <cell r="B194" t="str">
            <v>WALBER</v>
          </cell>
        </row>
        <row r="195">
          <cell r="A195">
            <v>223</v>
          </cell>
          <cell r="B195" t="str">
            <v>WALBER TAVARES DA CONCEIÇÃO</v>
          </cell>
        </row>
        <row r="196">
          <cell r="A196">
            <v>49</v>
          </cell>
          <cell r="B196" t="str">
            <v>WASHINGTON</v>
          </cell>
        </row>
        <row r="197">
          <cell r="A197">
            <v>110</v>
          </cell>
          <cell r="B197" t="str">
            <v>WELBER NAYON</v>
          </cell>
        </row>
        <row r="198">
          <cell r="A198">
            <v>10</v>
          </cell>
          <cell r="B198" t="str">
            <v>WELLINGTON</v>
          </cell>
        </row>
        <row r="199">
          <cell r="A199">
            <v>85</v>
          </cell>
          <cell r="B199" t="str">
            <v>WEMERSON</v>
          </cell>
        </row>
        <row r="200">
          <cell r="A200">
            <v>125</v>
          </cell>
          <cell r="B200" t="str">
            <v>WENDERSON PEREIRA JESUS</v>
          </cell>
        </row>
        <row r="201">
          <cell r="A201">
            <v>34</v>
          </cell>
          <cell r="B201" t="str">
            <v>WESLEY</v>
          </cell>
        </row>
        <row r="202">
          <cell r="A202">
            <v>87</v>
          </cell>
          <cell r="B202" t="str">
            <v>WESLLEY</v>
          </cell>
        </row>
        <row r="203">
          <cell r="A203">
            <v>138</v>
          </cell>
          <cell r="B203" t="str">
            <v>WILLIAM ASSIS FERREIRA DA SILV</v>
          </cell>
        </row>
        <row r="204">
          <cell r="A204">
            <v>212</v>
          </cell>
          <cell r="B204" t="str">
            <v>YASMIN</v>
          </cell>
        </row>
        <row r="205">
          <cell r="A205">
            <v>134</v>
          </cell>
          <cell r="B205" t="str">
            <v>YSA ARAUJO</v>
          </cell>
        </row>
        <row r="206">
          <cell r="A206">
            <v>227</v>
          </cell>
          <cell r="B206" t="str">
            <v>WHALISSON</v>
          </cell>
        </row>
        <row r="207">
          <cell r="A207">
            <v>228</v>
          </cell>
          <cell r="B207" t="str">
            <v>LUCAS</v>
          </cell>
        </row>
        <row r="208">
          <cell r="A208">
            <v>229</v>
          </cell>
          <cell r="B208" t="str">
            <v>FRED</v>
          </cell>
        </row>
        <row r="209">
          <cell r="A209">
            <v>230</v>
          </cell>
          <cell r="B209" t="str">
            <v>SÔNIA</v>
          </cell>
        </row>
        <row r="210">
          <cell r="A210">
            <v>231</v>
          </cell>
          <cell r="B210" t="str">
            <v>EDIJANE</v>
          </cell>
        </row>
        <row r="211">
          <cell r="A211">
            <v>233</v>
          </cell>
          <cell r="B211" t="str">
            <v>MARCELO MENEZES</v>
          </cell>
        </row>
        <row r="212">
          <cell r="A212">
            <v>232</v>
          </cell>
          <cell r="B212" t="str">
            <v>JESSICA GUIMARÃES</v>
          </cell>
        </row>
        <row r="213">
          <cell r="A213">
            <v>234</v>
          </cell>
          <cell r="B213" t="str">
            <v>MARCOS AURÉLIO</v>
          </cell>
        </row>
        <row r="214">
          <cell r="A214">
            <v>236</v>
          </cell>
          <cell r="B214" t="str">
            <v>DANIEL</v>
          </cell>
        </row>
        <row r="215">
          <cell r="A215">
            <v>237</v>
          </cell>
          <cell r="B215" t="str">
            <v>ANTÔNIO</v>
          </cell>
        </row>
        <row r="216">
          <cell r="A216">
            <v>239</v>
          </cell>
          <cell r="B216" t="str">
            <v>BRUNO</v>
          </cell>
        </row>
        <row r="217">
          <cell r="A217">
            <v>240</v>
          </cell>
          <cell r="B217" t="str">
            <v>MICHEL</v>
          </cell>
        </row>
        <row r="218">
          <cell r="A218">
            <v>238</v>
          </cell>
          <cell r="B218" t="str">
            <v>BIANCA</v>
          </cell>
        </row>
        <row r="219">
          <cell r="A219">
            <v>510</v>
          </cell>
          <cell r="B219" t="str">
            <v>MARCELO FERREIRA</v>
          </cell>
        </row>
        <row r="220">
          <cell r="A220">
            <v>241</v>
          </cell>
          <cell r="B220" t="str">
            <v>PRISCILA</v>
          </cell>
        </row>
        <row r="221">
          <cell r="A221">
            <v>242</v>
          </cell>
          <cell r="B221" t="str">
            <v>CRISTIANO</v>
          </cell>
        </row>
        <row r="222">
          <cell r="A222">
            <v>510</v>
          </cell>
          <cell r="B222" t="str">
            <v>MARCELO</v>
          </cell>
        </row>
        <row r="223">
          <cell r="A223">
            <v>243</v>
          </cell>
          <cell r="B223" t="str">
            <v>HERICKA</v>
          </cell>
        </row>
        <row r="224">
          <cell r="A224">
            <v>245</v>
          </cell>
          <cell r="B224" t="str">
            <v>JOÃO PEDRO</v>
          </cell>
        </row>
        <row r="225">
          <cell r="A225">
            <v>226</v>
          </cell>
          <cell r="B225" t="str">
            <v>MARIA FÉLIX</v>
          </cell>
        </row>
        <row r="226">
          <cell r="A226">
            <v>244</v>
          </cell>
          <cell r="B226" t="str">
            <v>NATHALIA PEREIRA DA SILVA</v>
          </cell>
        </row>
        <row r="227">
          <cell r="A227">
            <v>246</v>
          </cell>
          <cell r="B227" t="str">
            <v>VITORIA APARECIDA</v>
          </cell>
        </row>
        <row r="228">
          <cell r="A228">
            <v>247</v>
          </cell>
          <cell r="B228" t="str">
            <v>TATIELE BRITO</v>
          </cell>
        </row>
      </sheetData>
      <sheetData sheetId="1">
        <row r="1">
          <cell r="A1">
            <v>1</v>
          </cell>
          <cell r="B1" t="str">
            <v>GUARÁ</v>
          </cell>
        </row>
        <row r="2">
          <cell r="A2">
            <v>4</v>
          </cell>
          <cell r="B2" t="str">
            <v>ADE</v>
          </cell>
        </row>
        <row r="3">
          <cell r="A3">
            <v>6</v>
          </cell>
          <cell r="B3" t="str">
            <v>GAMA</v>
          </cell>
        </row>
        <row r="4">
          <cell r="A4">
            <v>8</v>
          </cell>
          <cell r="B4" t="str">
            <v>LUZIÂNIA</v>
          </cell>
        </row>
        <row r="5">
          <cell r="A5">
            <v>9</v>
          </cell>
          <cell r="B5" t="str">
            <v>ÚNICA</v>
          </cell>
        </row>
        <row r="6">
          <cell r="A6">
            <v>12</v>
          </cell>
          <cell r="B6" t="str">
            <v>SOFNORTE</v>
          </cell>
        </row>
        <row r="7">
          <cell r="A7">
            <v>13</v>
          </cell>
          <cell r="B7" t="str">
            <v>CEILÂNDIA</v>
          </cell>
        </row>
        <row r="8">
          <cell r="A8">
            <v>14</v>
          </cell>
          <cell r="B8" t="str">
            <v>S IA</v>
          </cell>
        </row>
        <row r="9">
          <cell r="A9">
            <v>15</v>
          </cell>
          <cell r="B9" t="str">
            <v>UNAÍ</v>
          </cell>
        </row>
        <row r="10">
          <cell r="A10">
            <v>16</v>
          </cell>
          <cell r="B10" t="str">
            <v>AG LINDAS</v>
          </cell>
        </row>
        <row r="11">
          <cell r="A11">
            <v>22</v>
          </cell>
          <cell r="B11" t="str">
            <v>GUARÁ</v>
          </cell>
        </row>
        <row r="12">
          <cell r="A12">
            <v>24</v>
          </cell>
          <cell r="B12" t="str">
            <v>LUZIÂNIA</v>
          </cell>
        </row>
        <row r="13">
          <cell r="A13">
            <v>20</v>
          </cell>
          <cell r="B13" t="str">
            <v>DAUTO SERVIÇOS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509CD-89A4-489A-8AAB-72E7E9E3E5FD}" name="Tabela2" displayName="Tabela2" ref="A1:V2387" totalsRowShown="0">
  <autoFilter ref="A1:V2387" xr:uid="{E81509CD-89A4-489A-8AAB-72E7E9E3E5FD}"/>
  <tableColumns count="22">
    <tableColumn id="1" xr3:uid="{5B627EBA-66A1-4473-88B4-06E9FB131633}" name="CLIENTE"/>
    <tableColumn id="2" xr3:uid="{5A5FE13D-3B34-411C-9C46-5B9E285DFE5C}" name="TELEFONE"/>
    <tableColumn id="3" xr3:uid="{D87F80A1-5E07-4B5E-B1F7-910379CC15BA}" name="LIMITE DE CRÉDITO"/>
    <tableColumn id="4" xr3:uid="{68591500-54FB-48A7-A6A4-B964708DC0B3}" name="OBS"/>
    <tableColumn id="5" xr3:uid="{D94D8859-3ED8-4470-AD25-1AE9F6E92233}" name="VAZIO"/>
    <tableColumn id="6" xr3:uid="{F14CDEA5-3F93-4B10-A686-B14B98BFD318}" name="VAZIO2"/>
    <tableColumn id="7" xr3:uid="{F72DE8D9-305A-4D95-8018-31A84B6AA72D}" name="VAZIO3"/>
    <tableColumn id="8" xr3:uid="{FA2E2098-C10E-45E0-B5D3-43D014F5117D}" name="VAZIO4"/>
    <tableColumn id="9" xr3:uid="{34BF5A5D-FD7C-4594-8EC2-C7170CB62A9B}" name="VAZIO5"/>
    <tableColumn id="10" xr3:uid="{E4DA28D2-F485-42E4-B78F-C46514384D96}" name="VENCTO" dataDxfId="1"/>
    <tableColumn id="11" xr3:uid="{EDF2D72A-C99A-437C-9D62-EE3D99893063}" name="ATR"/>
    <tableColumn id="12" xr3:uid="{898F62AA-EADB-4EAF-9DDB-291C2FED3F12}" name="DUPLICATA"/>
    <tableColumn id="13" xr3:uid="{656BC43B-3502-45F3-A0F6-4DDB71CEF5D6}" name="LOJ"/>
    <tableColumn id="14" xr3:uid="{67F917E1-7437-4C4D-B227-3EF844F9D8A1}" name="EMPRESA">
      <calculatedColumnFormula>VLOOKUP(M2,[1]LOJA!$A:$B,2,0)</calculatedColumnFormula>
    </tableColumn>
    <tableColumn id="15" xr3:uid="{710EC29B-35D0-4ABB-B1AF-8410BE315B60}" name="VENDE"/>
    <tableColumn id="16" xr3:uid="{86B295A0-ADB0-4E97-91C9-28DA392AE886}" name="OPERADOR2">
      <calculatedColumnFormula>VLOOKUP(O2,[1]OPERADORES!$A:$B,2,0)</calculatedColumnFormula>
    </tableColumn>
    <tableColumn id="17" xr3:uid="{9B7B80B0-B2E5-4A7D-A460-E5EEBC559321}" name="PORT.D"/>
    <tableColumn id="18" xr3:uid="{46D5CDDC-67D4-4C8D-AE54-0DBDDEE953D3}" name="NOSSO NR"/>
    <tableColumn id="19" xr3:uid="{892F50C9-1F2E-431F-BC4B-3C52BA74B6FC}" name="HISTORICO"/>
    <tableColumn id="20" xr3:uid="{DAB9EF2C-723A-4B3B-9214-ECAD90113BB1}" name="DTA.CAD" dataDxfId="0"/>
    <tableColumn id="21" xr3:uid="{AC10EC48-25F9-42A8-A097-8667EC3F041B}" name="V.ORIGI"/>
    <tableColumn id="22" xr3:uid="{21E459BB-D872-4DD5-AEC7-5CC69DF4CC71}" name="V.LIQU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F5E3-09A5-463E-B9C1-8B46730EFE8C}">
  <dimension ref="A1:V2452"/>
  <sheetViews>
    <sheetView tabSelected="1" workbookViewId="0">
      <selection activeCell="A20" sqref="A20"/>
    </sheetView>
  </sheetViews>
  <sheetFormatPr defaultRowHeight="14.4" x14ac:dyDescent="0.3"/>
  <cols>
    <col min="1" max="1" width="73" bestFit="1" customWidth="1"/>
    <col min="2" max="2" width="52.77734375" bestFit="1" customWidth="1"/>
    <col min="3" max="3" width="24.88671875" bestFit="1" customWidth="1"/>
    <col min="4" max="4" width="21.44140625" bestFit="1" customWidth="1"/>
    <col min="5" max="5" width="7.88671875" customWidth="1"/>
    <col min="10" max="10" width="10.5546875" bestFit="1" customWidth="1"/>
    <col min="11" max="11" width="6.109375" customWidth="1"/>
    <col min="12" max="12" width="19.21875" bestFit="1" customWidth="1"/>
    <col min="13" max="13" width="5.77734375" customWidth="1"/>
    <col min="14" max="14" width="10.6640625" customWidth="1"/>
    <col min="15" max="15" width="6.33203125" customWidth="1"/>
    <col min="16" max="16" width="12.109375" customWidth="1"/>
    <col min="17" max="17" width="9.109375" customWidth="1"/>
    <col min="18" max="18" width="11.5546875" customWidth="1"/>
    <col min="19" max="19" width="255.77734375" bestFit="1" customWidth="1"/>
    <col min="20" max="20" width="10.5546875" bestFit="1" customWidth="1"/>
    <col min="21" max="22" width="9.6640625" bestFit="1" customWidth="1"/>
  </cols>
  <sheetData>
    <row r="1" spans="1:22" x14ac:dyDescent="0.3">
      <c r="A1" t="s">
        <v>0</v>
      </c>
      <c r="B1" t="s">
        <v>5293</v>
      </c>
      <c r="C1" t="s">
        <v>5294</v>
      </c>
      <c r="D1" t="s">
        <v>5295</v>
      </c>
      <c r="E1" t="s">
        <v>5296</v>
      </c>
      <c r="F1" t="s">
        <v>5298</v>
      </c>
      <c r="G1" t="s">
        <v>5299</v>
      </c>
      <c r="H1" t="s">
        <v>5300</v>
      </c>
      <c r="I1" t="s">
        <v>5301</v>
      </c>
      <c r="J1" t="s">
        <v>1</v>
      </c>
      <c r="K1" t="s">
        <v>2</v>
      </c>
      <c r="L1" t="s">
        <v>3</v>
      </c>
      <c r="M1" t="s">
        <v>4</v>
      </c>
      <c r="N1" t="s">
        <v>5297</v>
      </c>
      <c r="O1" t="s">
        <v>5303</v>
      </c>
      <c r="P1" t="s">
        <v>5302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 x14ac:dyDescent="0.3">
      <c r="A2" t="s">
        <v>5304</v>
      </c>
      <c r="B2" t="s">
        <v>5305</v>
      </c>
      <c r="C2" t="s">
        <v>13</v>
      </c>
      <c r="D2" t="s">
        <v>5306</v>
      </c>
      <c r="E2" t="s">
        <v>15</v>
      </c>
      <c r="J2" s="1">
        <v>46073</v>
      </c>
      <c r="K2">
        <v>11</v>
      </c>
      <c r="L2" t="s">
        <v>5307</v>
      </c>
      <c r="M2">
        <v>9</v>
      </c>
      <c r="N2" t="str">
        <f>VLOOKUP(M2,[1]LOJA!$A:$B,2,0)</f>
        <v>ÚNICA</v>
      </c>
      <c r="O2">
        <v>144</v>
      </c>
      <c r="P2" t="str">
        <f>VLOOKUP(O2,[1]OPERADORES!$A:$B,2,0)</f>
        <v>CINTIA DA SILVA CARLOS</v>
      </c>
      <c r="Q2">
        <v>4</v>
      </c>
      <c r="S2" t="s">
        <v>5308</v>
      </c>
      <c r="T2" s="1">
        <v>46073</v>
      </c>
      <c r="U2">
        <v>-2.52</v>
      </c>
      <c r="V2">
        <v>-2.52</v>
      </c>
    </row>
    <row r="3" spans="1:22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J3" s="1">
        <v>45525</v>
      </c>
      <c r="K3">
        <v>559</v>
      </c>
      <c r="L3" t="s">
        <v>16</v>
      </c>
      <c r="M3">
        <v>9</v>
      </c>
      <c r="N3" t="str">
        <f>VLOOKUP(M3,[1]LOJA!$A:$B,2,0)</f>
        <v>ÚNICA</v>
      </c>
      <c r="O3">
        <v>144</v>
      </c>
      <c r="P3" t="str">
        <f>VLOOKUP(O3,[1]OPERADORES!$A:$B,2,0)</f>
        <v>CINTIA DA SILVA CARLOS</v>
      </c>
      <c r="Q3">
        <v>4</v>
      </c>
      <c r="S3" t="s">
        <v>17</v>
      </c>
      <c r="T3" s="1">
        <v>45525</v>
      </c>
      <c r="U3">
        <v>-5.0199999999999996</v>
      </c>
      <c r="V3">
        <v>-5.0199999999999996</v>
      </c>
    </row>
    <row r="4" spans="1:22" x14ac:dyDescent="0.3">
      <c r="A4" t="s">
        <v>18</v>
      </c>
      <c r="B4" t="s">
        <v>19</v>
      </c>
      <c r="C4" t="s">
        <v>13</v>
      </c>
      <c r="D4" t="s">
        <v>20</v>
      </c>
      <c r="E4" t="s">
        <v>15</v>
      </c>
      <c r="J4" s="1">
        <v>46022</v>
      </c>
      <c r="K4">
        <v>62</v>
      </c>
      <c r="L4" t="s">
        <v>21</v>
      </c>
      <c r="M4">
        <v>9</v>
      </c>
      <c r="N4" t="str">
        <f>VLOOKUP(M4,[1]LOJA!$A:$B,2,0)</f>
        <v>ÚNICA</v>
      </c>
      <c r="O4">
        <v>20</v>
      </c>
      <c r="P4" t="str">
        <f>VLOOKUP(O4,[1]OPERADORES!$A:$B,2,0)</f>
        <v>MAYARA</v>
      </c>
      <c r="Q4">
        <v>4</v>
      </c>
      <c r="S4" t="s">
        <v>22</v>
      </c>
      <c r="T4" s="1">
        <v>45867</v>
      </c>
      <c r="U4" s="2">
        <v>-1113.04</v>
      </c>
      <c r="V4" s="2">
        <v>-1113.04</v>
      </c>
    </row>
    <row r="5" spans="1:22" x14ac:dyDescent="0.3">
      <c r="A5" t="s">
        <v>5309</v>
      </c>
      <c r="B5" t="s">
        <v>5310</v>
      </c>
      <c r="C5" t="s">
        <v>13</v>
      </c>
      <c r="D5" t="s">
        <v>5311</v>
      </c>
      <c r="E5" t="s">
        <v>15</v>
      </c>
      <c r="J5" s="1">
        <v>46060</v>
      </c>
      <c r="K5">
        <v>24</v>
      </c>
      <c r="L5" t="s">
        <v>5312</v>
      </c>
      <c r="M5">
        <v>22</v>
      </c>
      <c r="N5" t="str">
        <f>VLOOKUP(M5,[1]LOJA!$A:$B,2,0)</f>
        <v>GUARÁ</v>
      </c>
      <c r="O5">
        <v>238</v>
      </c>
      <c r="P5" t="str">
        <f>VLOOKUP(O5,[1]OPERADORES!$A:$B,2,0)</f>
        <v>BIANCA</v>
      </c>
      <c r="Q5">
        <v>4</v>
      </c>
      <c r="S5" t="s">
        <v>5313</v>
      </c>
      <c r="T5" s="1">
        <v>46060</v>
      </c>
      <c r="U5">
        <v>-9.99</v>
      </c>
      <c r="V5">
        <v>-9.99</v>
      </c>
    </row>
    <row r="6" spans="1:22" x14ac:dyDescent="0.3">
      <c r="A6" t="s">
        <v>5309</v>
      </c>
      <c r="B6" t="s">
        <v>5310</v>
      </c>
      <c r="C6" t="s">
        <v>13</v>
      </c>
      <c r="D6" t="s">
        <v>5311</v>
      </c>
      <c r="E6" t="s">
        <v>15</v>
      </c>
      <c r="J6" s="1">
        <v>46072</v>
      </c>
      <c r="K6">
        <v>12</v>
      </c>
      <c r="L6" t="s">
        <v>5314</v>
      </c>
      <c r="M6">
        <v>22</v>
      </c>
      <c r="N6" t="str">
        <f>VLOOKUP(M6,[1]LOJA!$A:$B,2,0)</f>
        <v>GUARÁ</v>
      </c>
      <c r="O6">
        <v>93</v>
      </c>
      <c r="P6" t="str">
        <f>VLOOKUP(O6,[1]OPERADORES!$A:$B,2,0)</f>
        <v>PATRICIA</v>
      </c>
      <c r="Q6">
        <v>4</v>
      </c>
      <c r="S6" t="s">
        <v>5315</v>
      </c>
      <c r="T6" s="1">
        <v>46072</v>
      </c>
      <c r="U6">
        <v>-18</v>
      </c>
      <c r="V6">
        <v>-18</v>
      </c>
    </row>
    <row r="7" spans="1:22" x14ac:dyDescent="0.3">
      <c r="A7" t="s">
        <v>23</v>
      </c>
      <c r="B7" t="s">
        <v>24</v>
      </c>
      <c r="C7" t="s">
        <v>13</v>
      </c>
      <c r="D7" t="s">
        <v>25</v>
      </c>
      <c r="E7" t="s">
        <v>15</v>
      </c>
      <c r="J7" s="1">
        <v>45575</v>
      </c>
      <c r="K7">
        <v>509</v>
      </c>
      <c r="L7" t="s">
        <v>26</v>
      </c>
      <c r="M7">
        <v>9</v>
      </c>
      <c r="N7" t="str">
        <f>VLOOKUP(M7,[1]LOJA!$A:$B,2,0)</f>
        <v>ÚNICA</v>
      </c>
      <c r="O7">
        <v>144</v>
      </c>
      <c r="P7" t="str">
        <f>VLOOKUP(O7,[1]OPERADORES!$A:$B,2,0)</f>
        <v>CINTIA DA SILVA CARLOS</v>
      </c>
      <c r="Q7">
        <v>4</v>
      </c>
      <c r="S7" t="s">
        <v>27</v>
      </c>
      <c r="T7" s="1">
        <v>45575</v>
      </c>
      <c r="U7">
        <v>-5.98</v>
      </c>
      <c r="V7">
        <v>-5.98</v>
      </c>
    </row>
    <row r="8" spans="1:22" x14ac:dyDescent="0.3">
      <c r="A8" t="s">
        <v>28</v>
      </c>
      <c r="B8" t="s">
        <v>29</v>
      </c>
      <c r="C8" t="s">
        <v>30</v>
      </c>
      <c r="D8" t="s">
        <v>5316</v>
      </c>
      <c r="E8" t="s">
        <v>15</v>
      </c>
      <c r="J8" s="1">
        <v>46073</v>
      </c>
      <c r="K8">
        <v>11</v>
      </c>
      <c r="L8" t="s">
        <v>5317</v>
      </c>
      <c r="M8">
        <v>13</v>
      </c>
      <c r="N8" t="str">
        <f>VLOOKUP(M8,[1]LOJA!$A:$B,2,0)</f>
        <v>CEILÂNDIA</v>
      </c>
      <c r="O8">
        <v>20</v>
      </c>
      <c r="P8" t="str">
        <f>VLOOKUP(O8,[1]OPERADORES!$A:$B,2,0)</f>
        <v>MAYARA</v>
      </c>
      <c r="Q8">
        <v>12</v>
      </c>
      <c r="S8" t="s">
        <v>5318</v>
      </c>
      <c r="T8" s="1">
        <v>46057</v>
      </c>
      <c r="U8">
        <v>919.17</v>
      </c>
      <c r="V8">
        <v>919.17</v>
      </c>
    </row>
    <row r="9" spans="1:22" x14ac:dyDescent="0.3">
      <c r="A9" t="s">
        <v>5319</v>
      </c>
      <c r="B9" t="s">
        <v>5320</v>
      </c>
      <c r="C9" t="s">
        <v>13</v>
      </c>
      <c r="D9" t="s">
        <v>5321</v>
      </c>
      <c r="E9" t="s">
        <v>15</v>
      </c>
      <c r="J9" s="1">
        <v>46084</v>
      </c>
      <c r="K9">
        <v>0</v>
      </c>
      <c r="L9" t="s">
        <v>5322</v>
      </c>
      <c r="M9">
        <v>9</v>
      </c>
      <c r="N9" t="str">
        <f>VLOOKUP(M9,[1]LOJA!$A:$B,2,0)</f>
        <v>ÚNICA</v>
      </c>
      <c r="O9">
        <v>236</v>
      </c>
      <c r="P9" t="str">
        <f>VLOOKUP(O9,[1]OPERADORES!$A:$B,2,0)</f>
        <v>DANIEL</v>
      </c>
      <c r="Q9">
        <v>7</v>
      </c>
      <c r="S9" t="s">
        <v>87</v>
      </c>
      <c r="T9" s="1">
        <v>46083</v>
      </c>
      <c r="U9">
        <v>60.16</v>
      </c>
      <c r="V9">
        <v>60.16</v>
      </c>
    </row>
    <row r="10" spans="1:22" x14ac:dyDescent="0.3">
      <c r="A10" t="s">
        <v>31</v>
      </c>
      <c r="B10" t="s">
        <v>32</v>
      </c>
      <c r="C10" t="s">
        <v>13</v>
      </c>
      <c r="D10" t="s">
        <v>33</v>
      </c>
      <c r="E10" t="s">
        <v>15</v>
      </c>
      <c r="J10" s="1">
        <v>45343</v>
      </c>
      <c r="K10">
        <v>741</v>
      </c>
      <c r="L10" t="s">
        <v>34</v>
      </c>
      <c r="M10">
        <v>9</v>
      </c>
      <c r="N10" t="str">
        <f>VLOOKUP(M10,[1]LOJA!$A:$B,2,0)</f>
        <v>ÚNICA</v>
      </c>
      <c r="O10">
        <v>144</v>
      </c>
      <c r="P10" t="str">
        <f>VLOOKUP(O10,[1]OPERADORES!$A:$B,2,0)</f>
        <v>CINTIA DA SILVA CARLOS</v>
      </c>
      <c r="Q10">
        <v>4</v>
      </c>
      <c r="S10" t="s">
        <v>35</v>
      </c>
      <c r="T10" s="1">
        <v>45343</v>
      </c>
      <c r="U10">
        <v>-0.72</v>
      </c>
      <c r="V10">
        <v>-0.72</v>
      </c>
    </row>
    <row r="11" spans="1:22" x14ac:dyDescent="0.3">
      <c r="A11" t="s">
        <v>5323</v>
      </c>
      <c r="B11" t="s">
        <v>5324</v>
      </c>
      <c r="C11" t="s">
        <v>13</v>
      </c>
      <c r="D11" t="s">
        <v>5325</v>
      </c>
      <c r="E11" t="s">
        <v>15</v>
      </c>
      <c r="J11" s="1">
        <v>46084</v>
      </c>
      <c r="K11">
        <v>0</v>
      </c>
      <c r="L11" t="s">
        <v>5326</v>
      </c>
      <c r="M11">
        <v>9</v>
      </c>
      <c r="N11" t="str">
        <f>VLOOKUP(M11,[1]LOJA!$A:$B,2,0)</f>
        <v>ÚNICA</v>
      </c>
      <c r="O11">
        <v>236</v>
      </c>
      <c r="P11" t="str">
        <f>VLOOKUP(O11,[1]OPERADORES!$A:$B,2,0)</f>
        <v>DANIEL</v>
      </c>
      <c r="Q11">
        <v>7</v>
      </c>
      <c r="S11" t="s">
        <v>87</v>
      </c>
      <c r="T11" s="1">
        <v>46083</v>
      </c>
      <c r="U11">
        <v>997.77</v>
      </c>
      <c r="V11">
        <v>997.77</v>
      </c>
    </row>
    <row r="12" spans="1:22" x14ac:dyDescent="0.3">
      <c r="A12" t="s">
        <v>36</v>
      </c>
      <c r="B12" t="s">
        <v>37</v>
      </c>
      <c r="C12" t="s">
        <v>13</v>
      </c>
      <c r="D12" t="s">
        <v>38</v>
      </c>
      <c r="E12" t="s">
        <v>15</v>
      </c>
      <c r="J12" s="1">
        <v>45730</v>
      </c>
      <c r="K12">
        <v>354</v>
      </c>
      <c r="L12" t="s">
        <v>39</v>
      </c>
      <c r="M12">
        <v>9</v>
      </c>
      <c r="N12" t="str">
        <f>VLOOKUP(M12,[1]LOJA!$A:$B,2,0)</f>
        <v>ÚNICA</v>
      </c>
      <c r="O12">
        <v>144</v>
      </c>
      <c r="P12" t="str">
        <f>VLOOKUP(O12,[1]OPERADORES!$A:$B,2,0)</f>
        <v>CINTIA DA SILVA CARLOS</v>
      </c>
      <c r="Q12">
        <v>4</v>
      </c>
      <c r="S12" t="s">
        <v>40</v>
      </c>
      <c r="T12" s="1">
        <v>45730</v>
      </c>
      <c r="U12">
        <v>-0.42</v>
      </c>
      <c r="V12">
        <v>-0.42</v>
      </c>
    </row>
    <row r="13" spans="1:22" x14ac:dyDescent="0.3">
      <c r="A13" t="s">
        <v>5327</v>
      </c>
      <c r="B13" t="s">
        <v>5328</v>
      </c>
      <c r="C13" t="s">
        <v>13</v>
      </c>
      <c r="D13" t="s">
        <v>5329</v>
      </c>
      <c r="E13" t="s">
        <v>15</v>
      </c>
      <c r="J13" s="1">
        <v>46079</v>
      </c>
      <c r="K13">
        <v>5</v>
      </c>
      <c r="L13" t="s">
        <v>5330</v>
      </c>
      <c r="M13">
        <v>13</v>
      </c>
      <c r="N13" t="str">
        <f>VLOOKUP(M13,[1]LOJA!$A:$B,2,0)</f>
        <v>CEILÂNDIA</v>
      </c>
      <c r="O13">
        <v>86</v>
      </c>
      <c r="P13" t="str">
        <f>VLOOKUP(O13,[1]OPERADORES!$A:$B,2,0)</f>
        <v>AMANDA</v>
      </c>
      <c r="Q13">
        <v>7</v>
      </c>
      <c r="S13" t="s">
        <v>87</v>
      </c>
      <c r="T13" s="1">
        <v>46078</v>
      </c>
      <c r="U13" s="2">
        <v>2650</v>
      </c>
      <c r="V13" s="2">
        <v>2650</v>
      </c>
    </row>
    <row r="14" spans="1:22" x14ac:dyDescent="0.3">
      <c r="A14" t="s">
        <v>5331</v>
      </c>
      <c r="B14" t="s">
        <v>5332</v>
      </c>
      <c r="C14" t="s">
        <v>13</v>
      </c>
      <c r="D14" t="s">
        <v>5333</v>
      </c>
      <c r="E14" t="s">
        <v>15</v>
      </c>
      <c r="J14" s="1">
        <v>46081</v>
      </c>
      <c r="K14">
        <v>3</v>
      </c>
      <c r="L14" t="s">
        <v>5334</v>
      </c>
      <c r="M14">
        <v>9</v>
      </c>
      <c r="N14" t="str">
        <f>VLOOKUP(M14,[1]LOJA!$A:$B,2,0)</f>
        <v>ÚNICA</v>
      </c>
      <c r="O14">
        <v>236</v>
      </c>
      <c r="P14" t="str">
        <f>VLOOKUP(O14,[1]OPERADORES!$A:$B,2,0)</f>
        <v>DANIEL</v>
      </c>
      <c r="Q14">
        <v>7</v>
      </c>
      <c r="S14" t="s">
        <v>87</v>
      </c>
      <c r="T14" s="1">
        <v>46080</v>
      </c>
      <c r="U14" s="2">
        <v>1192.2</v>
      </c>
      <c r="V14" s="2">
        <v>1192.2</v>
      </c>
    </row>
    <row r="15" spans="1:22" x14ac:dyDescent="0.3">
      <c r="A15" t="s">
        <v>41</v>
      </c>
      <c r="B15" t="s">
        <v>42</v>
      </c>
      <c r="C15" t="s">
        <v>43</v>
      </c>
      <c r="D15" t="s">
        <v>44</v>
      </c>
      <c r="E15" t="s">
        <v>15</v>
      </c>
      <c r="J15" s="1">
        <v>45647</v>
      </c>
      <c r="K15">
        <v>437</v>
      </c>
      <c r="L15" t="s">
        <v>45</v>
      </c>
      <c r="M15">
        <v>4</v>
      </c>
      <c r="N15" t="str">
        <f>VLOOKUP(M15,[1]LOJA!$A:$B,2,0)</f>
        <v>ADE</v>
      </c>
      <c r="O15">
        <v>132</v>
      </c>
      <c r="P15" t="str">
        <f>VLOOKUP(O15,[1]OPERADORES!$A:$B,2,0)</f>
        <v>PAMELA GONÇALVES ROSA</v>
      </c>
      <c r="Q15">
        <v>20</v>
      </c>
      <c r="R15">
        <v>4000001713</v>
      </c>
      <c r="S15" t="s">
        <v>46</v>
      </c>
      <c r="T15" s="1">
        <v>45587</v>
      </c>
      <c r="U15">
        <v>240</v>
      </c>
      <c r="V15">
        <v>240</v>
      </c>
    </row>
    <row r="16" spans="1:22" x14ac:dyDescent="0.3">
      <c r="A16" t="s">
        <v>47</v>
      </c>
      <c r="B16" t="s">
        <v>48</v>
      </c>
      <c r="C16" t="s">
        <v>13</v>
      </c>
      <c r="D16" t="s">
        <v>49</v>
      </c>
      <c r="E16" t="s">
        <v>15</v>
      </c>
      <c r="J16" s="1">
        <v>45186</v>
      </c>
      <c r="K16">
        <v>898</v>
      </c>
      <c r="L16" t="s">
        <v>50</v>
      </c>
      <c r="M16">
        <v>9</v>
      </c>
      <c r="N16" t="str">
        <f>VLOOKUP(M16,[1]LOJA!$A:$B,2,0)</f>
        <v>ÚNICA</v>
      </c>
      <c r="O16">
        <v>196</v>
      </c>
      <c r="P16" t="str">
        <f>VLOOKUP(O16,[1]OPERADORES!$A:$B,2,0)</f>
        <v>KASSIANO MARCUS ALVES SILVA</v>
      </c>
      <c r="Q16">
        <v>23</v>
      </c>
      <c r="R16">
        <v>50926</v>
      </c>
      <c r="S16" t="s">
        <v>51</v>
      </c>
      <c r="T16" s="1">
        <v>45156</v>
      </c>
      <c r="U16">
        <v>812.51</v>
      </c>
      <c r="V16">
        <v>812.51</v>
      </c>
    </row>
    <row r="17" spans="1:22" x14ac:dyDescent="0.3">
      <c r="A17" t="s">
        <v>47</v>
      </c>
      <c r="B17" t="s">
        <v>48</v>
      </c>
      <c r="C17" t="s">
        <v>13</v>
      </c>
      <c r="D17" t="s">
        <v>49</v>
      </c>
      <c r="E17" t="s">
        <v>15</v>
      </c>
      <c r="J17" s="1">
        <v>45216</v>
      </c>
      <c r="K17">
        <v>868</v>
      </c>
      <c r="L17" t="s">
        <v>52</v>
      </c>
      <c r="M17">
        <v>9</v>
      </c>
      <c r="N17" t="str">
        <f>VLOOKUP(M17,[1]LOJA!$A:$B,2,0)</f>
        <v>ÚNICA</v>
      </c>
      <c r="O17">
        <v>196</v>
      </c>
      <c r="P17" t="str">
        <f>VLOOKUP(O17,[1]OPERADORES!$A:$B,2,0)</f>
        <v>KASSIANO MARCUS ALVES SILVA</v>
      </c>
      <c r="Q17">
        <v>23</v>
      </c>
      <c r="R17">
        <v>50934</v>
      </c>
      <c r="S17" t="s">
        <v>53</v>
      </c>
      <c r="T17" s="1">
        <v>45156</v>
      </c>
      <c r="U17">
        <v>812.5</v>
      </c>
      <c r="V17">
        <v>812.5</v>
      </c>
    </row>
    <row r="18" spans="1:22" x14ac:dyDescent="0.3">
      <c r="A18" t="s">
        <v>47</v>
      </c>
      <c r="B18" t="s">
        <v>48</v>
      </c>
      <c r="C18" t="s">
        <v>13</v>
      </c>
      <c r="D18" t="s">
        <v>49</v>
      </c>
      <c r="E18" t="s">
        <v>15</v>
      </c>
      <c r="J18" s="1">
        <v>45246</v>
      </c>
      <c r="K18">
        <v>838</v>
      </c>
      <c r="L18" t="s">
        <v>54</v>
      </c>
      <c r="M18">
        <v>9</v>
      </c>
      <c r="N18" t="str">
        <f>VLOOKUP(M18,[1]LOJA!$A:$B,2,0)</f>
        <v>ÚNICA</v>
      </c>
      <c r="O18">
        <v>196</v>
      </c>
      <c r="P18" t="str">
        <f>VLOOKUP(O18,[1]OPERADORES!$A:$B,2,0)</f>
        <v>KASSIANO MARCUS ALVES SILVA</v>
      </c>
      <c r="Q18">
        <v>23</v>
      </c>
      <c r="R18">
        <v>50942</v>
      </c>
      <c r="S18" t="s">
        <v>55</v>
      </c>
      <c r="T18" s="1">
        <v>45156</v>
      </c>
      <c r="U18">
        <v>812.5</v>
      </c>
      <c r="V18">
        <v>812.5</v>
      </c>
    </row>
    <row r="19" spans="1:22" x14ac:dyDescent="0.3">
      <c r="A19" t="s">
        <v>56</v>
      </c>
      <c r="B19" t="s">
        <v>57</v>
      </c>
      <c r="C19" t="s">
        <v>13</v>
      </c>
      <c r="D19" t="s">
        <v>58</v>
      </c>
      <c r="E19" t="s">
        <v>15</v>
      </c>
      <c r="J19" s="1">
        <v>45877</v>
      </c>
      <c r="K19">
        <v>207</v>
      </c>
      <c r="L19" t="s">
        <v>59</v>
      </c>
      <c r="M19">
        <v>16</v>
      </c>
      <c r="N19" t="str">
        <f>VLOOKUP(M19,[1]LOJA!$A:$B,2,0)</f>
        <v>AG LINDAS</v>
      </c>
      <c r="O19">
        <v>107</v>
      </c>
      <c r="P19" t="str">
        <f>VLOOKUP(O19,[1]OPERADORES!$A:$B,2,0)</f>
        <v>DAIANA PORTELA</v>
      </c>
      <c r="Q19">
        <v>7</v>
      </c>
      <c r="S19" t="s">
        <v>60</v>
      </c>
      <c r="T19" s="1">
        <v>45877</v>
      </c>
      <c r="U19">
        <v>-0.39</v>
      </c>
      <c r="V19">
        <v>-0.39</v>
      </c>
    </row>
    <row r="20" spans="1:22" x14ac:dyDescent="0.3">
      <c r="A20" t="s">
        <v>56</v>
      </c>
      <c r="B20" t="s">
        <v>57</v>
      </c>
      <c r="C20" t="s">
        <v>13</v>
      </c>
      <c r="D20" t="s">
        <v>58</v>
      </c>
      <c r="E20" t="s">
        <v>15</v>
      </c>
      <c r="J20" s="1">
        <v>45987</v>
      </c>
      <c r="K20">
        <v>97</v>
      </c>
      <c r="L20" t="s">
        <v>61</v>
      </c>
      <c r="M20">
        <v>16</v>
      </c>
      <c r="N20" t="str">
        <f>VLOOKUP(M20,[1]LOJA!$A:$B,2,0)</f>
        <v>AG LINDAS</v>
      </c>
      <c r="O20">
        <v>107</v>
      </c>
      <c r="P20" t="str">
        <f>VLOOKUP(O20,[1]OPERADORES!$A:$B,2,0)</f>
        <v>DAIANA PORTELA</v>
      </c>
      <c r="Q20">
        <v>7</v>
      </c>
      <c r="S20" t="s">
        <v>60</v>
      </c>
      <c r="T20" s="1">
        <v>45987</v>
      </c>
      <c r="U20">
        <v>-0.53</v>
      </c>
      <c r="V20">
        <v>-0.53</v>
      </c>
    </row>
    <row r="21" spans="1:22" x14ac:dyDescent="0.3">
      <c r="A21" t="s">
        <v>62</v>
      </c>
      <c r="B21" t="s">
        <v>63</v>
      </c>
      <c r="C21" t="s">
        <v>13</v>
      </c>
      <c r="D21" t="s">
        <v>64</v>
      </c>
      <c r="E21" t="s">
        <v>15</v>
      </c>
      <c r="J21" s="1">
        <v>45962</v>
      </c>
      <c r="K21">
        <v>122</v>
      </c>
      <c r="L21" t="s">
        <v>65</v>
      </c>
      <c r="M21">
        <v>12</v>
      </c>
      <c r="N21" t="str">
        <f>VLOOKUP(M21,[1]LOJA!$A:$B,2,0)</f>
        <v>SOFNORTE</v>
      </c>
      <c r="O21">
        <v>44</v>
      </c>
      <c r="P21" t="str">
        <f>VLOOKUP(O21,[1]OPERADORES!$A:$B,2,0)</f>
        <v>LUIS JUNIO</v>
      </c>
      <c r="Q21">
        <v>4</v>
      </c>
      <c r="S21" t="s">
        <v>66</v>
      </c>
      <c r="T21" s="1">
        <v>45962</v>
      </c>
      <c r="U21">
        <v>-5</v>
      </c>
      <c r="V21">
        <v>-5</v>
      </c>
    </row>
    <row r="22" spans="1:22" x14ac:dyDescent="0.3">
      <c r="A22" t="s">
        <v>67</v>
      </c>
      <c r="B22" t="s">
        <v>68</v>
      </c>
      <c r="C22" t="s">
        <v>13</v>
      </c>
      <c r="D22" t="s">
        <v>69</v>
      </c>
      <c r="E22" t="s">
        <v>15</v>
      </c>
      <c r="J22" s="1">
        <v>45379</v>
      </c>
      <c r="K22">
        <v>705</v>
      </c>
      <c r="L22" t="s">
        <v>70</v>
      </c>
      <c r="M22">
        <v>14</v>
      </c>
      <c r="N22" t="str">
        <f>VLOOKUP(M22,[1]LOJA!$A:$B,2,0)</f>
        <v>S IA</v>
      </c>
      <c r="O22">
        <v>207</v>
      </c>
      <c r="P22" t="str">
        <f>VLOOKUP(O22,[1]OPERADORES!$A:$B,2,0)</f>
        <v>KETILE SABRINE</v>
      </c>
      <c r="Q22">
        <v>4</v>
      </c>
      <c r="S22" t="s">
        <v>71</v>
      </c>
      <c r="T22" s="1">
        <v>45379</v>
      </c>
      <c r="U22">
        <v>-0.08</v>
      </c>
      <c r="V22">
        <v>-0.08</v>
      </c>
    </row>
    <row r="23" spans="1:22" x14ac:dyDescent="0.3">
      <c r="A23" t="s">
        <v>67</v>
      </c>
      <c r="B23" t="s">
        <v>68</v>
      </c>
      <c r="C23" t="s">
        <v>13</v>
      </c>
      <c r="D23" t="s">
        <v>69</v>
      </c>
      <c r="E23" t="s">
        <v>15</v>
      </c>
      <c r="J23" s="1">
        <v>45423</v>
      </c>
      <c r="K23">
        <v>661</v>
      </c>
      <c r="L23" t="s">
        <v>72</v>
      </c>
      <c r="M23">
        <v>14</v>
      </c>
      <c r="N23" t="str">
        <f>VLOOKUP(M23,[1]LOJA!$A:$B,2,0)</f>
        <v>S IA</v>
      </c>
      <c r="O23">
        <v>224</v>
      </c>
      <c r="P23" t="str">
        <f>VLOOKUP(O23,[1]OPERADORES!$A:$B,2,0)</f>
        <v>GUSTAVO MOURA DE OLIVEIRA</v>
      </c>
      <c r="Q23">
        <v>4</v>
      </c>
      <c r="S23" t="s">
        <v>73</v>
      </c>
      <c r="T23" s="1">
        <v>45423</v>
      </c>
      <c r="U23">
        <v>-45</v>
      </c>
      <c r="V23">
        <v>-45</v>
      </c>
    </row>
    <row r="24" spans="1:22" x14ac:dyDescent="0.3">
      <c r="A24" t="s">
        <v>74</v>
      </c>
      <c r="B24" t="s">
        <v>75</v>
      </c>
      <c r="C24" t="s">
        <v>13</v>
      </c>
      <c r="D24" t="s">
        <v>76</v>
      </c>
      <c r="E24" t="s">
        <v>15</v>
      </c>
      <c r="J24" s="1">
        <v>45076</v>
      </c>
      <c r="K24">
        <v>1008</v>
      </c>
      <c r="L24" t="s">
        <v>77</v>
      </c>
      <c r="M24">
        <v>1</v>
      </c>
      <c r="N24" t="str">
        <f>VLOOKUP(M24,[1]LOJA!$A:$B,2,0)</f>
        <v>GUARÁ</v>
      </c>
      <c r="O24">
        <v>28</v>
      </c>
      <c r="P24" t="str">
        <f>VLOOKUP(O24,[1]OPERADORES!$A:$B,2,0)</f>
        <v>GABRIELA</v>
      </c>
      <c r="Q24">
        <v>4</v>
      </c>
      <c r="S24" t="s">
        <v>78</v>
      </c>
      <c r="T24" s="1">
        <v>45076</v>
      </c>
      <c r="U24">
        <v>-20.96</v>
      </c>
      <c r="V24">
        <v>-20.96</v>
      </c>
    </row>
    <row r="25" spans="1:22" x14ac:dyDescent="0.3">
      <c r="A25" t="s">
        <v>74</v>
      </c>
      <c r="B25" t="s">
        <v>75</v>
      </c>
      <c r="C25" t="s">
        <v>13</v>
      </c>
      <c r="D25" t="s">
        <v>76</v>
      </c>
      <c r="E25" t="s">
        <v>15</v>
      </c>
      <c r="J25" s="1">
        <v>45126</v>
      </c>
      <c r="K25">
        <v>958</v>
      </c>
      <c r="L25" t="s">
        <v>79</v>
      </c>
      <c r="M25">
        <v>1</v>
      </c>
      <c r="N25" t="str">
        <f>VLOOKUP(M25,[1]LOJA!$A:$B,2,0)</f>
        <v>GUARÁ</v>
      </c>
      <c r="O25">
        <v>174</v>
      </c>
      <c r="P25" t="str">
        <f>VLOOKUP(O25,[1]OPERADORES!$A:$B,2,0)</f>
        <v>MIRIÃ LOBATO RODRIGUES</v>
      </c>
      <c r="Q25">
        <v>4</v>
      </c>
      <c r="S25" t="s">
        <v>80</v>
      </c>
      <c r="T25" s="1">
        <v>45126</v>
      </c>
      <c r="U25">
        <v>-0.15</v>
      </c>
      <c r="V25">
        <v>-0.15</v>
      </c>
    </row>
    <row r="26" spans="1:22" x14ac:dyDescent="0.3">
      <c r="A26" t="s">
        <v>74</v>
      </c>
      <c r="B26" t="s">
        <v>75</v>
      </c>
      <c r="C26" t="s">
        <v>13</v>
      </c>
      <c r="D26" t="s">
        <v>76</v>
      </c>
      <c r="E26" t="s">
        <v>15</v>
      </c>
      <c r="J26" s="1">
        <v>46002</v>
      </c>
      <c r="K26">
        <v>82</v>
      </c>
      <c r="L26" t="s">
        <v>81</v>
      </c>
      <c r="M26">
        <v>12</v>
      </c>
      <c r="N26" t="str">
        <f>VLOOKUP(M26,[1]LOJA!$A:$B,2,0)</f>
        <v>SOFNORTE</v>
      </c>
      <c r="O26">
        <v>209</v>
      </c>
      <c r="P26" t="str">
        <f>VLOOKUP(O26,[1]OPERADORES!$A:$B,2,0)</f>
        <v>MARIA WITHALINA CUNHA DE SOUZA</v>
      </c>
      <c r="Q26">
        <v>4</v>
      </c>
      <c r="S26" t="s">
        <v>82</v>
      </c>
      <c r="T26" s="1">
        <v>46002</v>
      </c>
      <c r="U26">
        <v>-0.65</v>
      </c>
      <c r="V26">
        <v>-0.65</v>
      </c>
    </row>
    <row r="27" spans="1:22" x14ac:dyDescent="0.3">
      <c r="A27" t="s">
        <v>83</v>
      </c>
      <c r="B27" t="s">
        <v>84</v>
      </c>
      <c r="C27" t="s">
        <v>13</v>
      </c>
      <c r="D27" t="s">
        <v>85</v>
      </c>
      <c r="E27" t="s">
        <v>15</v>
      </c>
      <c r="J27" s="1">
        <v>44470</v>
      </c>
      <c r="K27">
        <v>1614</v>
      </c>
      <c r="L27" t="s">
        <v>86</v>
      </c>
      <c r="M27">
        <v>4</v>
      </c>
      <c r="N27" t="str">
        <f>VLOOKUP(M27,[1]LOJA!$A:$B,2,0)</f>
        <v>ADE</v>
      </c>
      <c r="O27">
        <v>109</v>
      </c>
      <c r="P27" t="str">
        <f>VLOOKUP(O27,[1]OPERADORES!$A:$B,2,0)</f>
        <v>LIVIA DE SOUZA</v>
      </c>
      <c r="Q27">
        <v>7</v>
      </c>
      <c r="S27" t="s">
        <v>87</v>
      </c>
      <c r="T27" s="1">
        <v>44469</v>
      </c>
      <c r="U27">
        <v>40</v>
      </c>
      <c r="V27">
        <v>40</v>
      </c>
    </row>
    <row r="28" spans="1:22" x14ac:dyDescent="0.3">
      <c r="A28" t="s">
        <v>88</v>
      </c>
      <c r="B28" t="s">
        <v>89</v>
      </c>
      <c r="C28" t="s">
        <v>13</v>
      </c>
      <c r="D28" t="s">
        <v>90</v>
      </c>
      <c r="E28" t="s">
        <v>15</v>
      </c>
      <c r="J28" s="1">
        <v>44974</v>
      </c>
      <c r="K28">
        <v>1110</v>
      </c>
      <c r="L28" t="s">
        <v>91</v>
      </c>
      <c r="M28">
        <v>1</v>
      </c>
      <c r="N28" t="str">
        <f>VLOOKUP(M28,[1]LOJA!$A:$B,2,0)</f>
        <v>GUARÁ</v>
      </c>
      <c r="O28">
        <v>93</v>
      </c>
      <c r="P28" t="str">
        <f>VLOOKUP(O28,[1]OPERADORES!$A:$B,2,0)</f>
        <v>PATRICIA</v>
      </c>
      <c r="Q28">
        <v>7</v>
      </c>
      <c r="S28" t="s">
        <v>87</v>
      </c>
      <c r="T28" s="1">
        <v>44973</v>
      </c>
      <c r="U28">
        <v>100.44</v>
      </c>
      <c r="V28">
        <v>100.44</v>
      </c>
    </row>
    <row r="29" spans="1:22" x14ac:dyDescent="0.3">
      <c r="A29" t="s">
        <v>5335</v>
      </c>
      <c r="B29" t="s">
        <v>5336</v>
      </c>
      <c r="C29" t="s">
        <v>293</v>
      </c>
      <c r="D29" t="s">
        <v>5337</v>
      </c>
      <c r="E29" t="s">
        <v>15</v>
      </c>
      <c r="J29" s="1">
        <v>46079</v>
      </c>
      <c r="K29">
        <v>5</v>
      </c>
      <c r="L29" t="s">
        <v>5338</v>
      </c>
      <c r="M29">
        <v>12</v>
      </c>
      <c r="N29" t="str">
        <f>VLOOKUP(M29,[1]LOJA!$A:$B,2,0)</f>
        <v>SOFNORTE</v>
      </c>
      <c r="O29">
        <v>239</v>
      </c>
      <c r="P29" t="str">
        <f>VLOOKUP(O29,[1]OPERADORES!$A:$B,2,0)</f>
        <v>BRUNO</v>
      </c>
      <c r="Q29">
        <v>10</v>
      </c>
      <c r="S29" t="s">
        <v>5339</v>
      </c>
      <c r="T29" s="1">
        <v>46079</v>
      </c>
      <c r="U29">
        <v>1</v>
      </c>
      <c r="V29">
        <v>1</v>
      </c>
    </row>
    <row r="30" spans="1:22" x14ac:dyDescent="0.3">
      <c r="A30" t="s">
        <v>92</v>
      </c>
      <c r="B30" t="s">
        <v>93</v>
      </c>
      <c r="C30" t="s">
        <v>13</v>
      </c>
      <c r="D30" t="s">
        <v>94</v>
      </c>
      <c r="E30" t="s">
        <v>15</v>
      </c>
      <c r="J30" s="1">
        <v>45306</v>
      </c>
      <c r="K30">
        <v>778</v>
      </c>
      <c r="L30" t="s">
        <v>95</v>
      </c>
      <c r="M30">
        <v>13</v>
      </c>
      <c r="N30" t="str">
        <f>VLOOKUP(M30,[1]LOJA!$A:$B,2,0)</f>
        <v>CEILÂNDIA</v>
      </c>
      <c r="O30">
        <v>209</v>
      </c>
      <c r="P30" t="str">
        <f>VLOOKUP(O30,[1]OPERADORES!$A:$B,2,0)</f>
        <v>MARIA WITHALINA CUNHA DE SOUZA</v>
      </c>
      <c r="Q30">
        <v>10</v>
      </c>
      <c r="S30" t="s">
        <v>96</v>
      </c>
      <c r="T30" s="1">
        <v>45306</v>
      </c>
      <c r="U30">
        <v>-4.92</v>
      </c>
      <c r="V30">
        <v>-4.92</v>
      </c>
    </row>
    <row r="31" spans="1:22" x14ac:dyDescent="0.3">
      <c r="A31" t="s">
        <v>97</v>
      </c>
      <c r="B31" t="s">
        <v>32</v>
      </c>
      <c r="C31" t="s">
        <v>13</v>
      </c>
      <c r="D31" t="s">
        <v>98</v>
      </c>
      <c r="E31" t="s">
        <v>15</v>
      </c>
      <c r="J31" s="1">
        <v>45926</v>
      </c>
      <c r="K31">
        <v>158</v>
      </c>
      <c r="L31" t="s">
        <v>99</v>
      </c>
      <c r="M31">
        <v>13</v>
      </c>
      <c r="N31" t="str">
        <f>VLOOKUP(M31,[1]LOJA!$A:$B,2,0)</f>
        <v>CEILÂNDIA</v>
      </c>
      <c r="O31">
        <v>33</v>
      </c>
      <c r="P31" t="str">
        <f>VLOOKUP(O31,[1]OPERADORES!$A:$B,2,0)</f>
        <v>PAULINHO</v>
      </c>
      <c r="Q31">
        <v>4</v>
      </c>
      <c r="S31" t="s">
        <v>100</v>
      </c>
      <c r="T31" s="1">
        <v>45926</v>
      </c>
      <c r="U31">
        <v>-2</v>
      </c>
      <c r="V31">
        <v>-2</v>
      </c>
    </row>
    <row r="32" spans="1:22" x14ac:dyDescent="0.3">
      <c r="A32" t="s">
        <v>5340</v>
      </c>
      <c r="B32" t="s">
        <v>5341</v>
      </c>
      <c r="C32" t="s">
        <v>43</v>
      </c>
      <c r="D32" t="s">
        <v>5342</v>
      </c>
      <c r="E32" t="s">
        <v>15</v>
      </c>
      <c r="J32" s="1">
        <v>46084</v>
      </c>
      <c r="K32">
        <v>0</v>
      </c>
      <c r="L32" t="s">
        <v>5343</v>
      </c>
      <c r="M32">
        <v>12</v>
      </c>
      <c r="N32" t="str">
        <f>VLOOKUP(M32,[1]LOJA!$A:$B,2,0)</f>
        <v>SOFNORTE</v>
      </c>
      <c r="O32">
        <v>209</v>
      </c>
      <c r="P32" t="str">
        <f>VLOOKUP(O32,[1]OPERADORES!$A:$B,2,0)</f>
        <v>MARIA WITHALINA CUNHA DE SOUZA</v>
      </c>
      <c r="Q32">
        <v>4</v>
      </c>
      <c r="S32" t="s">
        <v>5344</v>
      </c>
      <c r="T32" s="1">
        <v>46084</v>
      </c>
      <c r="U32">
        <v>-7.8</v>
      </c>
      <c r="V32">
        <v>-7.8</v>
      </c>
    </row>
    <row r="33" spans="1:22" x14ac:dyDescent="0.3">
      <c r="A33" t="s">
        <v>101</v>
      </c>
      <c r="B33" t="s">
        <v>102</v>
      </c>
      <c r="C33" t="s">
        <v>13</v>
      </c>
      <c r="D33" t="s">
        <v>103</v>
      </c>
      <c r="E33" t="s">
        <v>15</v>
      </c>
      <c r="J33" s="1">
        <v>44966</v>
      </c>
      <c r="K33">
        <v>1118</v>
      </c>
      <c r="L33" t="s">
        <v>104</v>
      </c>
      <c r="M33">
        <v>4</v>
      </c>
      <c r="N33" t="str">
        <f>VLOOKUP(M33,[1]LOJA!$A:$B,2,0)</f>
        <v>ADE</v>
      </c>
      <c r="O33">
        <v>107</v>
      </c>
      <c r="P33" t="str">
        <f>VLOOKUP(O33,[1]OPERADORES!$A:$B,2,0)</f>
        <v>DAIANA PORTELA</v>
      </c>
      <c r="Q33">
        <v>7</v>
      </c>
      <c r="S33" t="s">
        <v>105</v>
      </c>
      <c r="T33" s="1">
        <v>44966</v>
      </c>
      <c r="U33">
        <v>-8.17</v>
      </c>
      <c r="V33">
        <v>-8.17</v>
      </c>
    </row>
    <row r="34" spans="1:22" x14ac:dyDescent="0.3">
      <c r="A34" t="s">
        <v>106</v>
      </c>
      <c r="B34" t="s">
        <v>107</v>
      </c>
      <c r="C34" t="s">
        <v>13</v>
      </c>
      <c r="D34" t="s">
        <v>108</v>
      </c>
      <c r="E34" t="s">
        <v>15</v>
      </c>
      <c r="J34" s="1">
        <v>45398</v>
      </c>
      <c r="K34">
        <v>686</v>
      </c>
      <c r="L34" t="s">
        <v>109</v>
      </c>
      <c r="M34">
        <v>9</v>
      </c>
      <c r="N34" t="str">
        <f>VLOOKUP(M34,[1]LOJA!$A:$B,2,0)</f>
        <v>ÚNICA</v>
      </c>
      <c r="O34">
        <v>144</v>
      </c>
      <c r="P34" t="str">
        <f>VLOOKUP(O34,[1]OPERADORES!$A:$B,2,0)</f>
        <v>CINTIA DA SILVA CARLOS</v>
      </c>
      <c r="Q34">
        <v>4</v>
      </c>
      <c r="S34" t="s">
        <v>110</v>
      </c>
      <c r="T34" s="1">
        <v>45398</v>
      </c>
      <c r="U34">
        <v>-70</v>
      </c>
      <c r="V34">
        <v>-70</v>
      </c>
    </row>
    <row r="35" spans="1:22" x14ac:dyDescent="0.3">
      <c r="A35" t="s">
        <v>111</v>
      </c>
      <c r="B35" t="s">
        <v>112</v>
      </c>
      <c r="C35" t="s">
        <v>43</v>
      </c>
      <c r="D35" t="s">
        <v>5345</v>
      </c>
      <c r="E35" t="s">
        <v>15</v>
      </c>
      <c r="J35" s="1">
        <v>46084</v>
      </c>
      <c r="K35">
        <v>0</v>
      </c>
      <c r="L35" t="s">
        <v>5346</v>
      </c>
      <c r="M35">
        <v>6</v>
      </c>
      <c r="N35" t="str">
        <f>VLOOKUP(M35,[1]LOJA!$A:$B,2,0)</f>
        <v>GAMA</v>
      </c>
      <c r="O35">
        <v>246</v>
      </c>
      <c r="P35" t="str">
        <f>VLOOKUP(O35,[1]OPERADORES!$A:$B,2,0)</f>
        <v>VITORIA APARECIDA</v>
      </c>
      <c r="Q35">
        <v>4</v>
      </c>
      <c r="S35" t="s">
        <v>5347</v>
      </c>
      <c r="T35" s="1">
        <v>46084</v>
      </c>
      <c r="U35">
        <v>-4.17</v>
      </c>
      <c r="V35">
        <v>-4.17</v>
      </c>
    </row>
    <row r="36" spans="1:22" x14ac:dyDescent="0.3">
      <c r="A36" t="s">
        <v>111</v>
      </c>
      <c r="B36" t="s">
        <v>112</v>
      </c>
      <c r="C36" t="s">
        <v>43</v>
      </c>
      <c r="D36" t="s">
        <v>5345</v>
      </c>
      <c r="E36" t="s">
        <v>15</v>
      </c>
      <c r="J36" s="1">
        <v>46084</v>
      </c>
      <c r="K36">
        <v>0</v>
      </c>
      <c r="L36" t="s">
        <v>5348</v>
      </c>
      <c r="M36">
        <v>6</v>
      </c>
      <c r="N36" t="str">
        <f>VLOOKUP(M36,[1]LOJA!$A:$B,2,0)</f>
        <v>GAMA</v>
      </c>
      <c r="O36">
        <v>245</v>
      </c>
      <c r="P36" t="str">
        <f>VLOOKUP(O36,[1]OPERADORES!$A:$B,2,0)</f>
        <v>JOÃO PEDRO</v>
      </c>
      <c r="Q36">
        <v>4</v>
      </c>
      <c r="S36" t="s">
        <v>5349</v>
      </c>
      <c r="T36" s="1">
        <v>46084</v>
      </c>
      <c r="U36">
        <v>-33.46</v>
      </c>
      <c r="V36">
        <v>-33.46</v>
      </c>
    </row>
    <row r="37" spans="1:22" x14ac:dyDescent="0.3">
      <c r="A37" t="s">
        <v>114</v>
      </c>
      <c r="B37" t="s">
        <v>115</v>
      </c>
      <c r="C37" t="s">
        <v>13</v>
      </c>
      <c r="D37" t="s">
        <v>116</v>
      </c>
      <c r="E37" t="s">
        <v>15</v>
      </c>
      <c r="J37" s="1">
        <v>44924</v>
      </c>
      <c r="K37">
        <v>1160</v>
      </c>
      <c r="L37" t="s">
        <v>117</v>
      </c>
      <c r="M37">
        <v>12</v>
      </c>
      <c r="N37" t="str">
        <f>VLOOKUP(M37,[1]LOJA!$A:$B,2,0)</f>
        <v>SOFNORTE</v>
      </c>
      <c r="O37">
        <v>147</v>
      </c>
      <c r="P37" t="str">
        <f>VLOOKUP(O37,[1]OPERADORES!$A:$B,2,0)</f>
        <v>MICAELE DA CONCEIÇAO SILVA</v>
      </c>
      <c r="Q37">
        <v>4</v>
      </c>
      <c r="S37" t="s">
        <v>118</v>
      </c>
      <c r="T37" s="1">
        <v>44924</v>
      </c>
      <c r="U37">
        <v>-0.57999999999999996</v>
      </c>
      <c r="V37">
        <v>-0.57999999999999996</v>
      </c>
    </row>
    <row r="38" spans="1:22" x14ac:dyDescent="0.3">
      <c r="A38" t="s">
        <v>119</v>
      </c>
      <c r="B38" t="s">
        <v>120</v>
      </c>
      <c r="C38" t="s">
        <v>13</v>
      </c>
      <c r="D38" t="s">
        <v>121</v>
      </c>
      <c r="E38" t="s">
        <v>15</v>
      </c>
      <c r="J38" s="1">
        <v>45666</v>
      </c>
      <c r="K38">
        <v>418</v>
      </c>
      <c r="L38" t="s">
        <v>122</v>
      </c>
      <c r="M38">
        <v>9</v>
      </c>
      <c r="N38" t="str">
        <f>VLOOKUP(M38,[1]LOJA!$A:$B,2,0)</f>
        <v>ÚNICA</v>
      </c>
      <c r="O38">
        <v>230</v>
      </c>
      <c r="P38" t="str">
        <f>VLOOKUP(O38,[1]OPERADORES!$A:$B,2,0)</f>
        <v>SÔNIA</v>
      </c>
      <c r="Q38">
        <v>23</v>
      </c>
      <c r="R38">
        <v>129134</v>
      </c>
      <c r="S38" t="s">
        <v>51</v>
      </c>
      <c r="T38" s="1">
        <v>45638</v>
      </c>
      <c r="U38">
        <v>775.34</v>
      </c>
      <c r="V38">
        <v>775.34</v>
      </c>
    </row>
    <row r="39" spans="1:22" x14ac:dyDescent="0.3">
      <c r="A39" t="s">
        <v>119</v>
      </c>
      <c r="B39" t="s">
        <v>120</v>
      </c>
      <c r="C39" t="s">
        <v>13</v>
      </c>
      <c r="D39" t="s">
        <v>121</v>
      </c>
      <c r="E39" t="s">
        <v>15</v>
      </c>
      <c r="J39" s="1">
        <v>45680</v>
      </c>
      <c r="K39">
        <v>404</v>
      </c>
      <c r="L39" t="s">
        <v>123</v>
      </c>
      <c r="M39">
        <v>9</v>
      </c>
      <c r="N39" t="str">
        <f>VLOOKUP(M39,[1]LOJA!$A:$B,2,0)</f>
        <v>ÚNICA</v>
      </c>
      <c r="O39">
        <v>230</v>
      </c>
      <c r="P39" t="str">
        <f>VLOOKUP(O39,[1]OPERADORES!$A:$B,2,0)</f>
        <v>SÔNIA</v>
      </c>
      <c r="Q39">
        <v>23</v>
      </c>
      <c r="R39">
        <v>129142</v>
      </c>
      <c r="S39" t="s">
        <v>53</v>
      </c>
      <c r="T39" s="1">
        <v>45638</v>
      </c>
      <c r="U39">
        <v>775.34</v>
      </c>
      <c r="V39">
        <v>775.34</v>
      </c>
    </row>
    <row r="40" spans="1:22" x14ac:dyDescent="0.3">
      <c r="A40" t="s">
        <v>119</v>
      </c>
      <c r="B40" t="s">
        <v>120</v>
      </c>
      <c r="C40" t="s">
        <v>13</v>
      </c>
      <c r="D40" t="s">
        <v>121</v>
      </c>
      <c r="E40" t="s">
        <v>15</v>
      </c>
      <c r="J40" s="1">
        <v>45694</v>
      </c>
      <c r="K40">
        <v>390</v>
      </c>
      <c r="L40" t="s">
        <v>124</v>
      </c>
      <c r="M40">
        <v>9</v>
      </c>
      <c r="N40" t="str">
        <f>VLOOKUP(M40,[1]LOJA!$A:$B,2,0)</f>
        <v>ÚNICA</v>
      </c>
      <c r="O40">
        <v>230</v>
      </c>
      <c r="P40" t="str">
        <f>VLOOKUP(O40,[1]OPERADORES!$A:$B,2,0)</f>
        <v>SÔNIA</v>
      </c>
      <c r="Q40">
        <v>23</v>
      </c>
      <c r="R40">
        <v>129159</v>
      </c>
      <c r="S40" t="s">
        <v>55</v>
      </c>
      <c r="T40" s="1">
        <v>45638</v>
      </c>
      <c r="U40">
        <v>775.33</v>
      </c>
      <c r="V40">
        <v>775.33</v>
      </c>
    </row>
    <row r="41" spans="1:22" x14ac:dyDescent="0.3">
      <c r="A41" t="s">
        <v>5350</v>
      </c>
      <c r="B41" t="s">
        <v>5351</v>
      </c>
      <c r="C41" t="s">
        <v>13</v>
      </c>
      <c r="D41" t="s">
        <v>137</v>
      </c>
      <c r="E41" t="s">
        <v>15</v>
      </c>
      <c r="J41" s="1">
        <v>46077</v>
      </c>
      <c r="K41">
        <v>7</v>
      </c>
      <c r="L41" t="s">
        <v>5352</v>
      </c>
      <c r="M41">
        <v>24</v>
      </c>
      <c r="N41" t="str">
        <f>VLOOKUP(M41,[1]LOJA!$A:$B,2,0)</f>
        <v>LUZIÂNIA</v>
      </c>
      <c r="O41">
        <v>170</v>
      </c>
      <c r="P41" t="str">
        <f>VLOOKUP(O41,[1]OPERADORES!$A:$B,2,0)</f>
        <v>MARIA LUISA</v>
      </c>
      <c r="Q41">
        <v>4</v>
      </c>
      <c r="S41" t="s">
        <v>5353</v>
      </c>
      <c r="T41" s="1">
        <v>46077</v>
      </c>
      <c r="U41">
        <v>-0.1</v>
      </c>
      <c r="V41">
        <v>-0.1</v>
      </c>
    </row>
    <row r="42" spans="1:22" x14ac:dyDescent="0.3">
      <c r="A42" t="s">
        <v>125</v>
      </c>
      <c r="B42" t="s">
        <v>126</v>
      </c>
      <c r="C42" t="s">
        <v>13</v>
      </c>
      <c r="D42" t="s">
        <v>127</v>
      </c>
      <c r="E42" t="s">
        <v>15</v>
      </c>
      <c r="J42" s="1">
        <v>45945</v>
      </c>
      <c r="K42">
        <v>139</v>
      </c>
      <c r="L42" t="s">
        <v>128</v>
      </c>
      <c r="M42">
        <v>16</v>
      </c>
      <c r="N42" t="str">
        <f>VLOOKUP(M42,[1]LOJA!$A:$B,2,0)</f>
        <v>AG LINDAS</v>
      </c>
      <c r="O42">
        <v>107</v>
      </c>
      <c r="P42" t="str">
        <f>VLOOKUP(O42,[1]OPERADORES!$A:$B,2,0)</f>
        <v>DAIANA PORTELA</v>
      </c>
      <c r="Q42">
        <v>7</v>
      </c>
      <c r="S42" t="s">
        <v>129</v>
      </c>
      <c r="T42" s="1">
        <v>45945</v>
      </c>
      <c r="U42">
        <v>-1.31</v>
      </c>
      <c r="V42">
        <v>-1.31</v>
      </c>
    </row>
    <row r="43" spans="1:22" x14ac:dyDescent="0.3">
      <c r="A43" t="s">
        <v>125</v>
      </c>
      <c r="B43" t="s">
        <v>126</v>
      </c>
      <c r="C43" t="s">
        <v>13</v>
      </c>
      <c r="D43" t="s">
        <v>127</v>
      </c>
      <c r="E43" t="s">
        <v>15</v>
      </c>
      <c r="J43" s="1">
        <v>45959</v>
      </c>
      <c r="K43">
        <v>125</v>
      </c>
      <c r="L43" t="s">
        <v>130</v>
      </c>
      <c r="M43">
        <v>16</v>
      </c>
      <c r="N43" t="str">
        <f>VLOOKUP(M43,[1]LOJA!$A:$B,2,0)</f>
        <v>AG LINDAS</v>
      </c>
      <c r="O43">
        <v>107</v>
      </c>
      <c r="P43" t="str">
        <f>VLOOKUP(O43,[1]OPERADORES!$A:$B,2,0)</f>
        <v>DAIANA PORTELA</v>
      </c>
      <c r="Q43">
        <v>7</v>
      </c>
      <c r="S43" t="s">
        <v>131</v>
      </c>
      <c r="T43" s="1">
        <v>45952</v>
      </c>
      <c r="U43">
        <v>-0.1</v>
      </c>
      <c r="V43">
        <v>-0.1</v>
      </c>
    </row>
    <row r="44" spans="1:22" x14ac:dyDescent="0.3">
      <c r="A44" t="s">
        <v>132</v>
      </c>
      <c r="B44" t="s">
        <v>133</v>
      </c>
      <c r="C44" t="s">
        <v>13</v>
      </c>
      <c r="D44" t="s">
        <v>134</v>
      </c>
      <c r="E44" t="s">
        <v>15</v>
      </c>
      <c r="J44" s="1">
        <v>45702</v>
      </c>
      <c r="K44">
        <v>382</v>
      </c>
      <c r="L44" t="s">
        <v>135</v>
      </c>
      <c r="M44">
        <v>16</v>
      </c>
      <c r="N44" t="str">
        <f>VLOOKUP(M44,[1]LOJA!$A:$B,2,0)</f>
        <v>AG LINDAS</v>
      </c>
      <c r="O44">
        <v>107</v>
      </c>
      <c r="P44" t="str">
        <f>VLOOKUP(O44,[1]OPERADORES!$A:$B,2,0)</f>
        <v>DAIANA PORTELA</v>
      </c>
      <c r="Q44">
        <v>7</v>
      </c>
      <c r="S44" t="s">
        <v>136</v>
      </c>
      <c r="T44" s="1">
        <v>45702</v>
      </c>
      <c r="U44">
        <v>-1.1000000000000001</v>
      </c>
      <c r="V44">
        <v>-1.1000000000000001</v>
      </c>
    </row>
    <row r="45" spans="1:22" x14ac:dyDescent="0.3">
      <c r="A45" t="s">
        <v>138</v>
      </c>
      <c r="B45" t="s">
        <v>139</v>
      </c>
      <c r="C45" t="s">
        <v>140</v>
      </c>
      <c r="D45" t="s">
        <v>5354</v>
      </c>
      <c r="E45" t="s">
        <v>15</v>
      </c>
      <c r="J45" s="1">
        <v>45495</v>
      </c>
      <c r="K45">
        <v>589</v>
      </c>
      <c r="L45" t="s">
        <v>141</v>
      </c>
      <c r="M45">
        <v>14</v>
      </c>
      <c r="N45" t="str">
        <f>VLOOKUP(M45,[1]LOJA!$A:$B,2,0)</f>
        <v>S IA</v>
      </c>
      <c r="O45">
        <v>54</v>
      </c>
      <c r="P45" t="str">
        <f>VLOOKUP(O45,[1]OPERADORES!$A:$B,2,0)</f>
        <v>ROBSON</v>
      </c>
      <c r="Q45">
        <v>25</v>
      </c>
      <c r="S45" t="s">
        <v>142</v>
      </c>
      <c r="T45" s="1">
        <v>45483</v>
      </c>
      <c r="U45">
        <v>-31.77</v>
      </c>
      <c r="V45">
        <v>-31.77</v>
      </c>
    </row>
    <row r="46" spans="1:22" x14ac:dyDescent="0.3">
      <c r="A46" t="s">
        <v>143</v>
      </c>
      <c r="B46" t="s">
        <v>144</v>
      </c>
      <c r="C46" t="s">
        <v>13</v>
      </c>
      <c r="D46" t="s">
        <v>145</v>
      </c>
      <c r="E46" t="s">
        <v>15</v>
      </c>
      <c r="J46" s="1">
        <v>44850</v>
      </c>
      <c r="K46">
        <v>1234</v>
      </c>
      <c r="L46" t="s">
        <v>146</v>
      </c>
      <c r="M46">
        <v>8</v>
      </c>
      <c r="N46" t="str">
        <f>VLOOKUP(M46,[1]LOJA!$A:$B,2,0)</f>
        <v>LUZIÂNIA</v>
      </c>
      <c r="O46">
        <v>84</v>
      </c>
      <c r="P46" t="str">
        <f>VLOOKUP(O46,[1]OPERADORES!$A:$B,2,0)</f>
        <v>JEICY AZEVEDO</v>
      </c>
      <c r="Q46">
        <v>22</v>
      </c>
      <c r="R46">
        <v>1000006970</v>
      </c>
      <c r="S46" t="s">
        <v>147</v>
      </c>
      <c r="T46" s="1">
        <v>44769</v>
      </c>
      <c r="U46">
        <v>351.14</v>
      </c>
      <c r="V46">
        <v>351.14</v>
      </c>
    </row>
    <row r="47" spans="1:22" x14ac:dyDescent="0.3">
      <c r="A47" t="s">
        <v>143</v>
      </c>
      <c r="B47" t="s">
        <v>144</v>
      </c>
      <c r="C47" t="s">
        <v>13</v>
      </c>
      <c r="D47" t="s">
        <v>145</v>
      </c>
      <c r="E47" t="s">
        <v>15</v>
      </c>
      <c r="J47" s="1">
        <v>44865</v>
      </c>
      <c r="K47">
        <v>1219</v>
      </c>
      <c r="L47" t="s">
        <v>148</v>
      </c>
      <c r="M47">
        <v>8</v>
      </c>
      <c r="N47" t="str">
        <f>VLOOKUP(M47,[1]LOJA!$A:$B,2,0)</f>
        <v>LUZIÂNIA</v>
      </c>
      <c r="O47">
        <v>84</v>
      </c>
      <c r="P47" t="str">
        <f>VLOOKUP(O47,[1]OPERADORES!$A:$B,2,0)</f>
        <v>JEICY AZEVEDO</v>
      </c>
      <c r="Q47">
        <v>22</v>
      </c>
      <c r="R47">
        <v>1000006969</v>
      </c>
      <c r="S47" t="s">
        <v>149</v>
      </c>
      <c r="T47" s="1">
        <v>44769</v>
      </c>
      <c r="U47">
        <v>351.14</v>
      </c>
      <c r="V47">
        <v>351.14</v>
      </c>
    </row>
    <row r="48" spans="1:22" x14ac:dyDescent="0.3">
      <c r="A48" t="s">
        <v>143</v>
      </c>
      <c r="B48" t="s">
        <v>144</v>
      </c>
      <c r="C48" t="s">
        <v>13</v>
      </c>
      <c r="D48" t="s">
        <v>145</v>
      </c>
      <c r="E48" t="s">
        <v>15</v>
      </c>
      <c r="J48" s="1">
        <v>44881</v>
      </c>
      <c r="K48">
        <v>1203</v>
      </c>
      <c r="L48" t="s">
        <v>150</v>
      </c>
      <c r="M48">
        <v>8</v>
      </c>
      <c r="N48" t="str">
        <f>VLOOKUP(M48,[1]LOJA!$A:$B,2,0)</f>
        <v>LUZIÂNIA</v>
      </c>
      <c r="O48">
        <v>84</v>
      </c>
      <c r="P48" t="str">
        <f>VLOOKUP(O48,[1]OPERADORES!$A:$B,2,0)</f>
        <v>JEICY AZEVEDO</v>
      </c>
      <c r="Q48">
        <v>22</v>
      </c>
      <c r="R48">
        <v>1000006971</v>
      </c>
      <c r="S48" t="s">
        <v>151</v>
      </c>
      <c r="T48" s="1">
        <v>44769</v>
      </c>
      <c r="U48">
        <v>351.15</v>
      </c>
      <c r="V48">
        <v>351.15</v>
      </c>
    </row>
    <row r="49" spans="1:22" x14ac:dyDescent="0.3">
      <c r="A49" t="s">
        <v>143</v>
      </c>
      <c r="B49" t="s">
        <v>144</v>
      </c>
      <c r="C49" t="s">
        <v>13</v>
      </c>
      <c r="D49" t="s">
        <v>145</v>
      </c>
      <c r="E49" t="s">
        <v>15</v>
      </c>
      <c r="J49" s="1">
        <v>44911</v>
      </c>
      <c r="K49">
        <v>1173</v>
      </c>
      <c r="L49" t="s">
        <v>152</v>
      </c>
      <c r="M49">
        <v>8</v>
      </c>
      <c r="N49" t="str">
        <f>VLOOKUP(M49,[1]LOJA!$A:$B,2,0)</f>
        <v>LUZIÂNIA</v>
      </c>
      <c r="O49">
        <v>84</v>
      </c>
      <c r="P49" t="str">
        <f>VLOOKUP(O49,[1]OPERADORES!$A:$B,2,0)</f>
        <v>JEICY AZEVEDO</v>
      </c>
      <c r="Q49">
        <v>22</v>
      </c>
      <c r="R49">
        <v>1000006972</v>
      </c>
      <c r="S49" t="s">
        <v>153</v>
      </c>
      <c r="T49" s="1">
        <v>44769</v>
      </c>
      <c r="U49">
        <v>351.14</v>
      </c>
      <c r="V49">
        <v>351.14</v>
      </c>
    </row>
    <row r="50" spans="1:22" x14ac:dyDescent="0.3">
      <c r="A50" t="s">
        <v>154</v>
      </c>
      <c r="B50" t="s">
        <v>32</v>
      </c>
      <c r="C50" t="s">
        <v>13</v>
      </c>
      <c r="D50" t="s">
        <v>155</v>
      </c>
      <c r="E50" t="s">
        <v>15</v>
      </c>
      <c r="J50" s="1">
        <v>45819</v>
      </c>
      <c r="K50">
        <v>265</v>
      </c>
      <c r="L50" t="s">
        <v>156</v>
      </c>
      <c r="M50">
        <v>8</v>
      </c>
      <c r="N50" t="str">
        <f>VLOOKUP(M50,[1]LOJA!$A:$B,2,0)</f>
        <v>LUZIÂNIA</v>
      </c>
      <c r="O50">
        <v>170</v>
      </c>
      <c r="P50" t="str">
        <f>VLOOKUP(O50,[1]OPERADORES!$A:$B,2,0)</f>
        <v>MARIA LUISA</v>
      </c>
      <c r="Q50">
        <v>4</v>
      </c>
      <c r="S50" t="s">
        <v>157</v>
      </c>
      <c r="T50" s="1">
        <v>45819</v>
      </c>
      <c r="U50">
        <v>-8.1999999999999993</v>
      </c>
      <c r="V50">
        <v>-8.1999999999999993</v>
      </c>
    </row>
    <row r="51" spans="1:22" x14ac:dyDescent="0.3">
      <c r="A51" t="s">
        <v>154</v>
      </c>
      <c r="B51" t="s">
        <v>32</v>
      </c>
      <c r="C51" t="s">
        <v>13</v>
      </c>
      <c r="D51" t="s">
        <v>155</v>
      </c>
      <c r="E51" t="s">
        <v>15</v>
      </c>
      <c r="J51" s="1">
        <v>45891</v>
      </c>
      <c r="K51">
        <v>193</v>
      </c>
      <c r="L51" t="s">
        <v>158</v>
      </c>
      <c r="M51">
        <v>24</v>
      </c>
      <c r="N51" t="str">
        <f>VLOOKUP(M51,[1]LOJA!$A:$B,2,0)</f>
        <v>LUZIÂNIA</v>
      </c>
      <c r="O51">
        <v>98</v>
      </c>
      <c r="P51" t="str">
        <f>VLOOKUP(O51,[1]OPERADORES!$A:$B,2,0)</f>
        <v xml:space="preserve">ARIGLEICE </v>
      </c>
      <c r="Q51">
        <v>4</v>
      </c>
      <c r="S51" t="s">
        <v>159</v>
      </c>
      <c r="T51" s="1">
        <v>45891</v>
      </c>
      <c r="U51">
        <v>-6</v>
      </c>
      <c r="V51">
        <v>-6</v>
      </c>
    </row>
    <row r="52" spans="1:22" x14ac:dyDescent="0.3">
      <c r="A52" t="s">
        <v>154</v>
      </c>
      <c r="B52" t="s">
        <v>32</v>
      </c>
      <c r="C52" t="s">
        <v>13</v>
      </c>
      <c r="D52" t="s">
        <v>155</v>
      </c>
      <c r="E52" t="s">
        <v>15</v>
      </c>
      <c r="J52" s="1">
        <v>45925</v>
      </c>
      <c r="K52">
        <v>159</v>
      </c>
      <c r="L52" t="s">
        <v>160</v>
      </c>
      <c r="M52">
        <v>24</v>
      </c>
      <c r="N52" t="str">
        <f>VLOOKUP(M52,[1]LOJA!$A:$B,2,0)</f>
        <v>LUZIÂNIA</v>
      </c>
      <c r="O52">
        <v>244</v>
      </c>
      <c r="P52" t="str">
        <f>VLOOKUP(O52,[1]OPERADORES!$A:$B,2,0)</f>
        <v>NATHALIA PEREIRA DA SILVA</v>
      </c>
      <c r="Q52">
        <v>4</v>
      </c>
      <c r="S52" t="s">
        <v>159</v>
      </c>
      <c r="T52" s="1">
        <v>45925</v>
      </c>
      <c r="U52">
        <v>-40</v>
      </c>
      <c r="V52">
        <v>-40</v>
      </c>
    </row>
    <row r="53" spans="1:22" x14ac:dyDescent="0.3">
      <c r="A53" t="s">
        <v>161</v>
      </c>
      <c r="B53" t="s">
        <v>162</v>
      </c>
      <c r="C53" t="s">
        <v>43</v>
      </c>
      <c r="D53" t="s">
        <v>163</v>
      </c>
      <c r="E53" t="s">
        <v>15</v>
      </c>
      <c r="J53" s="1">
        <v>44663</v>
      </c>
      <c r="K53">
        <v>1421</v>
      </c>
      <c r="L53" t="s">
        <v>164</v>
      </c>
      <c r="M53">
        <v>4</v>
      </c>
      <c r="N53" t="str">
        <f>VLOOKUP(M53,[1]LOJA!$A:$B,2,0)</f>
        <v>ADE</v>
      </c>
      <c r="O53">
        <v>107</v>
      </c>
      <c r="P53" t="str">
        <f>VLOOKUP(O53,[1]OPERADORES!$A:$B,2,0)</f>
        <v>DAIANA PORTELA</v>
      </c>
      <c r="Q53">
        <v>7</v>
      </c>
      <c r="S53" t="s">
        <v>165</v>
      </c>
      <c r="T53" s="1">
        <v>44663</v>
      </c>
      <c r="U53">
        <v>-26.1</v>
      </c>
      <c r="V53">
        <v>-26.1</v>
      </c>
    </row>
    <row r="54" spans="1:22" x14ac:dyDescent="0.3">
      <c r="A54" t="s">
        <v>161</v>
      </c>
      <c r="B54" t="s">
        <v>162</v>
      </c>
      <c r="C54" t="s">
        <v>43</v>
      </c>
      <c r="D54" t="s">
        <v>163</v>
      </c>
      <c r="E54" t="s">
        <v>15</v>
      </c>
      <c r="J54" s="1">
        <v>45562</v>
      </c>
      <c r="K54">
        <v>522</v>
      </c>
      <c r="L54" t="s">
        <v>166</v>
      </c>
      <c r="M54">
        <v>4</v>
      </c>
      <c r="N54" t="str">
        <f>VLOOKUP(M54,[1]LOJA!$A:$B,2,0)</f>
        <v>ADE</v>
      </c>
      <c r="O54">
        <v>226</v>
      </c>
      <c r="P54" t="str">
        <f>VLOOKUP(O54,[1]OPERADORES!$A:$B,2,0)</f>
        <v>MARIA FÉLIX</v>
      </c>
      <c r="Q54">
        <v>4</v>
      </c>
      <c r="S54" t="s">
        <v>167</v>
      </c>
      <c r="T54" s="1">
        <v>45562</v>
      </c>
      <c r="U54">
        <v>-0.1</v>
      </c>
      <c r="V54">
        <v>-0.1</v>
      </c>
    </row>
    <row r="55" spans="1:22" x14ac:dyDescent="0.3">
      <c r="A55" t="s">
        <v>168</v>
      </c>
      <c r="B55" t="s">
        <v>169</v>
      </c>
      <c r="C55" t="s">
        <v>13</v>
      </c>
      <c r="D55" t="s">
        <v>170</v>
      </c>
      <c r="E55" t="s">
        <v>15</v>
      </c>
      <c r="J55" s="1">
        <v>44600</v>
      </c>
      <c r="K55">
        <v>1484</v>
      </c>
      <c r="L55" t="s">
        <v>171</v>
      </c>
      <c r="M55">
        <v>12</v>
      </c>
      <c r="N55" t="str">
        <f>VLOOKUP(M55,[1]LOJA!$A:$B,2,0)</f>
        <v>SOFNORTE</v>
      </c>
      <c r="O55">
        <v>147</v>
      </c>
      <c r="P55" t="str">
        <f>VLOOKUP(O55,[1]OPERADORES!$A:$B,2,0)</f>
        <v>MICAELE DA CONCEIÇAO SILVA</v>
      </c>
      <c r="Q55">
        <v>4</v>
      </c>
      <c r="S55" t="s">
        <v>172</v>
      </c>
      <c r="T55" s="1">
        <v>44600</v>
      </c>
      <c r="U55">
        <v>-9</v>
      </c>
      <c r="V55">
        <v>-9</v>
      </c>
    </row>
    <row r="56" spans="1:22" x14ac:dyDescent="0.3">
      <c r="A56" t="s">
        <v>168</v>
      </c>
      <c r="B56" t="s">
        <v>169</v>
      </c>
      <c r="C56" t="s">
        <v>13</v>
      </c>
      <c r="D56" t="s">
        <v>170</v>
      </c>
      <c r="E56" t="s">
        <v>15</v>
      </c>
      <c r="J56" s="1">
        <v>44946</v>
      </c>
      <c r="K56">
        <v>1138</v>
      </c>
      <c r="L56" t="s">
        <v>173</v>
      </c>
      <c r="M56">
        <v>12</v>
      </c>
      <c r="N56" t="str">
        <f>VLOOKUP(M56,[1]LOJA!$A:$B,2,0)</f>
        <v>SOFNORTE</v>
      </c>
      <c r="O56">
        <v>147</v>
      </c>
      <c r="P56" t="str">
        <f>VLOOKUP(O56,[1]OPERADORES!$A:$B,2,0)</f>
        <v>MICAELE DA CONCEIÇAO SILVA</v>
      </c>
      <c r="Q56">
        <v>4</v>
      </c>
      <c r="S56" t="s">
        <v>174</v>
      </c>
      <c r="T56" s="1">
        <v>44946</v>
      </c>
      <c r="U56">
        <v>-0.2</v>
      </c>
      <c r="V56">
        <v>-0.2</v>
      </c>
    </row>
    <row r="57" spans="1:22" x14ac:dyDescent="0.3">
      <c r="A57" t="s">
        <v>175</v>
      </c>
      <c r="B57" t="s">
        <v>176</v>
      </c>
      <c r="C57" t="s">
        <v>13</v>
      </c>
      <c r="D57" t="s">
        <v>177</v>
      </c>
      <c r="E57" t="s">
        <v>15</v>
      </c>
      <c r="J57" s="1">
        <v>44888</v>
      </c>
      <c r="K57">
        <v>1196</v>
      </c>
      <c r="L57" t="s">
        <v>178</v>
      </c>
      <c r="M57">
        <v>13</v>
      </c>
      <c r="N57" t="str">
        <f>VLOOKUP(M57,[1]LOJA!$A:$B,2,0)</f>
        <v>CEILÂNDIA</v>
      </c>
      <c r="O57">
        <v>67</v>
      </c>
      <c r="P57" t="str">
        <f>VLOOKUP(O57,[1]OPERADORES!$A:$B,2,0)</f>
        <v>ERIKA</v>
      </c>
      <c r="Q57">
        <v>10</v>
      </c>
      <c r="S57" t="s">
        <v>179</v>
      </c>
      <c r="T57" s="1">
        <v>44872</v>
      </c>
      <c r="U57">
        <v>-18.079999999999998</v>
      </c>
      <c r="V57">
        <v>-18.079999999999998</v>
      </c>
    </row>
    <row r="58" spans="1:22" x14ac:dyDescent="0.3">
      <c r="A58" t="s">
        <v>180</v>
      </c>
      <c r="B58" t="s">
        <v>181</v>
      </c>
      <c r="C58" t="s">
        <v>13</v>
      </c>
      <c r="D58" t="s">
        <v>182</v>
      </c>
      <c r="E58" t="s">
        <v>15</v>
      </c>
      <c r="J58" s="1">
        <v>45625</v>
      </c>
      <c r="K58">
        <v>459</v>
      </c>
      <c r="L58" t="s">
        <v>183</v>
      </c>
      <c r="M58">
        <v>6</v>
      </c>
      <c r="N58" t="str">
        <f>VLOOKUP(M58,[1]LOJA!$A:$B,2,0)</f>
        <v>GAMA</v>
      </c>
      <c r="O58">
        <v>98</v>
      </c>
      <c r="P58" t="str">
        <f>VLOOKUP(O58,[1]OPERADORES!$A:$B,2,0)</f>
        <v xml:space="preserve">ARIGLEICE </v>
      </c>
      <c r="Q58">
        <v>4</v>
      </c>
      <c r="S58" t="s">
        <v>184</v>
      </c>
      <c r="T58" s="1">
        <v>45614</v>
      </c>
      <c r="U58">
        <v>-0.01</v>
      </c>
      <c r="V58">
        <v>-0.01</v>
      </c>
    </row>
    <row r="59" spans="1:22" x14ac:dyDescent="0.3">
      <c r="A59" t="s">
        <v>180</v>
      </c>
      <c r="B59" t="s">
        <v>181</v>
      </c>
      <c r="C59" t="s">
        <v>13</v>
      </c>
      <c r="D59" t="s">
        <v>182</v>
      </c>
      <c r="E59" t="s">
        <v>15</v>
      </c>
      <c r="J59" s="1">
        <v>45744</v>
      </c>
      <c r="K59">
        <v>340</v>
      </c>
      <c r="L59" t="s">
        <v>185</v>
      </c>
      <c r="M59">
        <v>6</v>
      </c>
      <c r="N59" t="str">
        <f>VLOOKUP(M59,[1]LOJA!$A:$B,2,0)</f>
        <v>GAMA</v>
      </c>
      <c r="O59">
        <v>98</v>
      </c>
      <c r="P59" t="str">
        <f>VLOOKUP(O59,[1]OPERADORES!$A:$B,2,0)</f>
        <v xml:space="preserve">ARIGLEICE </v>
      </c>
      <c r="Q59">
        <v>4</v>
      </c>
      <c r="S59" t="s">
        <v>186</v>
      </c>
      <c r="T59" s="1">
        <v>45744</v>
      </c>
      <c r="U59">
        <v>-2.7</v>
      </c>
      <c r="V59">
        <v>-2.7</v>
      </c>
    </row>
    <row r="60" spans="1:22" x14ac:dyDescent="0.3">
      <c r="A60" t="s">
        <v>187</v>
      </c>
      <c r="B60" t="s">
        <v>188</v>
      </c>
      <c r="C60" t="s">
        <v>13</v>
      </c>
      <c r="D60" t="s">
        <v>189</v>
      </c>
      <c r="E60" t="s">
        <v>15</v>
      </c>
      <c r="J60" s="1">
        <v>45933</v>
      </c>
      <c r="K60">
        <v>151</v>
      </c>
      <c r="L60" t="s">
        <v>190</v>
      </c>
      <c r="M60">
        <v>14</v>
      </c>
      <c r="N60" t="str">
        <f>VLOOKUP(M60,[1]LOJA!$A:$B,2,0)</f>
        <v>S IA</v>
      </c>
      <c r="O60">
        <v>54</v>
      </c>
      <c r="P60" t="str">
        <f>VLOOKUP(O60,[1]OPERADORES!$A:$B,2,0)</f>
        <v>ROBSON</v>
      </c>
      <c r="Q60">
        <v>4</v>
      </c>
      <c r="S60" t="s">
        <v>191</v>
      </c>
      <c r="T60" s="1">
        <v>45931</v>
      </c>
      <c r="U60">
        <v>-0.5</v>
      </c>
      <c r="V60">
        <v>-0.5</v>
      </c>
    </row>
    <row r="61" spans="1:22" x14ac:dyDescent="0.3">
      <c r="A61" t="s">
        <v>192</v>
      </c>
      <c r="B61" t="s">
        <v>193</v>
      </c>
      <c r="C61" t="s">
        <v>13</v>
      </c>
      <c r="D61" t="s">
        <v>194</v>
      </c>
      <c r="E61" t="s">
        <v>15</v>
      </c>
      <c r="J61" s="1">
        <v>45964</v>
      </c>
      <c r="K61">
        <v>120</v>
      </c>
      <c r="L61" t="s">
        <v>195</v>
      </c>
      <c r="M61">
        <v>24</v>
      </c>
      <c r="N61" t="str">
        <f>VLOOKUP(M61,[1]LOJA!$A:$B,2,0)</f>
        <v>LUZIÂNIA</v>
      </c>
      <c r="O61">
        <v>244</v>
      </c>
      <c r="P61" t="str">
        <f>VLOOKUP(O61,[1]OPERADORES!$A:$B,2,0)</f>
        <v>NATHALIA PEREIRA DA SILVA</v>
      </c>
      <c r="Q61">
        <v>4</v>
      </c>
      <c r="S61" t="s">
        <v>196</v>
      </c>
      <c r="T61" s="1">
        <v>45964</v>
      </c>
      <c r="U61">
        <v>-0.3</v>
      </c>
      <c r="V61">
        <v>-0.3</v>
      </c>
    </row>
    <row r="62" spans="1:22" x14ac:dyDescent="0.3">
      <c r="A62" t="s">
        <v>197</v>
      </c>
      <c r="B62" t="s">
        <v>32</v>
      </c>
      <c r="C62" t="s">
        <v>13</v>
      </c>
      <c r="D62" t="s">
        <v>198</v>
      </c>
      <c r="E62" t="s">
        <v>15</v>
      </c>
      <c r="J62" s="1">
        <v>45779</v>
      </c>
      <c r="K62">
        <v>305</v>
      </c>
      <c r="L62" t="s">
        <v>199</v>
      </c>
      <c r="M62">
        <v>8</v>
      </c>
      <c r="N62" t="str">
        <f>VLOOKUP(M62,[1]LOJA!$A:$B,2,0)</f>
        <v>LUZIÂNIA</v>
      </c>
      <c r="O62">
        <v>170</v>
      </c>
      <c r="P62" t="str">
        <f>VLOOKUP(O62,[1]OPERADORES!$A:$B,2,0)</f>
        <v>MARIA LUISA</v>
      </c>
      <c r="Q62">
        <v>4</v>
      </c>
      <c r="S62" t="s">
        <v>200</v>
      </c>
      <c r="T62" s="1">
        <v>45779</v>
      </c>
      <c r="U62">
        <v>-77.31</v>
      </c>
      <c r="V62">
        <v>-77.31</v>
      </c>
    </row>
    <row r="63" spans="1:22" x14ac:dyDescent="0.3">
      <c r="A63" t="s">
        <v>201</v>
      </c>
      <c r="B63" t="s">
        <v>202</v>
      </c>
      <c r="C63" t="s">
        <v>43</v>
      </c>
      <c r="D63" t="s">
        <v>203</v>
      </c>
      <c r="E63" t="s">
        <v>15</v>
      </c>
      <c r="J63" s="1">
        <v>45253</v>
      </c>
      <c r="K63">
        <v>831</v>
      </c>
      <c r="L63" t="s">
        <v>204</v>
      </c>
      <c r="M63">
        <v>14</v>
      </c>
      <c r="N63" t="str">
        <f>VLOOKUP(M63,[1]LOJA!$A:$B,2,0)</f>
        <v>S IA</v>
      </c>
      <c r="O63">
        <v>207</v>
      </c>
      <c r="P63" t="str">
        <f>VLOOKUP(O63,[1]OPERADORES!$A:$B,2,0)</f>
        <v>KETILE SABRINE</v>
      </c>
      <c r="Q63">
        <v>4</v>
      </c>
      <c r="S63" t="s">
        <v>205</v>
      </c>
      <c r="T63" s="1">
        <v>45253</v>
      </c>
      <c r="U63">
        <v>-0.59</v>
      </c>
      <c r="V63">
        <v>-0.59</v>
      </c>
    </row>
    <row r="64" spans="1:22" x14ac:dyDescent="0.3">
      <c r="A64" t="s">
        <v>206</v>
      </c>
      <c r="B64" t="s">
        <v>32</v>
      </c>
      <c r="C64" t="s">
        <v>207</v>
      </c>
      <c r="D64" t="s">
        <v>5355</v>
      </c>
      <c r="E64" t="s">
        <v>15</v>
      </c>
      <c r="J64" s="1">
        <v>46037</v>
      </c>
      <c r="K64">
        <v>47</v>
      </c>
      <c r="L64" t="s">
        <v>208</v>
      </c>
      <c r="M64">
        <v>24</v>
      </c>
      <c r="N64" t="str">
        <f>VLOOKUP(M64,[1]LOJA!$A:$B,2,0)</f>
        <v>LUZIÂNIA</v>
      </c>
      <c r="O64">
        <v>244</v>
      </c>
      <c r="P64" t="str">
        <f>VLOOKUP(O64,[1]OPERADORES!$A:$B,2,0)</f>
        <v>NATHALIA PEREIRA DA SILVA</v>
      </c>
      <c r="Q64">
        <v>4</v>
      </c>
      <c r="S64" t="s">
        <v>209</v>
      </c>
      <c r="T64" s="1">
        <v>46037</v>
      </c>
      <c r="U64">
        <v>-4</v>
      </c>
      <c r="V64">
        <v>-4</v>
      </c>
    </row>
    <row r="65" spans="1:22" x14ac:dyDescent="0.3">
      <c r="A65" t="s">
        <v>210</v>
      </c>
      <c r="B65" t="s">
        <v>211</v>
      </c>
      <c r="C65" t="s">
        <v>43</v>
      </c>
      <c r="D65" t="s">
        <v>212</v>
      </c>
      <c r="E65" t="s">
        <v>15</v>
      </c>
      <c r="J65" s="1">
        <v>45555</v>
      </c>
      <c r="K65">
        <v>529</v>
      </c>
      <c r="L65" t="s">
        <v>213</v>
      </c>
      <c r="M65">
        <v>14</v>
      </c>
      <c r="N65" t="str">
        <f>VLOOKUP(M65,[1]LOJA!$A:$B,2,0)</f>
        <v>S IA</v>
      </c>
      <c r="O65">
        <v>207</v>
      </c>
      <c r="P65" t="str">
        <f>VLOOKUP(O65,[1]OPERADORES!$A:$B,2,0)</f>
        <v>KETILE SABRINE</v>
      </c>
      <c r="Q65">
        <v>4</v>
      </c>
      <c r="S65" t="s">
        <v>214</v>
      </c>
      <c r="T65" s="1">
        <v>45555</v>
      </c>
      <c r="U65">
        <v>-0.02</v>
      </c>
      <c r="V65">
        <v>-0.02</v>
      </c>
    </row>
    <row r="66" spans="1:22" x14ac:dyDescent="0.3">
      <c r="A66" t="s">
        <v>210</v>
      </c>
      <c r="B66" t="s">
        <v>211</v>
      </c>
      <c r="C66" t="s">
        <v>43</v>
      </c>
      <c r="D66" t="s">
        <v>212</v>
      </c>
      <c r="E66" t="s">
        <v>15</v>
      </c>
      <c r="J66" s="1">
        <v>45786</v>
      </c>
      <c r="K66">
        <v>298</v>
      </c>
      <c r="L66" t="s">
        <v>215</v>
      </c>
      <c r="M66">
        <v>14</v>
      </c>
      <c r="N66" t="str">
        <f>VLOOKUP(M66,[1]LOJA!$A:$B,2,0)</f>
        <v>S IA</v>
      </c>
      <c r="O66">
        <v>212</v>
      </c>
      <c r="P66" t="str">
        <f>VLOOKUP(O66,[1]OPERADORES!$A:$B,2,0)</f>
        <v>YASMIN</v>
      </c>
      <c r="Q66">
        <v>4</v>
      </c>
      <c r="S66" t="s">
        <v>214</v>
      </c>
      <c r="T66" s="1">
        <v>45786</v>
      </c>
      <c r="U66">
        <v>-0.09</v>
      </c>
      <c r="V66">
        <v>-0.09</v>
      </c>
    </row>
    <row r="67" spans="1:22" x14ac:dyDescent="0.3">
      <c r="A67" t="s">
        <v>210</v>
      </c>
      <c r="B67" t="s">
        <v>211</v>
      </c>
      <c r="C67" t="s">
        <v>43</v>
      </c>
      <c r="D67" t="s">
        <v>212</v>
      </c>
      <c r="E67" t="s">
        <v>15</v>
      </c>
      <c r="J67" s="1">
        <v>45840</v>
      </c>
      <c r="K67">
        <v>244</v>
      </c>
      <c r="L67" t="s">
        <v>216</v>
      </c>
      <c r="M67">
        <v>14</v>
      </c>
      <c r="N67" t="str">
        <f>VLOOKUP(M67,[1]LOJA!$A:$B,2,0)</f>
        <v>S IA</v>
      </c>
      <c r="O67">
        <v>209</v>
      </c>
      <c r="P67" t="str">
        <f>VLOOKUP(O67,[1]OPERADORES!$A:$B,2,0)</f>
        <v>MARIA WITHALINA CUNHA DE SOUZA</v>
      </c>
      <c r="Q67">
        <v>4</v>
      </c>
      <c r="S67" t="s">
        <v>217</v>
      </c>
      <c r="T67" s="1">
        <v>45840</v>
      </c>
      <c r="U67">
        <v>-0.3</v>
      </c>
      <c r="V67">
        <v>-0.3</v>
      </c>
    </row>
    <row r="68" spans="1:22" x14ac:dyDescent="0.3">
      <c r="A68" t="s">
        <v>210</v>
      </c>
      <c r="B68" t="s">
        <v>211</v>
      </c>
      <c r="C68" t="s">
        <v>43</v>
      </c>
      <c r="D68" t="s">
        <v>212</v>
      </c>
      <c r="E68" t="s">
        <v>15</v>
      </c>
      <c r="J68" s="1">
        <v>45916</v>
      </c>
      <c r="K68">
        <v>168</v>
      </c>
      <c r="L68" t="s">
        <v>218</v>
      </c>
      <c r="M68">
        <v>14</v>
      </c>
      <c r="N68" t="str">
        <f>VLOOKUP(M68,[1]LOJA!$A:$B,2,0)</f>
        <v>S IA</v>
      </c>
      <c r="O68">
        <v>207</v>
      </c>
      <c r="P68" t="str">
        <f>VLOOKUP(O68,[1]OPERADORES!$A:$B,2,0)</f>
        <v>KETILE SABRINE</v>
      </c>
      <c r="Q68">
        <v>4</v>
      </c>
      <c r="S68" t="s">
        <v>214</v>
      </c>
      <c r="T68" s="1">
        <v>45916</v>
      </c>
      <c r="U68">
        <v>-0.09</v>
      </c>
      <c r="V68">
        <v>-0.09</v>
      </c>
    </row>
    <row r="69" spans="1:22" x14ac:dyDescent="0.3">
      <c r="A69" t="s">
        <v>219</v>
      </c>
      <c r="B69" t="s">
        <v>220</v>
      </c>
      <c r="C69" t="s">
        <v>43</v>
      </c>
      <c r="D69" t="s">
        <v>221</v>
      </c>
      <c r="E69" t="s">
        <v>15</v>
      </c>
      <c r="J69" s="1">
        <v>44894</v>
      </c>
      <c r="K69">
        <v>1190</v>
      </c>
      <c r="L69" t="s">
        <v>222</v>
      </c>
      <c r="M69">
        <v>14</v>
      </c>
      <c r="N69" t="str">
        <f>VLOOKUP(M69,[1]LOJA!$A:$B,2,0)</f>
        <v>S IA</v>
      </c>
      <c r="O69">
        <v>54</v>
      </c>
      <c r="P69" t="str">
        <f>VLOOKUP(O69,[1]OPERADORES!$A:$B,2,0)</f>
        <v>ROBSON</v>
      </c>
      <c r="Q69">
        <v>4</v>
      </c>
      <c r="S69" t="s">
        <v>223</v>
      </c>
      <c r="T69" s="1">
        <v>44894</v>
      </c>
      <c r="U69">
        <v>-27</v>
      </c>
      <c r="V69">
        <v>-27</v>
      </c>
    </row>
    <row r="70" spans="1:22" x14ac:dyDescent="0.3">
      <c r="A70" t="s">
        <v>5356</v>
      </c>
      <c r="B70" t="s">
        <v>5357</v>
      </c>
      <c r="C70" t="s">
        <v>13</v>
      </c>
      <c r="D70" t="s">
        <v>5358</v>
      </c>
      <c r="E70" t="s">
        <v>15</v>
      </c>
      <c r="J70" s="1">
        <v>46080</v>
      </c>
      <c r="K70">
        <v>4</v>
      </c>
      <c r="L70" t="s">
        <v>5359</v>
      </c>
      <c r="M70">
        <v>4</v>
      </c>
      <c r="N70" t="str">
        <f>VLOOKUP(M70,[1]LOJA!$A:$B,2,0)</f>
        <v>ADE</v>
      </c>
      <c r="O70">
        <v>247</v>
      </c>
      <c r="P70" t="str">
        <f>VLOOKUP(O70,[1]OPERADORES!$A:$B,2,0)</f>
        <v>TATIELE BRITO</v>
      </c>
      <c r="Q70">
        <v>4</v>
      </c>
      <c r="S70" t="s">
        <v>5360</v>
      </c>
      <c r="T70" s="1">
        <v>46080</v>
      </c>
      <c r="U70">
        <v>-8.6</v>
      </c>
      <c r="V70">
        <v>-8.6</v>
      </c>
    </row>
    <row r="71" spans="1:22" x14ac:dyDescent="0.3">
      <c r="A71" t="s">
        <v>5356</v>
      </c>
      <c r="B71" t="s">
        <v>5357</v>
      </c>
      <c r="C71" t="s">
        <v>13</v>
      </c>
      <c r="D71" t="s">
        <v>5358</v>
      </c>
      <c r="E71" t="s">
        <v>15</v>
      </c>
      <c r="J71" s="1">
        <v>46082</v>
      </c>
      <c r="K71">
        <v>2</v>
      </c>
      <c r="L71" t="s">
        <v>5361</v>
      </c>
      <c r="M71">
        <v>4</v>
      </c>
      <c r="N71" t="str">
        <f>VLOOKUP(M71,[1]LOJA!$A:$B,2,0)</f>
        <v>ADE</v>
      </c>
      <c r="O71">
        <v>191</v>
      </c>
      <c r="P71" t="str">
        <f>VLOOKUP(O71,[1]OPERADORES!$A:$B,2,0)</f>
        <v xml:space="preserve">NATHAN DE LIMA SOUSA </v>
      </c>
      <c r="Q71">
        <v>7</v>
      </c>
      <c r="S71" t="s">
        <v>87</v>
      </c>
      <c r="T71" s="1">
        <v>46081</v>
      </c>
      <c r="U71">
        <v>265</v>
      </c>
      <c r="V71">
        <v>265</v>
      </c>
    </row>
    <row r="72" spans="1:22" x14ac:dyDescent="0.3">
      <c r="A72" t="s">
        <v>224</v>
      </c>
      <c r="B72" t="s">
        <v>225</v>
      </c>
      <c r="C72" t="s">
        <v>226</v>
      </c>
      <c r="D72" t="s">
        <v>5362</v>
      </c>
      <c r="E72" t="s">
        <v>15</v>
      </c>
      <c r="J72" s="1">
        <v>46037</v>
      </c>
      <c r="K72">
        <v>47</v>
      </c>
      <c r="L72" t="s">
        <v>227</v>
      </c>
      <c r="M72">
        <v>9</v>
      </c>
      <c r="N72" t="str">
        <f>VLOOKUP(M72,[1]LOJA!$A:$B,2,0)</f>
        <v>ÚNICA</v>
      </c>
      <c r="O72">
        <v>230</v>
      </c>
      <c r="P72" t="str">
        <f>VLOOKUP(O72,[1]OPERADORES!$A:$B,2,0)</f>
        <v>SÔNIA</v>
      </c>
      <c r="Q72">
        <v>25</v>
      </c>
      <c r="S72" t="s">
        <v>5363</v>
      </c>
      <c r="T72" s="1">
        <v>46037</v>
      </c>
      <c r="U72" s="2">
        <v>-1955.77</v>
      </c>
      <c r="V72" s="2">
        <v>-1955.77</v>
      </c>
    </row>
    <row r="73" spans="1:22" x14ac:dyDescent="0.3">
      <c r="A73" t="s">
        <v>228</v>
      </c>
      <c r="B73" t="s">
        <v>229</v>
      </c>
      <c r="C73" t="s">
        <v>43</v>
      </c>
      <c r="D73" t="s">
        <v>5364</v>
      </c>
      <c r="E73" t="s">
        <v>15</v>
      </c>
      <c r="J73" s="1">
        <v>45975</v>
      </c>
      <c r="K73">
        <v>109</v>
      </c>
      <c r="L73" t="s">
        <v>230</v>
      </c>
      <c r="M73">
        <v>24</v>
      </c>
      <c r="N73" t="str">
        <f>VLOOKUP(M73,[1]LOJA!$A:$B,2,0)</f>
        <v>LUZIÂNIA</v>
      </c>
      <c r="O73">
        <v>244</v>
      </c>
      <c r="P73" t="str">
        <f>VLOOKUP(O73,[1]OPERADORES!$A:$B,2,0)</f>
        <v>NATHALIA PEREIRA DA SILVA</v>
      </c>
      <c r="Q73">
        <v>4</v>
      </c>
      <c r="S73" t="s">
        <v>231</v>
      </c>
      <c r="T73" s="1">
        <v>45975</v>
      </c>
      <c r="U73">
        <v>-80.05</v>
      </c>
      <c r="V73">
        <v>-80.05</v>
      </c>
    </row>
    <row r="74" spans="1:22" x14ac:dyDescent="0.3">
      <c r="A74" t="s">
        <v>228</v>
      </c>
      <c r="B74" t="s">
        <v>229</v>
      </c>
      <c r="C74" t="s">
        <v>43</v>
      </c>
      <c r="D74" t="s">
        <v>5364</v>
      </c>
      <c r="E74" t="s">
        <v>15</v>
      </c>
      <c r="J74" s="1">
        <v>46084</v>
      </c>
      <c r="K74">
        <v>0</v>
      </c>
      <c r="L74" t="s">
        <v>5365</v>
      </c>
      <c r="M74">
        <v>24</v>
      </c>
      <c r="N74" t="str">
        <f>VLOOKUP(M74,[1]LOJA!$A:$B,2,0)</f>
        <v>LUZIÂNIA</v>
      </c>
      <c r="O74">
        <v>150</v>
      </c>
      <c r="P74" t="str">
        <f>VLOOKUP(O74,[1]OPERADORES!$A:$B,2,0)</f>
        <v>LUZIBERTO GOMES DA SILVA</v>
      </c>
      <c r="Q74">
        <v>7</v>
      </c>
      <c r="S74" t="s">
        <v>87</v>
      </c>
      <c r="T74" s="1">
        <v>46083</v>
      </c>
      <c r="U74">
        <v>58</v>
      </c>
      <c r="V74">
        <v>58</v>
      </c>
    </row>
    <row r="75" spans="1:22" x14ac:dyDescent="0.3">
      <c r="A75" t="s">
        <v>233</v>
      </c>
      <c r="B75" t="s">
        <v>234</v>
      </c>
      <c r="C75" t="s">
        <v>13</v>
      </c>
      <c r="D75" t="s">
        <v>5366</v>
      </c>
      <c r="E75" t="s">
        <v>15</v>
      </c>
      <c r="J75" s="1">
        <v>45973</v>
      </c>
      <c r="K75">
        <v>111</v>
      </c>
      <c r="L75" t="s">
        <v>235</v>
      </c>
      <c r="M75">
        <v>14</v>
      </c>
      <c r="N75" t="str">
        <f>VLOOKUP(M75,[1]LOJA!$A:$B,2,0)</f>
        <v>S IA</v>
      </c>
      <c r="O75">
        <v>207</v>
      </c>
      <c r="P75" t="str">
        <f>VLOOKUP(O75,[1]OPERADORES!$A:$B,2,0)</f>
        <v>KETILE SABRINE</v>
      </c>
      <c r="Q75">
        <v>4</v>
      </c>
      <c r="S75" t="s">
        <v>110</v>
      </c>
      <c r="T75" s="1">
        <v>45973</v>
      </c>
      <c r="U75">
        <v>-135.9</v>
      </c>
      <c r="V75">
        <v>-135.9</v>
      </c>
    </row>
    <row r="76" spans="1:22" x14ac:dyDescent="0.3">
      <c r="A76" t="s">
        <v>236</v>
      </c>
      <c r="B76" t="s">
        <v>237</v>
      </c>
      <c r="C76" t="s">
        <v>13</v>
      </c>
      <c r="D76" t="s">
        <v>238</v>
      </c>
      <c r="E76" t="s">
        <v>15</v>
      </c>
      <c r="J76" s="1">
        <v>45510</v>
      </c>
      <c r="K76">
        <v>574</v>
      </c>
      <c r="L76" t="s">
        <v>239</v>
      </c>
      <c r="M76">
        <v>14</v>
      </c>
      <c r="N76" t="str">
        <f>VLOOKUP(M76,[1]LOJA!$A:$B,2,0)</f>
        <v>S IA</v>
      </c>
      <c r="O76">
        <v>54</v>
      </c>
      <c r="P76" t="str">
        <f>VLOOKUP(O76,[1]OPERADORES!$A:$B,2,0)</f>
        <v>ROBSON</v>
      </c>
      <c r="Q76">
        <v>4</v>
      </c>
      <c r="S76" t="s">
        <v>240</v>
      </c>
      <c r="T76" s="1">
        <v>45510</v>
      </c>
      <c r="U76">
        <v>-53.34</v>
      </c>
      <c r="V76">
        <v>-53.34</v>
      </c>
    </row>
    <row r="77" spans="1:22" x14ac:dyDescent="0.3">
      <c r="A77" t="s">
        <v>241</v>
      </c>
      <c r="B77" t="s">
        <v>242</v>
      </c>
      <c r="C77" t="s">
        <v>13</v>
      </c>
      <c r="D77" t="s">
        <v>5367</v>
      </c>
      <c r="E77" t="s">
        <v>15</v>
      </c>
      <c r="J77" s="1">
        <v>46062</v>
      </c>
      <c r="K77">
        <v>22</v>
      </c>
      <c r="L77" t="s">
        <v>244</v>
      </c>
      <c r="M77">
        <v>13</v>
      </c>
      <c r="N77" t="str">
        <f>VLOOKUP(M77,[1]LOJA!$A:$B,2,0)</f>
        <v>CEILÂNDIA</v>
      </c>
      <c r="O77">
        <v>67</v>
      </c>
      <c r="P77" t="str">
        <f>VLOOKUP(O77,[1]OPERADORES!$A:$B,2,0)</f>
        <v>ERIKA</v>
      </c>
      <c r="Q77">
        <v>4</v>
      </c>
      <c r="S77" t="s">
        <v>245</v>
      </c>
      <c r="T77" s="1">
        <v>46062</v>
      </c>
      <c r="U77">
        <v>-0.2</v>
      </c>
      <c r="V77">
        <v>-0.2</v>
      </c>
    </row>
    <row r="78" spans="1:22" x14ac:dyDescent="0.3">
      <c r="A78" t="s">
        <v>246</v>
      </c>
      <c r="B78" t="s">
        <v>247</v>
      </c>
      <c r="C78" t="s">
        <v>13</v>
      </c>
      <c r="D78" t="s">
        <v>248</v>
      </c>
      <c r="E78" t="s">
        <v>15</v>
      </c>
      <c r="J78" s="1">
        <v>45103</v>
      </c>
      <c r="K78">
        <v>981</v>
      </c>
      <c r="L78" t="s">
        <v>249</v>
      </c>
      <c r="M78">
        <v>1</v>
      </c>
      <c r="N78" t="str">
        <f>VLOOKUP(M78,[1]LOJA!$A:$B,2,0)</f>
        <v>GUARÁ</v>
      </c>
      <c r="O78">
        <v>93</v>
      </c>
      <c r="P78" t="str">
        <f>VLOOKUP(O78,[1]OPERADORES!$A:$B,2,0)</f>
        <v>PATRICIA</v>
      </c>
      <c r="Q78">
        <v>4</v>
      </c>
      <c r="S78" t="s">
        <v>250</v>
      </c>
      <c r="T78" s="1">
        <v>45103</v>
      </c>
      <c r="U78">
        <v>-12.9</v>
      </c>
      <c r="V78">
        <v>-12.9</v>
      </c>
    </row>
    <row r="79" spans="1:22" x14ac:dyDescent="0.3">
      <c r="A79" t="s">
        <v>246</v>
      </c>
      <c r="B79" t="s">
        <v>247</v>
      </c>
      <c r="C79" t="s">
        <v>13</v>
      </c>
      <c r="D79" t="s">
        <v>248</v>
      </c>
      <c r="E79" t="s">
        <v>15</v>
      </c>
      <c r="J79" s="1">
        <v>45169</v>
      </c>
      <c r="K79">
        <v>915</v>
      </c>
      <c r="L79" t="s">
        <v>251</v>
      </c>
      <c r="M79">
        <v>1</v>
      </c>
      <c r="N79" t="str">
        <f>VLOOKUP(M79,[1]LOJA!$A:$B,2,0)</f>
        <v>GUARÁ</v>
      </c>
      <c r="O79">
        <v>93</v>
      </c>
      <c r="P79" t="str">
        <f>VLOOKUP(O79,[1]OPERADORES!$A:$B,2,0)</f>
        <v>PATRICIA</v>
      </c>
      <c r="Q79">
        <v>4</v>
      </c>
      <c r="S79" t="s">
        <v>252</v>
      </c>
      <c r="T79" s="1">
        <v>45169</v>
      </c>
      <c r="U79">
        <v>-15.29</v>
      </c>
      <c r="V79">
        <v>-15.29</v>
      </c>
    </row>
    <row r="80" spans="1:22" x14ac:dyDescent="0.3">
      <c r="A80" t="s">
        <v>253</v>
      </c>
      <c r="B80" t="s">
        <v>254</v>
      </c>
      <c r="C80" t="s">
        <v>255</v>
      </c>
      <c r="D80" t="s">
        <v>5368</v>
      </c>
      <c r="E80" t="s">
        <v>15</v>
      </c>
      <c r="J80" s="1">
        <v>46073</v>
      </c>
      <c r="K80">
        <v>11</v>
      </c>
      <c r="L80" t="s">
        <v>5369</v>
      </c>
      <c r="M80">
        <v>6</v>
      </c>
      <c r="N80" t="str">
        <f>VLOOKUP(M80,[1]LOJA!$A:$B,2,0)</f>
        <v>GAMA</v>
      </c>
      <c r="O80">
        <v>20</v>
      </c>
      <c r="P80" t="str">
        <f>VLOOKUP(O80,[1]OPERADORES!$A:$B,2,0)</f>
        <v>MAYARA</v>
      </c>
      <c r="Q80">
        <v>12</v>
      </c>
      <c r="S80" t="s">
        <v>5370</v>
      </c>
      <c r="T80" s="1">
        <v>46056</v>
      </c>
      <c r="U80">
        <v>333.44</v>
      </c>
      <c r="V80">
        <v>333.44</v>
      </c>
    </row>
    <row r="81" spans="1:22" x14ac:dyDescent="0.3">
      <c r="A81" t="s">
        <v>256</v>
      </c>
      <c r="B81" t="s">
        <v>257</v>
      </c>
      <c r="C81" t="s">
        <v>13</v>
      </c>
      <c r="D81" t="s">
        <v>258</v>
      </c>
      <c r="E81" t="s">
        <v>15</v>
      </c>
      <c r="J81" s="1">
        <v>44818</v>
      </c>
      <c r="K81">
        <v>1266</v>
      </c>
      <c r="L81" t="s">
        <v>259</v>
      </c>
      <c r="M81">
        <v>4</v>
      </c>
      <c r="N81" t="str">
        <f>VLOOKUP(M81,[1]LOJA!$A:$B,2,0)</f>
        <v>ADE</v>
      </c>
      <c r="O81">
        <v>107</v>
      </c>
      <c r="P81" t="str">
        <f>VLOOKUP(O81,[1]OPERADORES!$A:$B,2,0)</f>
        <v>DAIANA PORTELA</v>
      </c>
      <c r="Q81">
        <v>7</v>
      </c>
      <c r="S81" t="s">
        <v>260</v>
      </c>
      <c r="T81" s="1">
        <v>44818</v>
      </c>
      <c r="U81">
        <v>-18.34</v>
      </c>
      <c r="V81">
        <v>-18.34</v>
      </c>
    </row>
    <row r="82" spans="1:22" x14ac:dyDescent="0.3">
      <c r="A82" t="s">
        <v>261</v>
      </c>
      <c r="B82" t="s">
        <v>262</v>
      </c>
      <c r="C82" t="s">
        <v>263</v>
      </c>
      <c r="D82" t="s">
        <v>5371</v>
      </c>
      <c r="E82" t="s">
        <v>15</v>
      </c>
      <c r="J82" s="1">
        <v>45663</v>
      </c>
      <c r="K82">
        <v>421</v>
      </c>
      <c r="L82" t="s">
        <v>264</v>
      </c>
      <c r="M82">
        <v>13</v>
      </c>
      <c r="N82" t="str">
        <f>VLOOKUP(M82,[1]LOJA!$A:$B,2,0)</f>
        <v>CEILÂNDIA</v>
      </c>
      <c r="O82">
        <v>67</v>
      </c>
      <c r="P82" t="str">
        <f>VLOOKUP(O82,[1]OPERADORES!$A:$B,2,0)</f>
        <v>ERIKA</v>
      </c>
      <c r="Q82">
        <v>10</v>
      </c>
      <c r="S82" t="s">
        <v>265</v>
      </c>
      <c r="T82" s="1">
        <v>45663</v>
      </c>
      <c r="U82">
        <v>-0.83</v>
      </c>
      <c r="V82">
        <v>-0.83</v>
      </c>
    </row>
    <row r="83" spans="1:22" x14ac:dyDescent="0.3">
      <c r="A83" t="s">
        <v>266</v>
      </c>
      <c r="B83" t="s">
        <v>32</v>
      </c>
      <c r="C83" t="s">
        <v>13</v>
      </c>
      <c r="D83" t="s">
        <v>267</v>
      </c>
      <c r="E83" t="s">
        <v>15</v>
      </c>
      <c r="J83" s="1">
        <v>45769</v>
      </c>
      <c r="K83">
        <v>315</v>
      </c>
      <c r="L83" t="s">
        <v>268</v>
      </c>
      <c r="M83">
        <v>16</v>
      </c>
      <c r="N83" t="str">
        <f>VLOOKUP(M83,[1]LOJA!$A:$B,2,0)</f>
        <v>AG LINDAS</v>
      </c>
      <c r="O83">
        <v>228</v>
      </c>
      <c r="P83" t="str">
        <f>VLOOKUP(O83,[1]OPERADORES!$A:$B,2,0)</f>
        <v>LUCAS</v>
      </c>
      <c r="Q83">
        <v>4</v>
      </c>
      <c r="S83" t="s">
        <v>269</v>
      </c>
      <c r="T83" s="1">
        <v>45769</v>
      </c>
      <c r="U83">
        <v>-4.9400000000000004</v>
      </c>
      <c r="V83">
        <v>-4.9400000000000004</v>
      </c>
    </row>
    <row r="84" spans="1:22" x14ac:dyDescent="0.3">
      <c r="A84" t="s">
        <v>270</v>
      </c>
      <c r="B84" t="s">
        <v>32</v>
      </c>
      <c r="C84" t="s">
        <v>13</v>
      </c>
      <c r="D84" t="s">
        <v>271</v>
      </c>
      <c r="E84" t="s">
        <v>15</v>
      </c>
      <c r="J84" s="1">
        <v>45222</v>
      </c>
      <c r="K84">
        <v>862</v>
      </c>
      <c r="L84" t="s">
        <v>272</v>
      </c>
      <c r="M84">
        <v>1</v>
      </c>
      <c r="N84" t="str">
        <f>VLOOKUP(M84,[1]LOJA!$A:$B,2,0)</f>
        <v>GUARÁ</v>
      </c>
      <c r="O84">
        <v>26</v>
      </c>
      <c r="P84" t="str">
        <f>VLOOKUP(O84,[1]OPERADORES!$A:$B,2,0)</f>
        <v>JANUARIO</v>
      </c>
      <c r="Q84">
        <v>4</v>
      </c>
      <c r="S84" t="s">
        <v>273</v>
      </c>
      <c r="T84" s="1">
        <v>45222</v>
      </c>
      <c r="U84">
        <v>-0.06</v>
      </c>
      <c r="V84">
        <v>-0.06</v>
      </c>
    </row>
    <row r="85" spans="1:22" x14ac:dyDescent="0.3">
      <c r="A85" t="s">
        <v>274</v>
      </c>
      <c r="B85" t="s">
        <v>32</v>
      </c>
      <c r="C85" t="s">
        <v>13</v>
      </c>
      <c r="D85" t="s">
        <v>275</v>
      </c>
      <c r="E85" t="s">
        <v>15</v>
      </c>
      <c r="J85" s="1">
        <v>45992</v>
      </c>
      <c r="K85">
        <v>92</v>
      </c>
      <c r="L85" t="s">
        <v>276</v>
      </c>
      <c r="M85">
        <v>16</v>
      </c>
      <c r="N85" t="str">
        <f>VLOOKUP(M85,[1]LOJA!$A:$B,2,0)</f>
        <v>AG LINDAS</v>
      </c>
      <c r="O85">
        <v>107</v>
      </c>
      <c r="P85" t="str">
        <f>VLOOKUP(O85,[1]OPERADORES!$A:$B,2,0)</f>
        <v>DAIANA PORTELA</v>
      </c>
      <c r="Q85">
        <v>7</v>
      </c>
      <c r="S85" t="s">
        <v>277</v>
      </c>
      <c r="T85" s="1">
        <v>45961</v>
      </c>
      <c r="U85">
        <v>-2.6</v>
      </c>
      <c r="V85">
        <v>-2.6</v>
      </c>
    </row>
    <row r="86" spans="1:22" x14ac:dyDescent="0.3">
      <c r="A86" t="s">
        <v>278</v>
      </c>
      <c r="B86" t="s">
        <v>279</v>
      </c>
      <c r="C86" t="s">
        <v>13</v>
      </c>
      <c r="D86" t="s">
        <v>280</v>
      </c>
      <c r="E86" t="s">
        <v>15</v>
      </c>
      <c r="J86" s="1">
        <v>46081</v>
      </c>
      <c r="K86">
        <v>3</v>
      </c>
      <c r="L86" t="s">
        <v>5372</v>
      </c>
      <c r="M86">
        <v>24</v>
      </c>
      <c r="N86" t="str">
        <f>VLOOKUP(M86,[1]LOJA!$A:$B,2,0)</f>
        <v>LUZIÂNIA</v>
      </c>
      <c r="O86">
        <v>170</v>
      </c>
      <c r="P86" t="str">
        <f>VLOOKUP(O86,[1]OPERADORES!$A:$B,2,0)</f>
        <v>MARIA LUISA</v>
      </c>
      <c r="Q86">
        <v>4</v>
      </c>
      <c r="S86" t="s">
        <v>281</v>
      </c>
      <c r="T86" s="1">
        <v>46081</v>
      </c>
      <c r="U86">
        <v>-1</v>
      </c>
      <c r="V86">
        <v>-1</v>
      </c>
    </row>
    <row r="87" spans="1:22" x14ac:dyDescent="0.3">
      <c r="A87" t="s">
        <v>282</v>
      </c>
      <c r="B87" t="s">
        <v>283</v>
      </c>
      <c r="C87" t="s">
        <v>13</v>
      </c>
      <c r="D87" t="s">
        <v>284</v>
      </c>
      <c r="E87" t="s">
        <v>15</v>
      </c>
      <c r="J87" s="1">
        <v>44340</v>
      </c>
      <c r="K87">
        <v>1744</v>
      </c>
      <c r="L87" t="s">
        <v>285</v>
      </c>
      <c r="M87">
        <v>1</v>
      </c>
      <c r="N87" t="str">
        <f>VLOOKUP(M87,[1]LOJA!$A:$B,2,0)</f>
        <v>GUARÁ</v>
      </c>
      <c r="O87">
        <v>93</v>
      </c>
      <c r="P87" t="str">
        <f>VLOOKUP(O87,[1]OPERADORES!$A:$B,2,0)</f>
        <v>PATRICIA</v>
      </c>
      <c r="Q87">
        <v>4</v>
      </c>
      <c r="S87" t="s">
        <v>286</v>
      </c>
      <c r="T87" s="1">
        <v>44340</v>
      </c>
      <c r="U87">
        <v>-6.2</v>
      </c>
      <c r="V87">
        <v>-6.2</v>
      </c>
    </row>
    <row r="88" spans="1:22" x14ac:dyDescent="0.3">
      <c r="A88" t="s">
        <v>287</v>
      </c>
      <c r="B88" t="s">
        <v>288</v>
      </c>
      <c r="C88" t="s">
        <v>13</v>
      </c>
      <c r="D88" t="s">
        <v>289</v>
      </c>
      <c r="E88" t="s">
        <v>15</v>
      </c>
      <c r="J88" s="1">
        <v>45866</v>
      </c>
      <c r="K88">
        <v>218</v>
      </c>
      <c r="L88" t="s">
        <v>290</v>
      </c>
      <c r="M88">
        <v>9</v>
      </c>
      <c r="N88" t="str">
        <f>VLOOKUP(M88,[1]LOJA!$A:$B,2,0)</f>
        <v>ÚNICA</v>
      </c>
      <c r="O88">
        <v>84</v>
      </c>
      <c r="P88" t="str">
        <f>VLOOKUP(O88,[1]OPERADORES!$A:$B,2,0)</f>
        <v>JEICY AZEVEDO</v>
      </c>
      <c r="Q88">
        <v>4</v>
      </c>
      <c r="S88" t="s">
        <v>291</v>
      </c>
      <c r="T88" s="1">
        <v>45866</v>
      </c>
      <c r="U88">
        <v>-59.75</v>
      </c>
      <c r="V88">
        <v>-59.75</v>
      </c>
    </row>
    <row r="89" spans="1:22" x14ac:dyDescent="0.3">
      <c r="A89" t="s">
        <v>5373</v>
      </c>
      <c r="B89" t="s">
        <v>5374</v>
      </c>
      <c r="C89" t="s">
        <v>43</v>
      </c>
      <c r="D89" t="s">
        <v>5375</v>
      </c>
      <c r="E89" t="s">
        <v>15</v>
      </c>
      <c r="J89" s="1">
        <v>46078</v>
      </c>
      <c r="K89">
        <v>6</v>
      </c>
      <c r="L89" t="s">
        <v>5376</v>
      </c>
      <c r="M89">
        <v>13</v>
      </c>
      <c r="N89" t="str">
        <f>VLOOKUP(M89,[1]LOJA!$A:$B,2,0)</f>
        <v>CEILÂNDIA</v>
      </c>
      <c r="O89">
        <v>67</v>
      </c>
      <c r="P89" t="str">
        <f>VLOOKUP(O89,[1]OPERADORES!$A:$B,2,0)</f>
        <v>ERIKA</v>
      </c>
      <c r="Q89">
        <v>4</v>
      </c>
      <c r="S89" t="s">
        <v>5377</v>
      </c>
      <c r="T89" s="1">
        <v>46078</v>
      </c>
      <c r="U89">
        <v>-3.36</v>
      </c>
      <c r="V89">
        <v>-3.36</v>
      </c>
    </row>
    <row r="90" spans="1:22" x14ac:dyDescent="0.3">
      <c r="A90" t="s">
        <v>292</v>
      </c>
      <c r="B90" t="s">
        <v>32</v>
      </c>
      <c r="C90" t="s">
        <v>293</v>
      </c>
      <c r="D90" t="s">
        <v>5378</v>
      </c>
      <c r="E90" t="s">
        <v>15</v>
      </c>
      <c r="J90" s="1">
        <v>46027</v>
      </c>
      <c r="K90">
        <v>57</v>
      </c>
      <c r="L90" t="s">
        <v>294</v>
      </c>
      <c r="M90">
        <v>13</v>
      </c>
      <c r="N90" t="str">
        <f>VLOOKUP(M90,[1]LOJA!$A:$B,2,0)</f>
        <v>CEILÂNDIA</v>
      </c>
      <c r="O90">
        <v>86</v>
      </c>
      <c r="P90" t="str">
        <f>VLOOKUP(O90,[1]OPERADORES!$A:$B,2,0)</f>
        <v>AMANDA</v>
      </c>
      <c r="Q90">
        <v>4</v>
      </c>
      <c r="S90" t="s">
        <v>295</v>
      </c>
      <c r="T90" s="1">
        <v>46027</v>
      </c>
      <c r="U90">
        <v>-2.29</v>
      </c>
      <c r="V90">
        <v>-2.29</v>
      </c>
    </row>
    <row r="91" spans="1:22" x14ac:dyDescent="0.3">
      <c r="A91" t="s">
        <v>296</v>
      </c>
      <c r="B91" t="s">
        <v>32</v>
      </c>
      <c r="C91" t="s">
        <v>297</v>
      </c>
      <c r="D91" t="s">
        <v>5379</v>
      </c>
      <c r="E91" t="s">
        <v>15</v>
      </c>
      <c r="J91" s="1">
        <v>46083</v>
      </c>
      <c r="K91">
        <v>1</v>
      </c>
      <c r="L91" t="s">
        <v>5380</v>
      </c>
      <c r="M91">
        <v>22</v>
      </c>
      <c r="N91" t="str">
        <f>VLOOKUP(M91,[1]LOJA!$A:$B,2,0)</f>
        <v>GUARÁ</v>
      </c>
      <c r="O91">
        <v>238</v>
      </c>
      <c r="P91" t="str">
        <f>VLOOKUP(O91,[1]OPERADORES!$A:$B,2,0)</f>
        <v>BIANCA</v>
      </c>
      <c r="Q91">
        <v>4</v>
      </c>
      <c r="S91" t="s">
        <v>5381</v>
      </c>
      <c r="T91" s="1">
        <v>46083</v>
      </c>
      <c r="U91" s="2">
        <v>-1129.47</v>
      </c>
      <c r="V91" s="2">
        <v>-1129.47</v>
      </c>
    </row>
    <row r="92" spans="1:22" x14ac:dyDescent="0.3">
      <c r="A92" t="s">
        <v>298</v>
      </c>
      <c r="B92" t="s">
        <v>299</v>
      </c>
      <c r="C92" t="s">
        <v>13</v>
      </c>
      <c r="D92" t="s">
        <v>300</v>
      </c>
      <c r="E92" t="s">
        <v>15</v>
      </c>
      <c r="J92" s="1">
        <v>45743</v>
      </c>
      <c r="K92">
        <v>341</v>
      </c>
      <c r="L92" t="s">
        <v>301</v>
      </c>
      <c r="M92">
        <v>4</v>
      </c>
      <c r="N92" t="str">
        <f>VLOOKUP(M92,[1]LOJA!$A:$B,2,0)</f>
        <v>ADE</v>
      </c>
      <c r="O92">
        <v>226</v>
      </c>
      <c r="P92" t="str">
        <f>VLOOKUP(O92,[1]OPERADORES!$A:$B,2,0)</f>
        <v>MARIA FÉLIX</v>
      </c>
      <c r="Q92">
        <v>4</v>
      </c>
      <c r="S92" t="s">
        <v>302</v>
      </c>
      <c r="T92" s="1">
        <v>45743</v>
      </c>
      <c r="U92">
        <v>-0.2</v>
      </c>
      <c r="V92">
        <v>-0.2</v>
      </c>
    </row>
    <row r="93" spans="1:22" x14ac:dyDescent="0.3">
      <c r="A93" t="s">
        <v>298</v>
      </c>
      <c r="B93" t="s">
        <v>299</v>
      </c>
      <c r="C93" t="s">
        <v>13</v>
      </c>
      <c r="D93" t="s">
        <v>300</v>
      </c>
      <c r="E93" t="s">
        <v>15</v>
      </c>
      <c r="J93" s="1">
        <v>45848</v>
      </c>
      <c r="K93">
        <v>236</v>
      </c>
      <c r="L93" t="s">
        <v>303</v>
      </c>
      <c r="M93">
        <v>4</v>
      </c>
      <c r="N93" t="str">
        <f>VLOOKUP(M93,[1]LOJA!$A:$B,2,0)</f>
        <v>ADE</v>
      </c>
      <c r="O93">
        <v>132</v>
      </c>
      <c r="P93" t="str">
        <f>VLOOKUP(O93,[1]OPERADORES!$A:$B,2,0)</f>
        <v>PAMELA GONÇALVES ROSA</v>
      </c>
      <c r="Q93">
        <v>4</v>
      </c>
      <c r="S93" t="s">
        <v>302</v>
      </c>
      <c r="T93" s="1">
        <v>45848</v>
      </c>
      <c r="U93">
        <v>-0.6</v>
      </c>
      <c r="V93">
        <v>-0.6</v>
      </c>
    </row>
    <row r="94" spans="1:22" x14ac:dyDescent="0.3">
      <c r="A94" t="s">
        <v>304</v>
      </c>
      <c r="B94" t="s">
        <v>305</v>
      </c>
      <c r="C94" t="s">
        <v>13</v>
      </c>
      <c r="D94" t="s">
        <v>306</v>
      </c>
      <c r="E94" t="s">
        <v>15</v>
      </c>
      <c r="J94" s="1">
        <v>44356</v>
      </c>
      <c r="K94">
        <v>1728</v>
      </c>
      <c r="L94" t="s">
        <v>307</v>
      </c>
      <c r="M94">
        <v>8</v>
      </c>
      <c r="N94" t="str">
        <f>VLOOKUP(M94,[1]LOJA!$A:$B,2,0)</f>
        <v>LUZIÂNIA</v>
      </c>
      <c r="O94">
        <v>120</v>
      </c>
      <c r="P94" t="str">
        <f>VLOOKUP(O94,[1]OPERADORES!$A:$B,2,0)</f>
        <v>RAFAELLA DOS REIS DANTAS</v>
      </c>
      <c r="Q94">
        <v>4</v>
      </c>
      <c r="S94" t="s">
        <v>308</v>
      </c>
      <c r="T94" s="1">
        <v>44356</v>
      </c>
      <c r="U94">
        <v>-90.42</v>
      </c>
      <c r="V94">
        <v>-90.42</v>
      </c>
    </row>
    <row r="95" spans="1:22" x14ac:dyDescent="0.3">
      <c r="A95" t="s">
        <v>304</v>
      </c>
      <c r="B95" t="s">
        <v>305</v>
      </c>
      <c r="C95" t="s">
        <v>13</v>
      </c>
      <c r="D95" t="s">
        <v>306</v>
      </c>
      <c r="E95" t="s">
        <v>15</v>
      </c>
      <c r="J95" s="1">
        <v>44370</v>
      </c>
      <c r="K95">
        <v>1714</v>
      </c>
      <c r="L95" t="s">
        <v>309</v>
      </c>
      <c r="M95">
        <v>8</v>
      </c>
      <c r="N95" t="str">
        <f>VLOOKUP(M95,[1]LOJA!$A:$B,2,0)</f>
        <v>LUZIÂNIA</v>
      </c>
      <c r="O95">
        <v>121</v>
      </c>
      <c r="P95" t="str">
        <f>VLOOKUP(O95,[1]OPERADORES!$A:$B,2,0)</f>
        <v>ROMULO COSTA DE ARAUJO JUNIOR</v>
      </c>
      <c r="Q95">
        <v>7</v>
      </c>
      <c r="S95" t="s">
        <v>87</v>
      </c>
      <c r="T95" s="1">
        <v>44369</v>
      </c>
      <c r="U95">
        <v>952</v>
      </c>
      <c r="V95">
        <v>952</v>
      </c>
    </row>
    <row r="96" spans="1:22" x14ac:dyDescent="0.3">
      <c r="A96" t="s">
        <v>304</v>
      </c>
      <c r="B96" t="s">
        <v>305</v>
      </c>
      <c r="C96" t="s">
        <v>13</v>
      </c>
      <c r="D96" t="s">
        <v>306</v>
      </c>
      <c r="E96" t="s">
        <v>15</v>
      </c>
      <c r="J96" s="1">
        <v>44410</v>
      </c>
      <c r="K96">
        <v>1674</v>
      </c>
      <c r="L96" t="s">
        <v>310</v>
      </c>
      <c r="M96">
        <v>8</v>
      </c>
      <c r="N96" t="str">
        <f>VLOOKUP(M96,[1]LOJA!$A:$B,2,0)</f>
        <v>LUZIÂNIA</v>
      </c>
      <c r="O96">
        <v>84</v>
      </c>
      <c r="P96" t="str">
        <f>VLOOKUP(O96,[1]OPERADORES!$A:$B,2,0)</f>
        <v>JEICY AZEVEDO</v>
      </c>
      <c r="Q96">
        <v>4</v>
      </c>
      <c r="S96" t="s">
        <v>311</v>
      </c>
      <c r="T96" s="1">
        <v>44356</v>
      </c>
      <c r="U96" s="2">
        <v>3000</v>
      </c>
      <c r="V96" s="2">
        <v>3000</v>
      </c>
    </row>
    <row r="97" spans="1:22" x14ac:dyDescent="0.3">
      <c r="A97" t="s">
        <v>304</v>
      </c>
      <c r="B97" t="s">
        <v>305</v>
      </c>
      <c r="C97" t="s">
        <v>13</v>
      </c>
      <c r="D97" t="s">
        <v>306</v>
      </c>
      <c r="E97" t="s">
        <v>15</v>
      </c>
      <c r="J97" s="1">
        <v>44438</v>
      </c>
      <c r="K97">
        <v>1646</v>
      </c>
      <c r="L97" t="s">
        <v>312</v>
      </c>
      <c r="M97">
        <v>8</v>
      </c>
      <c r="N97" t="str">
        <f>VLOOKUP(M97,[1]LOJA!$A:$B,2,0)</f>
        <v>LUZIÂNIA</v>
      </c>
      <c r="O97">
        <v>84</v>
      </c>
      <c r="P97" t="str">
        <f>VLOOKUP(O97,[1]OPERADORES!$A:$B,2,0)</f>
        <v>JEICY AZEVEDO</v>
      </c>
      <c r="Q97">
        <v>6</v>
      </c>
      <c r="S97" t="s">
        <v>313</v>
      </c>
      <c r="T97" s="1">
        <v>44356</v>
      </c>
      <c r="U97" s="2">
        <v>3000</v>
      </c>
      <c r="V97" s="2">
        <v>3000</v>
      </c>
    </row>
    <row r="98" spans="1:22" x14ac:dyDescent="0.3">
      <c r="A98" t="s">
        <v>314</v>
      </c>
      <c r="B98" t="s">
        <v>315</v>
      </c>
      <c r="C98" t="s">
        <v>226</v>
      </c>
      <c r="D98" t="s">
        <v>5382</v>
      </c>
      <c r="E98" t="s">
        <v>15</v>
      </c>
      <c r="J98" s="1">
        <v>46078</v>
      </c>
      <c r="K98">
        <v>6</v>
      </c>
      <c r="L98" t="s">
        <v>5383</v>
      </c>
      <c r="M98">
        <v>4</v>
      </c>
      <c r="N98" t="str">
        <f>VLOOKUP(M98,[1]LOJA!$A:$B,2,0)</f>
        <v>ADE</v>
      </c>
      <c r="O98">
        <v>247</v>
      </c>
      <c r="P98" t="str">
        <f>VLOOKUP(O98,[1]OPERADORES!$A:$B,2,0)</f>
        <v>TATIELE BRITO</v>
      </c>
      <c r="Q98">
        <v>4</v>
      </c>
      <c r="S98" t="s">
        <v>5384</v>
      </c>
      <c r="T98" s="1">
        <v>46078</v>
      </c>
      <c r="U98">
        <v>-3.9</v>
      </c>
      <c r="V98">
        <v>-3.9</v>
      </c>
    </row>
    <row r="99" spans="1:22" x14ac:dyDescent="0.3">
      <c r="A99" t="s">
        <v>317</v>
      </c>
      <c r="B99" t="s">
        <v>318</v>
      </c>
      <c r="C99" t="s">
        <v>319</v>
      </c>
      <c r="D99" t="s">
        <v>5385</v>
      </c>
      <c r="E99" t="s">
        <v>15</v>
      </c>
      <c r="J99" s="1">
        <v>44729</v>
      </c>
      <c r="K99">
        <v>1355</v>
      </c>
      <c r="L99" t="s">
        <v>320</v>
      </c>
      <c r="M99">
        <v>4</v>
      </c>
      <c r="N99" t="str">
        <f>VLOOKUP(M99,[1]LOJA!$A:$B,2,0)</f>
        <v>ADE</v>
      </c>
      <c r="O99">
        <v>109</v>
      </c>
      <c r="P99" t="str">
        <f>VLOOKUP(O99,[1]OPERADORES!$A:$B,2,0)</f>
        <v>LIVIA DE SOUZA</v>
      </c>
      <c r="Q99">
        <v>7</v>
      </c>
      <c r="S99" t="s">
        <v>321</v>
      </c>
      <c r="T99" s="1">
        <v>44699</v>
      </c>
      <c r="U99" s="2">
        <v>7500</v>
      </c>
      <c r="V99" s="2">
        <v>7500</v>
      </c>
    </row>
    <row r="100" spans="1:22" x14ac:dyDescent="0.3">
      <c r="A100" t="s">
        <v>317</v>
      </c>
      <c r="B100" t="s">
        <v>318</v>
      </c>
      <c r="C100" t="s">
        <v>319</v>
      </c>
      <c r="D100" t="s">
        <v>5385</v>
      </c>
      <c r="E100" t="s">
        <v>15</v>
      </c>
      <c r="J100" s="1">
        <v>46075</v>
      </c>
      <c r="K100">
        <v>9</v>
      </c>
      <c r="L100" t="s">
        <v>5386</v>
      </c>
      <c r="M100">
        <v>4</v>
      </c>
      <c r="N100" t="str">
        <f>VLOOKUP(M100,[1]LOJA!$A:$B,2,0)</f>
        <v>ADE</v>
      </c>
      <c r="O100">
        <v>132</v>
      </c>
      <c r="P100" t="str">
        <f>VLOOKUP(O100,[1]OPERADORES!$A:$B,2,0)</f>
        <v>PAMELA GONÇALVES ROSA</v>
      </c>
      <c r="Q100">
        <v>20</v>
      </c>
      <c r="R100">
        <v>1000019114</v>
      </c>
      <c r="S100" t="s">
        <v>976</v>
      </c>
      <c r="T100" s="1">
        <v>45985</v>
      </c>
      <c r="U100">
        <v>243.85</v>
      </c>
      <c r="V100">
        <v>243.85</v>
      </c>
    </row>
    <row r="101" spans="1:22" x14ac:dyDescent="0.3">
      <c r="A101" t="s">
        <v>317</v>
      </c>
      <c r="B101" t="s">
        <v>318</v>
      </c>
      <c r="C101" t="s">
        <v>319</v>
      </c>
      <c r="D101" t="s">
        <v>5385</v>
      </c>
      <c r="E101" t="s">
        <v>15</v>
      </c>
      <c r="J101" s="1">
        <v>46075</v>
      </c>
      <c r="K101">
        <v>9</v>
      </c>
      <c r="L101" t="s">
        <v>5387</v>
      </c>
      <c r="M101">
        <v>4</v>
      </c>
      <c r="N101" t="str">
        <f>VLOOKUP(M101,[1]LOJA!$A:$B,2,0)</f>
        <v>ADE</v>
      </c>
      <c r="O101">
        <v>132</v>
      </c>
      <c r="P101" t="str">
        <f>VLOOKUP(O101,[1]OPERADORES!$A:$B,2,0)</f>
        <v>PAMELA GONÇALVES ROSA</v>
      </c>
      <c r="Q101">
        <v>20</v>
      </c>
      <c r="R101">
        <v>1000020203</v>
      </c>
      <c r="S101" t="s">
        <v>51</v>
      </c>
      <c r="T101" s="1">
        <v>46045</v>
      </c>
      <c r="U101">
        <v>401.2</v>
      </c>
      <c r="V101">
        <v>401.2</v>
      </c>
    </row>
    <row r="102" spans="1:22" x14ac:dyDescent="0.3">
      <c r="A102" t="s">
        <v>317</v>
      </c>
      <c r="B102" t="s">
        <v>318</v>
      </c>
      <c r="C102" t="s">
        <v>319</v>
      </c>
      <c r="D102" t="s">
        <v>5385</v>
      </c>
      <c r="E102" t="s">
        <v>15</v>
      </c>
      <c r="J102" s="1">
        <v>46078</v>
      </c>
      <c r="K102">
        <v>6</v>
      </c>
      <c r="L102" t="s">
        <v>5388</v>
      </c>
      <c r="M102">
        <v>4</v>
      </c>
      <c r="N102" t="str">
        <f>VLOOKUP(M102,[1]LOJA!$A:$B,2,0)</f>
        <v>ADE</v>
      </c>
      <c r="O102">
        <v>132</v>
      </c>
      <c r="P102" t="str">
        <f>VLOOKUP(O102,[1]OPERADORES!$A:$B,2,0)</f>
        <v>PAMELA GONÇALVES ROSA</v>
      </c>
      <c r="Q102">
        <v>20</v>
      </c>
      <c r="R102">
        <v>1000020232</v>
      </c>
      <c r="S102" t="s">
        <v>87</v>
      </c>
      <c r="T102" s="1">
        <v>46048</v>
      </c>
      <c r="U102">
        <v>198</v>
      </c>
      <c r="V102">
        <v>198</v>
      </c>
    </row>
    <row r="103" spans="1:22" x14ac:dyDescent="0.3">
      <c r="A103" t="s">
        <v>317</v>
      </c>
      <c r="B103" t="s">
        <v>318</v>
      </c>
      <c r="C103" t="s">
        <v>319</v>
      </c>
      <c r="D103" t="s">
        <v>5385</v>
      </c>
      <c r="E103" t="s">
        <v>15</v>
      </c>
      <c r="J103" s="1">
        <v>46084</v>
      </c>
      <c r="K103">
        <v>0</v>
      </c>
      <c r="L103" t="s">
        <v>5389</v>
      </c>
      <c r="M103">
        <v>4</v>
      </c>
      <c r="N103" t="str">
        <f>VLOOKUP(M103,[1]LOJA!$A:$B,2,0)</f>
        <v>ADE</v>
      </c>
      <c r="O103">
        <v>132</v>
      </c>
      <c r="P103" t="str">
        <f>VLOOKUP(O103,[1]OPERADORES!$A:$B,2,0)</f>
        <v>PAMELA GONÇALVES ROSA</v>
      </c>
      <c r="Q103">
        <v>20</v>
      </c>
      <c r="R103">
        <v>1000019744</v>
      </c>
      <c r="S103" t="s">
        <v>46</v>
      </c>
      <c r="T103" s="1">
        <v>46024</v>
      </c>
      <c r="U103">
        <v>230</v>
      </c>
      <c r="V103">
        <v>230</v>
      </c>
    </row>
    <row r="104" spans="1:22" x14ac:dyDescent="0.3">
      <c r="A104" t="s">
        <v>322</v>
      </c>
      <c r="B104" t="s">
        <v>323</v>
      </c>
      <c r="C104" t="s">
        <v>324</v>
      </c>
      <c r="D104" t="s">
        <v>325</v>
      </c>
      <c r="E104" t="s">
        <v>15</v>
      </c>
      <c r="J104" s="1">
        <v>46058</v>
      </c>
      <c r="K104">
        <v>26</v>
      </c>
      <c r="L104" t="s">
        <v>326</v>
      </c>
      <c r="M104">
        <v>14</v>
      </c>
      <c r="N104" t="str">
        <f>VLOOKUP(M104,[1]LOJA!$A:$B,2,0)</f>
        <v>S IA</v>
      </c>
      <c r="O104">
        <v>212</v>
      </c>
      <c r="P104" t="str">
        <f>VLOOKUP(O104,[1]OPERADORES!$A:$B,2,0)</f>
        <v>YASMIN</v>
      </c>
      <c r="Q104">
        <v>27</v>
      </c>
      <c r="R104">
        <v>2000008934</v>
      </c>
      <c r="S104" t="s">
        <v>87</v>
      </c>
      <c r="T104" s="1">
        <v>46028</v>
      </c>
      <c r="U104">
        <v>129</v>
      </c>
      <c r="V104">
        <v>129</v>
      </c>
    </row>
    <row r="105" spans="1:22" x14ac:dyDescent="0.3">
      <c r="A105" t="s">
        <v>327</v>
      </c>
      <c r="B105" t="s">
        <v>328</v>
      </c>
      <c r="C105" t="s">
        <v>13</v>
      </c>
      <c r="D105" t="s">
        <v>329</v>
      </c>
      <c r="E105" t="s">
        <v>15</v>
      </c>
      <c r="J105" s="1">
        <v>44586</v>
      </c>
      <c r="K105">
        <v>1498</v>
      </c>
      <c r="L105" t="s">
        <v>330</v>
      </c>
      <c r="M105">
        <v>8</v>
      </c>
      <c r="N105" t="str">
        <f>VLOOKUP(M105,[1]LOJA!$A:$B,2,0)</f>
        <v>LUZIÂNIA</v>
      </c>
      <c r="O105">
        <v>170</v>
      </c>
      <c r="P105" t="str">
        <f>VLOOKUP(O105,[1]OPERADORES!$A:$B,2,0)</f>
        <v>MARIA LUISA</v>
      </c>
      <c r="Q105">
        <v>4</v>
      </c>
      <c r="S105" t="s">
        <v>331</v>
      </c>
      <c r="T105" s="1">
        <v>44586</v>
      </c>
      <c r="U105">
        <v>-0.73</v>
      </c>
      <c r="V105">
        <v>-0.73</v>
      </c>
    </row>
    <row r="106" spans="1:22" x14ac:dyDescent="0.3">
      <c r="A106" t="s">
        <v>327</v>
      </c>
      <c r="B106" t="s">
        <v>328</v>
      </c>
      <c r="C106" t="s">
        <v>13</v>
      </c>
      <c r="D106" t="s">
        <v>329</v>
      </c>
      <c r="E106" t="s">
        <v>15</v>
      </c>
      <c r="J106" s="1">
        <v>44588</v>
      </c>
      <c r="K106">
        <v>1496</v>
      </c>
      <c r="L106" t="s">
        <v>332</v>
      </c>
      <c r="M106">
        <v>8</v>
      </c>
      <c r="N106" t="str">
        <f>VLOOKUP(M106,[1]LOJA!$A:$B,2,0)</f>
        <v>LUZIÂNIA</v>
      </c>
      <c r="O106">
        <v>84</v>
      </c>
      <c r="P106" t="str">
        <f>VLOOKUP(O106,[1]OPERADORES!$A:$B,2,0)</f>
        <v>JEICY AZEVEDO</v>
      </c>
      <c r="Q106">
        <v>4</v>
      </c>
      <c r="S106" t="s">
        <v>333</v>
      </c>
      <c r="T106" s="1">
        <v>44523</v>
      </c>
      <c r="U106">
        <v>771.35</v>
      </c>
      <c r="V106">
        <v>771.35</v>
      </c>
    </row>
    <row r="107" spans="1:22" x14ac:dyDescent="0.3">
      <c r="A107" t="s">
        <v>327</v>
      </c>
      <c r="B107" t="s">
        <v>328</v>
      </c>
      <c r="C107" t="s">
        <v>13</v>
      </c>
      <c r="D107" t="s">
        <v>329</v>
      </c>
      <c r="E107" t="s">
        <v>15</v>
      </c>
      <c r="J107" s="1">
        <v>44594</v>
      </c>
      <c r="K107">
        <v>1490</v>
      </c>
      <c r="L107" t="s">
        <v>334</v>
      </c>
      <c r="M107">
        <v>8</v>
      </c>
      <c r="N107" t="str">
        <f>VLOOKUP(M107,[1]LOJA!$A:$B,2,0)</f>
        <v>LUZIÂNIA</v>
      </c>
      <c r="O107">
        <v>84</v>
      </c>
      <c r="P107" t="str">
        <f>VLOOKUP(O107,[1]OPERADORES!$A:$B,2,0)</f>
        <v>JEICY AZEVEDO</v>
      </c>
      <c r="Q107">
        <v>4</v>
      </c>
      <c r="S107" t="s">
        <v>335</v>
      </c>
      <c r="T107" s="1">
        <v>44495</v>
      </c>
      <c r="U107">
        <v>564</v>
      </c>
      <c r="V107">
        <v>564</v>
      </c>
    </row>
    <row r="108" spans="1:22" x14ac:dyDescent="0.3">
      <c r="A108" t="s">
        <v>327</v>
      </c>
      <c r="B108" t="s">
        <v>328</v>
      </c>
      <c r="C108" t="s">
        <v>13</v>
      </c>
      <c r="D108" t="s">
        <v>329</v>
      </c>
      <c r="E108" t="s">
        <v>15</v>
      </c>
      <c r="J108" s="1">
        <v>44607</v>
      </c>
      <c r="K108">
        <v>1477</v>
      </c>
      <c r="L108" t="s">
        <v>336</v>
      </c>
      <c r="M108">
        <v>8</v>
      </c>
      <c r="N108" t="str">
        <f>VLOOKUP(M108,[1]LOJA!$A:$B,2,0)</f>
        <v>LUZIÂNIA</v>
      </c>
      <c r="O108">
        <v>20</v>
      </c>
      <c r="P108" t="str">
        <f>VLOOKUP(O108,[1]OPERADORES!$A:$B,2,0)</f>
        <v>MAYARA</v>
      </c>
      <c r="Q108">
        <v>12</v>
      </c>
      <c r="S108" t="s">
        <v>337</v>
      </c>
      <c r="T108" s="1">
        <v>44594</v>
      </c>
      <c r="U108" s="2">
        <v>1807.63</v>
      </c>
      <c r="V108" s="2">
        <v>1807.63</v>
      </c>
    </row>
    <row r="109" spans="1:22" x14ac:dyDescent="0.3">
      <c r="A109" t="s">
        <v>327</v>
      </c>
      <c r="B109" t="s">
        <v>328</v>
      </c>
      <c r="C109" t="s">
        <v>13</v>
      </c>
      <c r="D109" t="s">
        <v>329</v>
      </c>
      <c r="E109" t="s">
        <v>15</v>
      </c>
      <c r="J109" s="1">
        <v>44619</v>
      </c>
      <c r="K109">
        <v>1465</v>
      </c>
      <c r="L109" t="s">
        <v>338</v>
      </c>
      <c r="M109">
        <v>8</v>
      </c>
      <c r="N109" t="str">
        <f>VLOOKUP(M109,[1]LOJA!$A:$B,2,0)</f>
        <v>LUZIÂNIA</v>
      </c>
      <c r="O109">
        <v>84</v>
      </c>
      <c r="P109" t="str">
        <f>VLOOKUP(O109,[1]OPERADORES!$A:$B,2,0)</f>
        <v>JEICY AZEVEDO</v>
      </c>
      <c r="Q109">
        <v>4</v>
      </c>
      <c r="S109" t="s">
        <v>339</v>
      </c>
      <c r="T109" s="1">
        <v>44523</v>
      </c>
      <c r="U109">
        <v>771.35</v>
      </c>
      <c r="V109">
        <v>771.35</v>
      </c>
    </row>
    <row r="110" spans="1:22" x14ac:dyDescent="0.3">
      <c r="A110" t="s">
        <v>327</v>
      </c>
      <c r="B110" t="s">
        <v>328</v>
      </c>
      <c r="C110" t="s">
        <v>13</v>
      </c>
      <c r="D110" t="s">
        <v>329</v>
      </c>
      <c r="E110" t="s">
        <v>15</v>
      </c>
      <c r="J110" s="1">
        <v>44619</v>
      </c>
      <c r="K110">
        <v>1465</v>
      </c>
      <c r="L110" t="s">
        <v>340</v>
      </c>
      <c r="M110">
        <v>8</v>
      </c>
      <c r="N110" t="str">
        <f>VLOOKUP(M110,[1]LOJA!$A:$B,2,0)</f>
        <v>LUZIÂNIA</v>
      </c>
      <c r="O110">
        <v>84</v>
      </c>
      <c r="P110" t="str">
        <f>VLOOKUP(O110,[1]OPERADORES!$A:$B,2,0)</f>
        <v>JEICY AZEVEDO</v>
      </c>
      <c r="Q110">
        <v>4</v>
      </c>
      <c r="S110" t="s">
        <v>341</v>
      </c>
      <c r="T110" s="1">
        <v>44586</v>
      </c>
      <c r="U110">
        <v>548</v>
      </c>
      <c r="V110">
        <v>548</v>
      </c>
    </row>
    <row r="111" spans="1:22" x14ac:dyDescent="0.3">
      <c r="A111" t="s">
        <v>327</v>
      </c>
      <c r="B111" t="s">
        <v>328</v>
      </c>
      <c r="C111" t="s">
        <v>13</v>
      </c>
      <c r="D111" t="s">
        <v>329</v>
      </c>
      <c r="E111" t="s">
        <v>15</v>
      </c>
      <c r="J111" s="1">
        <v>44622</v>
      </c>
      <c r="K111">
        <v>1462</v>
      </c>
      <c r="L111" t="s">
        <v>342</v>
      </c>
      <c r="M111">
        <v>8</v>
      </c>
      <c r="N111" t="str">
        <f>VLOOKUP(M111,[1]LOJA!$A:$B,2,0)</f>
        <v>LUZIÂNIA</v>
      </c>
      <c r="O111">
        <v>84</v>
      </c>
      <c r="P111" t="str">
        <f>VLOOKUP(O111,[1]OPERADORES!$A:$B,2,0)</f>
        <v>JEICY AZEVEDO</v>
      </c>
      <c r="Q111">
        <v>4</v>
      </c>
      <c r="S111" t="s">
        <v>343</v>
      </c>
      <c r="T111" s="1">
        <v>44495</v>
      </c>
      <c r="U111">
        <v>564</v>
      </c>
      <c r="V111">
        <v>564</v>
      </c>
    </row>
    <row r="112" spans="1:22" x14ac:dyDescent="0.3">
      <c r="A112" t="s">
        <v>327</v>
      </c>
      <c r="B112" t="s">
        <v>328</v>
      </c>
      <c r="C112" t="s">
        <v>13</v>
      </c>
      <c r="D112" t="s">
        <v>329</v>
      </c>
      <c r="E112" t="s">
        <v>15</v>
      </c>
      <c r="J112" s="1">
        <v>44624</v>
      </c>
      <c r="K112">
        <v>1460</v>
      </c>
      <c r="L112" t="s">
        <v>344</v>
      </c>
      <c r="M112">
        <v>8</v>
      </c>
      <c r="N112" t="str">
        <f>VLOOKUP(M112,[1]LOJA!$A:$B,2,0)</f>
        <v>LUZIÂNIA</v>
      </c>
      <c r="O112">
        <v>106</v>
      </c>
      <c r="P112" t="str">
        <f>VLOOKUP(O112,[1]OPERADORES!$A:$B,2,0)</f>
        <v>RICARDO</v>
      </c>
      <c r="Q112">
        <v>4</v>
      </c>
      <c r="S112" t="s">
        <v>345</v>
      </c>
      <c r="T112" s="1">
        <v>44624</v>
      </c>
      <c r="U112">
        <v>-0.91</v>
      </c>
      <c r="V112">
        <v>-0.91</v>
      </c>
    </row>
    <row r="113" spans="1:22" x14ac:dyDescent="0.3">
      <c r="A113" t="s">
        <v>327</v>
      </c>
      <c r="B113" t="s">
        <v>328</v>
      </c>
      <c r="C113" t="s">
        <v>13</v>
      </c>
      <c r="D113" t="s">
        <v>329</v>
      </c>
      <c r="E113" t="s">
        <v>15</v>
      </c>
      <c r="J113" s="1">
        <v>44635</v>
      </c>
      <c r="K113">
        <v>1449</v>
      </c>
      <c r="L113" t="s">
        <v>346</v>
      </c>
      <c r="M113">
        <v>8</v>
      </c>
      <c r="N113" t="str">
        <f>VLOOKUP(M113,[1]LOJA!$A:$B,2,0)</f>
        <v>LUZIÂNIA</v>
      </c>
      <c r="O113">
        <v>84</v>
      </c>
      <c r="P113" t="str">
        <f>VLOOKUP(O113,[1]OPERADORES!$A:$B,2,0)</f>
        <v>JEICY AZEVEDO</v>
      </c>
      <c r="Q113">
        <v>12</v>
      </c>
      <c r="S113" t="s">
        <v>347</v>
      </c>
      <c r="T113" s="1">
        <v>44621</v>
      </c>
      <c r="U113">
        <v>450</v>
      </c>
      <c r="V113">
        <v>450</v>
      </c>
    </row>
    <row r="114" spans="1:22" x14ac:dyDescent="0.3">
      <c r="A114" t="s">
        <v>327</v>
      </c>
      <c r="B114" t="s">
        <v>328</v>
      </c>
      <c r="C114" t="s">
        <v>13</v>
      </c>
      <c r="D114" t="s">
        <v>329</v>
      </c>
      <c r="E114" t="s">
        <v>15</v>
      </c>
      <c r="J114" s="1">
        <v>44647</v>
      </c>
      <c r="K114">
        <v>1437</v>
      </c>
      <c r="L114" t="s">
        <v>348</v>
      </c>
      <c r="M114">
        <v>8</v>
      </c>
      <c r="N114" t="str">
        <f>VLOOKUP(M114,[1]LOJA!$A:$B,2,0)</f>
        <v>LUZIÂNIA</v>
      </c>
      <c r="O114">
        <v>84</v>
      </c>
      <c r="P114" t="str">
        <f>VLOOKUP(O114,[1]OPERADORES!$A:$B,2,0)</f>
        <v>JEICY AZEVEDO</v>
      </c>
      <c r="Q114">
        <v>4</v>
      </c>
      <c r="S114" t="s">
        <v>349</v>
      </c>
      <c r="T114" s="1">
        <v>44523</v>
      </c>
      <c r="U114">
        <v>771.35</v>
      </c>
      <c r="V114">
        <v>771.35</v>
      </c>
    </row>
    <row r="115" spans="1:22" x14ac:dyDescent="0.3">
      <c r="A115" t="s">
        <v>350</v>
      </c>
      <c r="B115" t="s">
        <v>351</v>
      </c>
      <c r="C115" t="s">
        <v>13</v>
      </c>
      <c r="D115" t="s">
        <v>352</v>
      </c>
      <c r="E115" t="s">
        <v>15</v>
      </c>
      <c r="J115" s="1">
        <v>44324</v>
      </c>
      <c r="K115">
        <v>1760</v>
      </c>
      <c r="L115" t="s">
        <v>353</v>
      </c>
      <c r="M115">
        <v>13</v>
      </c>
      <c r="N115" t="str">
        <f>VLOOKUP(M115,[1]LOJA!$A:$B,2,0)</f>
        <v>CEILÂNDIA</v>
      </c>
      <c r="O115">
        <v>126</v>
      </c>
      <c r="P115" t="str">
        <f>VLOOKUP(O115,[1]OPERADORES!$A:$B,2,0)</f>
        <v>CESAR OLIVIEIRA DE ARAUJO</v>
      </c>
      <c r="Q115">
        <v>2</v>
      </c>
      <c r="S115" t="s">
        <v>87</v>
      </c>
      <c r="T115" s="1">
        <v>44323</v>
      </c>
      <c r="U115">
        <v>165</v>
      </c>
      <c r="V115">
        <v>165</v>
      </c>
    </row>
    <row r="116" spans="1:22" x14ac:dyDescent="0.3">
      <c r="A116" t="s">
        <v>350</v>
      </c>
      <c r="B116" t="s">
        <v>351</v>
      </c>
      <c r="C116" t="s">
        <v>13</v>
      </c>
      <c r="D116" t="s">
        <v>352</v>
      </c>
      <c r="E116" t="s">
        <v>15</v>
      </c>
      <c r="J116" s="1">
        <v>44600</v>
      </c>
      <c r="K116">
        <v>1484</v>
      </c>
      <c r="L116" t="s">
        <v>354</v>
      </c>
      <c r="M116">
        <v>14</v>
      </c>
      <c r="N116" t="str">
        <f>VLOOKUP(M116,[1]LOJA!$A:$B,2,0)</f>
        <v>S IA</v>
      </c>
      <c r="O116">
        <v>60</v>
      </c>
      <c r="P116" t="str">
        <f>VLOOKUP(O116,[1]OPERADORES!$A:$B,2,0)</f>
        <v>ALEXANDRA</v>
      </c>
      <c r="Q116">
        <v>7</v>
      </c>
      <c r="S116" t="s">
        <v>87</v>
      </c>
      <c r="T116" s="1">
        <v>44599</v>
      </c>
      <c r="U116">
        <v>760</v>
      </c>
      <c r="V116">
        <v>760</v>
      </c>
    </row>
    <row r="117" spans="1:22" x14ac:dyDescent="0.3">
      <c r="A117" t="s">
        <v>350</v>
      </c>
      <c r="B117" t="s">
        <v>351</v>
      </c>
      <c r="C117" t="s">
        <v>13</v>
      </c>
      <c r="D117" t="s">
        <v>352</v>
      </c>
      <c r="E117" t="s">
        <v>15</v>
      </c>
      <c r="J117" s="1">
        <v>44848</v>
      </c>
      <c r="K117">
        <v>1236</v>
      </c>
      <c r="L117" t="s">
        <v>355</v>
      </c>
      <c r="M117">
        <v>14</v>
      </c>
      <c r="N117" t="str">
        <f>VLOOKUP(M117,[1]LOJA!$A:$B,2,0)</f>
        <v>S IA</v>
      </c>
      <c r="O117">
        <v>16</v>
      </c>
      <c r="P117" t="str">
        <f>VLOOKUP(O117,[1]OPERADORES!$A:$B,2,0)</f>
        <v>AYSLAN</v>
      </c>
      <c r="Q117">
        <v>7</v>
      </c>
      <c r="S117" t="s">
        <v>87</v>
      </c>
      <c r="T117" s="1">
        <v>44847</v>
      </c>
      <c r="U117">
        <v>154</v>
      </c>
      <c r="V117">
        <v>154</v>
      </c>
    </row>
    <row r="118" spans="1:22" x14ac:dyDescent="0.3">
      <c r="A118" t="s">
        <v>350</v>
      </c>
      <c r="B118" t="s">
        <v>351</v>
      </c>
      <c r="C118" t="s">
        <v>13</v>
      </c>
      <c r="D118" t="s">
        <v>352</v>
      </c>
      <c r="E118" t="s">
        <v>15</v>
      </c>
      <c r="J118" s="1">
        <v>45288</v>
      </c>
      <c r="K118">
        <v>796</v>
      </c>
      <c r="L118" t="s">
        <v>356</v>
      </c>
      <c r="M118">
        <v>1</v>
      </c>
      <c r="N118" t="str">
        <f>VLOOKUP(M118,[1]LOJA!$A:$B,2,0)</f>
        <v>GUARÁ</v>
      </c>
      <c r="O118">
        <v>206</v>
      </c>
      <c r="P118" t="str">
        <f>VLOOKUP(O118,[1]OPERADORES!$A:$B,2,0)</f>
        <v>LAURA LISBOA</v>
      </c>
      <c r="Q118">
        <v>4</v>
      </c>
      <c r="S118" t="s">
        <v>357</v>
      </c>
      <c r="T118" s="1">
        <v>45288</v>
      </c>
      <c r="U118">
        <v>-3.07</v>
      </c>
      <c r="V118">
        <v>-3.07</v>
      </c>
    </row>
    <row r="119" spans="1:22" x14ac:dyDescent="0.3">
      <c r="A119" t="s">
        <v>350</v>
      </c>
      <c r="B119" t="s">
        <v>351</v>
      </c>
      <c r="C119" t="s">
        <v>13</v>
      </c>
      <c r="D119" t="s">
        <v>352</v>
      </c>
      <c r="E119" t="s">
        <v>15</v>
      </c>
      <c r="J119" s="1">
        <v>45626</v>
      </c>
      <c r="K119">
        <v>458</v>
      </c>
      <c r="L119" t="s">
        <v>358</v>
      </c>
      <c r="M119">
        <v>14</v>
      </c>
      <c r="N119" t="str">
        <f>VLOOKUP(M119,[1]LOJA!$A:$B,2,0)</f>
        <v>S IA</v>
      </c>
      <c r="O119">
        <v>227</v>
      </c>
      <c r="P119" t="str">
        <f>VLOOKUP(O119,[1]OPERADORES!$A:$B,2,0)</f>
        <v>WHALISSON</v>
      </c>
      <c r="Q119">
        <v>7</v>
      </c>
      <c r="S119" t="s">
        <v>87</v>
      </c>
      <c r="T119" s="1">
        <v>45625</v>
      </c>
      <c r="U119">
        <v>239.6</v>
      </c>
      <c r="V119">
        <v>239.6</v>
      </c>
    </row>
    <row r="120" spans="1:22" x14ac:dyDescent="0.3">
      <c r="A120" t="s">
        <v>350</v>
      </c>
      <c r="B120" t="s">
        <v>351</v>
      </c>
      <c r="C120" t="s">
        <v>13</v>
      </c>
      <c r="D120" t="s">
        <v>352</v>
      </c>
      <c r="E120" t="s">
        <v>15</v>
      </c>
      <c r="J120" s="1">
        <v>45626</v>
      </c>
      <c r="K120">
        <v>458</v>
      </c>
      <c r="L120" t="s">
        <v>359</v>
      </c>
      <c r="M120">
        <v>14</v>
      </c>
      <c r="N120" t="str">
        <f>VLOOKUP(M120,[1]LOJA!$A:$B,2,0)</f>
        <v>S IA</v>
      </c>
      <c r="O120">
        <v>227</v>
      </c>
      <c r="P120" t="str">
        <f>VLOOKUP(O120,[1]OPERADORES!$A:$B,2,0)</f>
        <v>WHALISSON</v>
      </c>
      <c r="Q120">
        <v>7</v>
      </c>
      <c r="S120" t="s">
        <v>87</v>
      </c>
      <c r="T120" s="1">
        <v>45625</v>
      </c>
      <c r="U120">
        <v>99.9</v>
      </c>
      <c r="V120">
        <v>99.9</v>
      </c>
    </row>
    <row r="121" spans="1:22" x14ac:dyDescent="0.3">
      <c r="A121" t="s">
        <v>350</v>
      </c>
      <c r="B121" t="s">
        <v>351</v>
      </c>
      <c r="C121" t="s">
        <v>13</v>
      </c>
      <c r="D121" t="s">
        <v>352</v>
      </c>
      <c r="E121" t="s">
        <v>15</v>
      </c>
      <c r="J121" s="1">
        <v>45733</v>
      </c>
      <c r="K121">
        <v>351</v>
      </c>
      <c r="L121" t="s">
        <v>360</v>
      </c>
      <c r="M121">
        <v>22</v>
      </c>
      <c r="N121" t="str">
        <f>VLOOKUP(M121,[1]LOJA!$A:$B,2,0)</f>
        <v>GUARÁ</v>
      </c>
      <c r="O121">
        <v>93</v>
      </c>
      <c r="P121" t="str">
        <f>VLOOKUP(O121,[1]OPERADORES!$A:$B,2,0)</f>
        <v>PATRICIA</v>
      </c>
      <c r="Q121">
        <v>10</v>
      </c>
      <c r="S121" t="s">
        <v>87</v>
      </c>
      <c r="T121" s="1">
        <v>45733</v>
      </c>
      <c r="U121">
        <v>80</v>
      </c>
      <c r="V121">
        <v>80</v>
      </c>
    </row>
    <row r="122" spans="1:22" x14ac:dyDescent="0.3">
      <c r="A122" t="s">
        <v>350</v>
      </c>
      <c r="B122" t="s">
        <v>351</v>
      </c>
      <c r="C122" t="s">
        <v>13</v>
      </c>
      <c r="D122" t="s">
        <v>352</v>
      </c>
      <c r="E122" t="s">
        <v>15</v>
      </c>
      <c r="J122" s="1">
        <v>45916</v>
      </c>
      <c r="K122">
        <v>168</v>
      </c>
      <c r="L122" t="s">
        <v>361</v>
      </c>
      <c r="M122">
        <v>14</v>
      </c>
      <c r="N122" t="str">
        <f>VLOOKUP(M122,[1]LOJA!$A:$B,2,0)</f>
        <v>S IA</v>
      </c>
      <c r="O122">
        <v>84</v>
      </c>
      <c r="P122" t="str">
        <f>VLOOKUP(O122,[1]OPERADORES!$A:$B,2,0)</f>
        <v>JEICY AZEVEDO</v>
      </c>
      <c r="Q122">
        <v>99999</v>
      </c>
      <c r="S122" t="s">
        <v>362</v>
      </c>
      <c r="T122" s="1">
        <v>45916</v>
      </c>
      <c r="U122">
        <v>-50</v>
      </c>
      <c r="V122">
        <v>-50</v>
      </c>
    </row>
    <row r="123" spans="1:22" x14ac:dyDescent="0.3">
      <c r="A123" t="s">
        <v>350</v>
      </c>
      <c r="B123" t="s">
        <v>351</v>
      </c>
      <c r="C123" t="s">
        <v>13</v>
      </c>
      <c r="D123" t="s">
        <v>352</v>
      </c>
      <c r="E123" t="s">
        <v>15</v>
      </c>
      <c r="J123" s="1">
        <v>45936</v>
      </c>
      <c r="K123">
        <v>148</v>
      </c>
      <c r="L123" t="s">
        <v>363</v>
      </c>
      <c r="M123">
        <v>14</v>
      </c>
      <c r="N123" t="str">
        <f>VLOOKUP(M123,[1]LOJA!$A:$B,2,0)</f>
        <v>S IA</v>
      </c>
      <c r="O123">
        <v>212</v>
      </c>
      <c r="P123" t="str">
        <f>VLOOKUP(O123,[1]OPERADORES!$A:$B,2,0)</f>
        <v>YASMIN</v>
      </c>
      <c r="Q123">
        <v>4</v>
      </c>
      <c r="S123" t="s">
        <v>364</v>
      </c>
      <c r="T123" s="1">
        <v>45936</v>
      </c>
      <c r="U123">
        <v>-64</v>
      </c>
      <c r="V123">
        <v>-64</v>
      </c>
    </row>
    <row r="124" spans="1:22" x14ac:dyDescent="0.3">
      <c r="A124" t="s">
        <v>350</v>
      </c>
      <c r="B124" t="s">
        <v>351</v>
      </c>
      <c r="C124" t="s">
        <v>13</v>
      </c>
      <c r="D124" t="s">
        <v>352</v>
      </c>
      <c r="E124" t="s">
        <v>15</v>
      </c>
      <c r="J124" s="1">
        <v>45944</v>
      </c>
      <c r="K124">
        <v>140</v>
      </c>
      <c r="L124" t="s">
        <v>365</v>
      </c>
      <c r="M124">
        <v>14</v>
      </c>
      <c r="N124" t="str">
        <f>VLOOKUP(M124,[1]LOJA!$A:$B,2,0)</f>
        <v>S IA</v>
      </c>
      <c r="O124">
        <v>54</v>
      </c>
      <c r="P124" t="str">
        <f>VLOOKUP(O124,[1]OPERADORES!$A:$B,2,0)</f>
        <v>ROBSON</v>
      </c>
      <c r="Q124">
        <v>7</v>
      </c>
      <c r="S124" t="s">
        <v>87</v>
      </c>
      <c r="T124" s="1">
        <v>45943</v>
      </c>
      <c r="U124">
        <v>30</v>
      </c>
      <c r="V124">
        <v>30</v>
      </c>
    </row>
    <row r="125" spans="1:22" x14ac:dyDescent="0.3">
      <c r="A125" t="s">
        <v>350</v>
      </c>
      <c r="B125" t="s">
        <v>351</v>
      </c>
      <c r="C125" t="s">
        <v>13</v>
      </c>
      <c r="D125" t="s">
        <v>352</v>
      </c>
      <c r="E125" t="s">
        <v>15</v>
      </c>
      <c r="J125" s="1">
        <v>45962</v>
      </c>
      <c r="K125">
        <v>122</v>
      </c>
      <c r="L125" t="s">
        <v>367</v>
      </c>
      <c r="M125">
        <v>6</v>
      </c>
      <c r="N125" t="str">
        <f>VLOOKUP(M125,[1]LOJA!$A:$B,2,0)</f>
        <v>GAMA</v>
      </c>
      <c r="O125">
        <v>246</v>
      </c>
      <c r="P125" t="str">
        <f>VLOOKUP(O125,[1]OPERADORES!$A:$B,2,0)</f>
        <v>VITORIA APARECIDA</v>
      </c>
      <c r="Q125">
        <v>4</v>
      </c>
      <c r="S125" t="s">
        <v>5390</v>
      </c>
      <c r="T125" s="1">
        <v>45962</v>
      </c>
      <c r="U125">
        <v>-38.270000000000003</v>
      </c>
      <c r="V125">
        <v>-38.270000000000003</v>
      </c>
    </row>
    <row r="126" spans="1:22" x14ac:dyDescent="0.3">
      <c r="A126" t="s">
        <v>350</v>
      </c>
      <c r="B126" t="s">
        <v>351</v>
      </c>
      <c r="C126" t="s">
        <v>13</v>
      </c>
      <c r="D126" t="s">
        <v>352</v>
      </c>
      <c r="E126" t="s">
        <v>15</v>
      </c>
      <c r="J126" s="1">
        <v>45963</v>
      </c>
      <c r="K126">
        <v>121</v>
      </c>
      <c r="L126" t="s">
        <v>368</v>
      </c>
      <c r="M126">
        <v>14</v>
      </c>
      <c r="N126" t="str">
        <f>VLOOKUP(M126,[1]LOJA!$A:$B,2,0)</f>
        <v>S IA</v>
      </c>
      <c r="O126">
        <v>212</v>
      </c>
      <c r="P126" t="str">
        <f>VLOOKUP(O126,[1]OPERADORES!$A:$B,2,0)</f>
        <v>YASMIN</v>
      </c>
      <c r="Q126">
        <v>7</v>
      </c>
      <c r="S126" t="s">
        <v>87</v>
      </c>
      <c r="T126" s="1">
        <v>45962</v>
      </c>
      <c r="U126">
        <v>70</v>
      </c>
      <c r="V126">
        <v>70</v>
      </c>
    </row>
    <row r="127" spans="1:22" x14ac:dyDescent="0.3">
      <c r="A127" t="s">
        <v>350</v>
      </c>
      <c r="B127" t="s">
        <v>351</v>
      </c>
      <c r="C127" t="s">
        <v>13</v>
      </c>
      <c r="D127" t="s">
        <v>352</v>
      </c>
      <c r="E127" t="s">
        <v>15</v>
      </c>
      <c r="J127" s="1">
        <v>45967</v>
      </c>
      <c r="K127">
        <v>117</v>
      </c>
      <c r="L127" t="s">
        <v>369</v>
      </c>
      <c r="M127">
        <v>14</v>
      </c>
      <c r="N127" t="str">
        <f>VLOOKUP(M127,[1]LOJA!$A:$B,2,0)</f>
        <v>S IA</v>
      </c>
      <c r="O127">
        <v>207</v>
      </c>
      <c r="P127" t="str">
        <f>VLOOKUP(O127,[1]OPERADORES!$A:$B,2,0)</f>
        <v>KETILE SABRINE</v>
      </c>
      <c r="Q127">
        <v>4</v>
      </c>
      <c r="S127" t="s">
        <v>370</v>
      </c>
      <c r="T127" s="1">
        <v>45967</v>
      </c>
      <c r="U127">
        <v>-11.1</v>
      </c>
      <c r="V127">
        <v>-11.1</v>
      </c>
    </row>
    <row r="128" spans="1:22" x14ac:dyDescent="0.3">
      <c r="A128" t="s">
        <v>350</v>
      </c>
      <c r="B128" t="s">
        <v>351</v>
      </c>
      <c r="C128" t="s">
        <v>13</v>
      </c>
      <c r="D128" t="s">
        <v>352</v>
      </c>
      <c r="E128" t="s">
        <v>15</v>
      </c>
      <c r="J128" s="1">
        <v>45968</v>
      </c>
      <c r="K128">
        <v>116</v>
      </c>
      <c r="L128" t="s">
        <v>371</v>
      </c>
      <c r="M128">
        <v>22</v>
      </c>
      <c r="N128" t="str">
        <f>VLOOKUP(M128,[1]LOJA!$A:$B,2,0)</f>
        <v>GUARÁ</v>
      </c>
      <c r="O128">
        <v>238</v>
      </c>
      <c r="P128" t="str">
        <f>VLOOKUP(O128,[1]OPERADORES!$A:$B,2,0)</f>
        <v>BIANCA</v>
      </c>
      <c r="Q128">
        <v>4</v>
      </c>
      <c r="S128" t="s">
        <v>372</v>
      </c>
      <c r="T128" s="1">
        <v>45968</v>
      </c>
      <c r="U128">
        <v>-93.16</v>
      </c>
      <c r="V128">
        <v>-93.16</v>
      </c>
    </row>
    <row r="129" spans="1:22" x14ac:dyDescent="0.3">
      <c r="A129" t="s">
        <v>350</v>
      </c>
      <c r="B129" t="s">
        <v>351</v>
      </c>
      <c r="C129" t="s">
        <v>13</v>
      </c>
      <c r="D129" t="s">
        <v>352</v>
      </c>
      <c r="E129" t="s">
        <v>15</v>
      </c>
      <c r="J129" s="1">
        <v>45996</v>
      </c>
      <c r="K129">
        <v>88</v>
      </c>
      <c r="L129" t="s">
        <v>373</v>
      </c>
      <c r="M129">
        <v>14</v>
      </c>
      <c r="N129" t="str">
        <f>VLOOKUP(M129,[1]LOJA!$A:$B,2,0)</f>
        <v>S IA</v>
      </c>
      <c r="O129">
        <v>212</v>
      </c>
      <c r="P129" t="str">
        <f>VLOOKUP(O129,[1]OPERADORES!$A:$B,2,0)</f>
        <v>YASMIN</v>
      </c>
      <c r="Q129">
        <v>4</v>
      </c>
      <c r="S129" t="s">
        <v>374</v>
      </c>
      <c r="T129" s="1">
        <v>45996</v>
      </c>
      <c r="U129">
        <v>-86.6</v>
      </c>
      <c r="V129">
        <v>-86.6</v>
      </c>
    </row>
    <row r="130" spans="1:22" x14ac:dyDescent="0.3">
      <c r="A130" t="s">
        <v>350</v>
      </c>
      <c r="B130" t="s">
        <v>351</v>
      </c>
      <c r="C130" t="s">
        <v>13</v>
      </c>
      <c r="D130" t="s">
        <v>352</v>
      </c>
      <c r="E130" t="s">
        <v>15</v>
      </c>
      <c r="J130" s="1">
        <v>45997</v>
      </c>
      <c r="K130">
        <v>87</v>
      </c>
      <c r="L130" t="s">
        <v>375</v>
      </c>
      <c r="M130">
        <v>14</v>
      </c>
      <c r="N130" t="str">
        <f>VLOOKUP(M130,[1]LOJA!$A:$B,2,0)</f>
        <v>S IA</v>
      </c>
      <c r="O130">
        <v>108</v>
      </c>
      <c r="P130" t="str">
        <f>VLOOKUP(O130,[1]OPERADORES!$A:$B,2,0)</f>
        <v>CRISLANY DA SILVA</v>
      </c>
      <c r="Q130">
        <v>4</v>
      </c>
      <c r="S130" t="s">
        <v>376</v>
      </c>
      <c r="T130" s="1">
        <v>45997</v>
      </c>
      <c r="U130">
        <v>-5.16</v>
      </c>
      <c r="V130">
        <v>-5.16</v>
      </c>
    </row>
    <row r="131" spans="1:22" x14ac:dyDescent="0.3">
      <c r="A131" t="s">
        <v>350</v>
      </c>
      <c r="B131" t="s">
        <v>351</v>
      </c>
      <c r="C131" t="s">
        <v>13</v>
      </c>
      <c r="D131" t="s">
        <v>352</v>
      </c>
      <c r="E131" t="s">
        <v>15</v>
      </c>
      <c r="J131" s="1">
        <v>46008</v>
      </c>
      <c r="K131">
        <v>76</v>
      </c>
      <c r="L131" t="s">
        <v>377</v>
      </c>
      <c r="M131">
        <v>14</v>
      </c>
      <c r="N131" t="str">
        <f>VLOOKUP(M131,[1]LOJA!$A:$B,2,0)</f>
        <v>S IA</v>
      </c>
      <c r="O131">
        <v>212</v>
      </c>
      <c r="P131" t="str">
        <f>VLOOKUP(O131,[1]OPERADORES!$A:$B,2,0)</f>
        <v>YASMIN</v>
      </c>
      <c r="Q131">
        <v>4</v>
      </c>
      <c r="S131" t="s">
        <v>378</v>
      </c>
      <c r="T131" s="1">
        <v>46008</v>
      </c>
      <c r="U131">
        <v>-53.27</v>
      </c>
      <c r="V131">
        <v>-53.27</v>
      </c>
    </row>
    <row r="132" spans="1:22" x14ac:dyDescent="0.3">
      <c r="A132" t="s">
        <v>350</v>
      </c>
      <c r="B132" t="s">
        <v>351</v>
      </c>
      <c r="C132" t="s">
        <v>13</v>
      </c>
      <c r="D132" t="s">
        <v>352</v>
      </c>
      <c r="E132" t="s">
        <v>15</v>
      </c>
      <c r="J132" s="1">
        <v>46009</v>
      </c>
      <c r="K132">
        <v>75</v>
      </c>
      <c r="L132" t="s">
        <v>379</v>
      </c>
      <c r="M132">
        <v>14</v>
      </c>
      <c r="N132" t="str">
        <f>VLOOKUP(M132,[1]LOJA!$A:$B,2,0)</f>
        <v>S IA</v>
      </c>
      <c r="O132">
        <v>212</v>
      </c>
      <c r="P132" t="str">
        <f>VLOOKUP(O132,[1]OPERADORES!$A:$B,2,0)</f>
        <v>YASMIN</v>
      </c>
      <c r="Q132">
        <v>7</v>
      </c>
      <c r="S132" t="s">
        <v>87</v>
      </c>
      <c r="T132" s="1">
        <v>46008</v>
      </c>
      <c r="U132">
        <v>78</v>
      </c>
      <c r="V132">
        <v>78</v>
      </c>
    </row>
    <row r="133" spans="1:22" x14ac:dyDescent="0.3">
      <c r="A133" t="s">
        <v>350</v>
      </c>
      <c r="B133" t="s">
        <v>351</v>
      </c>
      <c r="C133" t="s">
        <v>13</v>
      </c>
      <c r="D133" t="s">
        <v>352</v>
      </c>
      <c r="E133" t="s">
        <v>15</v>
      </c>
      <c r="J133" s="1">
        <v>46018</v>
      </c>
      <c r="K133">
        <v>66</v>
      </c>
      <c r="L133" t="s">
        <v>380</v>
      </c>
      <c r="M133">
        <v>6</v>
      </c>
      <c r="N133" t="str">
        <f>VLOOKUP(M133,[1]LOJA!$A:$B,2,0)</f>
        <v>GAMA</v>
      </c>
      <c r="O133">
        <v>245</v>
      </c>
      <c r="P133" t="str">
        <f>VLOOKUP(O133,[1]OPERADORES!$A:$B,2,0)</f>
        <v>JOÃO PEDRO</v>
      </c>
      <c r="Q133">
        <v>7</v>
      </c>
      <c r="S133" t="s">
        <v>87</v>
      </c>
      <c r="T133" s="1">
        <v>46017</v>
      </c>
      <c r="U133">
        <v>63</v>
      </c>
      <c r="V133">
        <v>63</v>
      </c>
    </row>
    <row r="134" spans="1:22" x14ac:dyDescent="0.3">
      <c r="A134" t="s">
        <v>350</v>
      </c>
      <c r="B134" t="s">
        <v>351</v>
      </c>
      <c r="C134" t="s">
        <v>13</v>
      </c>
      <c r="D134" t="s">
        <v>352</v>
      </c>
      <c r="E134" t="s">
        <v>15</v>
      </c>
      <c r="J134" s="1">
        <v>46028</v>
      </c>
      <c r="K134">
        <v>56</v>
      </c>
      <c r="L134" t="s">
        <v>381</v>
      </c>
      <c r="M134">
        <v>14</v>
      </c>
      <c r="N134" t="str">
        <f>VLOOKUP(M134,[1]LOJA!$A:$B,2,0)</f>
        <v>S IA</v>
      </c>
      <c r="O134">
        <v>212</v>
      </c>
      <c r="P134" t="str">
        <f>VLOOKUP(O134,[1]OPERADORES!$A:$B,2,0)</f>
        <v>YASMIN</v>
      </c>
      <c r="Q134">
        <v>4</v>
      </c>
      <c r="S134" t="s">
        <v>382</v>
      </c>
      <c r="T134" s="1">
        <v>46008</v>
      </c>
      <c r="U134">
        <v>-0.93</v>
      </c>
      <c r="V134">
        <v>-0.93</v>
      </c>
    </row>
    <row r="135" spans="1:22" x14ac:dyDescent="0.3">
      <c r="A135" t="s">
        <v>350</v>
      </c>
      <c r="B135" t="s">
        <v>351</v>
      </c>
      <c r="C135" t="s">
        <v>13</v>
      </c>
      <c r="D135" t="s">
        <v>352</v>
      </c>
      <c r="E135" t="s">
        <v>15</v>
      </c>
      <c r="J135" s="1">
        <v>46037</v>
      </c>
      <c r="K135">
        <v>47</v>
      </c>
      <c r="L135" t="s">
        <v>383</v>
      </c>
      <c r="M135">
        <v>14</v>
      </c>
      <c r="N135" t="str">
        <f>VLOOKUP(M135,[1]LOJA!$A:$B,2,0)</f>
        <v>S IA</v>
      </c>
      <c r="O135">
        <v>207</v>
      </c>
      <c r="P135" t="str">
        <f>VLOOKUP(O135,[1]OPERADORES!$A:$B,2,0)</f>
        <v>KETILE SABRINE</v>
      </c>
      <c r="Q135">
        <v>4</v>
      </c>
      <c r="S135" t="s">
        <v>384</v>
      </c>
      <c r="T135" s="1">
        <v>46037</v>
      </c>
      <c r="U135">
        <v>-10.5</v>
      </c>
      <c r="V135">
        <v>-10.5</v>
      </c>
    </row>
    <row r="136" spans="1:22" x14ac:dyDescent="0.3">
      <c r="A136" t="s">
        <v>350</v>
      </c>
      <c r="B136" t="s">
        <v>351</v>
      </c>
      <c r="C136" t="s">
        <v>13</v>
      </c>
      <c r="D136" t="s">
        <v>352</v>
      </c>
      <c r="E136" t="s">
        <v>15</v>
      </c>
      <c r="J136" s="1">
        <v>46038</v>
      </c>
      <c r="K136">
        <v>46</v>
      </c>
      <c r="L136" t="s">
        <v>385</v>
      </c>
      <c r="M136">
        <v>14</v>
      </c>
      <c r="N136" t="str">
        <f>VLOOKUP(M136,[1]LOJA!$A:$B,2,0)</f>
        <v>S IA</v>
      </c>
      <c r="O136">
        <v>207</v>
      </c>
      <c r="P136" t="str">
        <f>VLOOKUP(O136,[1]OPERADORES!$A:$B,2,0)</f>
        <v>KETILE SABRINE</v>
      </c>
      <c r="Q136">
        <v>4</v>
      </c>
      <c r="S136" t="s">
        <v>5391</v>
      </c>
      <c r="T136" s="1">
        <v>46038</v>
      </c>
      <c r="U136">
        <v>-2.6</v>
      </c>
      <c r="V136">
        <v>-2.6</v>
      </c>
    </row>
    <row r="137" spans="1:22" x14ac:dyDescent="0.3">
      <c r="A137" t="s">
        <v>350</v>
      </c>
      <c r="B137" t="s">
        <v>351</v>
      </c>
      <c r="C137" t="s">
        <v>13</v>
      </c>
      <c r="D137" t="s">
        <v>352</v>
      </c>
      <c r="E137" t="s">
        <v>15</v>
      </c>
      <c r="J137" s="1">
        <v>46051</v>
      </c>
      <c r="K137">
        <v>33</v>
      </c>
      <c r="L137" t="s">
        <v>386</v>
      </c>
      <c r="M137">
        <v>12</v>
      </c>
      <c r="N137" t="str">
        <f>VLOOKUP(M137,[1]LOJA!$A:$B,2,0)</f>
        <v>SOFNORTE</v>
      </c>
      <c r="O137">
        <v>239</v>
      </c>
      <c r="P137" t="str">
        <f>VLOOKUP(O137,[1]OPERADORES!$A:$B,2,0)</f>
        <v>BRUNO</v>
      </c>
      <c r="Q137">
        <v>7</v>
      </c>
      <c r="S137" t="s">
        <v>387</v>
      </c>
      <c r="T137" s="1">
        <v>46050</v>
      </c>
      <c r="U137">
        <v>0.27</v>
      </c>
      <c r="V137">
        <v>0.27</v>
      </c>
    </row>
    <row r="138" spans="1:22" x14ac:dyDescent="0.3">
      <c r="A138" t="s">
        <v>350</v>
      </c>
      <c r="B138" t="s">
        <v>351</v>
      </c>
      <c r="C138" t="s">
        <v>13</v>
      </c>
      <c r="D138" t="s">
        <v>352</v>
      </c>
      <c r="E138" t="s">
        <v>15</v>
      </c>
      <c r="J138" s="1">
        <v>46051</v>
      </c>
      <c r="K138">
        <v>33</v>
      </c>
      <c r="L138" t="s">
        <v>388</v>
      </c>
      <c r="M138">
        <v>14</v>
      </c>
      <c r="N138" t="str">
        <f>VLOOKUP(M138,[1]LOJA!$A:$B,2,0)</f>
        <v>S IA</v>
      </c>
      <c r="O138">
        <v>54</v>
      </c>
      <c r="P138" t="str">
        <f>VLOOKUP(O138,[1]OPERADORES!$A:$B,2,0)</f>
        <v>ROBSON</v>
      </c>
      <c r="Q138">
        <v>7</v>
      </c>
      <c r="S138" t="s">
        <v>87</v>
      </c>
      <c r="T138" s="1">
        <v>46050</v>
      </c>
      <c r="U138">
        <v>179.1</v>
      </c>
      <c r="V138">
        <v>179.1</v>
      </c>
    </row>
    <row r="139" spans="1:22" x14ac:dyDescent="0.3">
      <c r="A139" t="s">
        <v>350</v>
      </c>
      <c r="B139" t="s">
        <v>351</v>
      </c>
      <c r="C139" t="s">
        <v>13</v>
      </c>
      <c r="D139" t="s">
        <v>352</v>
      </c>
      <c r="E139" t="s">
        <v>15</v>
      </c>
      <c r="J139" s="1">
        <v>46061</v>
      </c>
      <c r="K139">
        <v>23</v>
      </c>
      <c r="L139" t="s">
        <v>389</v>
      </c>
      <c r="M139">
        <v>14</v>
      </c>
      <c r="N139" t="str">
        <f>VLOOKUP(M139,[1]LOJA!$A:$B,2,0)</f>
        <v>S IA</v>
      </c>
      <c r="O139">
        <v>212</v>
      </c>
      <c r="P139" t="str">
        <f>VLOOKUP(O139,[1]OPERADORES!$A:$B,2,0)</f>
        <v>YASMIN</v>
      </c>
      <c r="Q139">
        <v>7</v>
      </c>
      <c r="S139" t="s">
        <v>87</v>
      </c>
      <c r="T139" s="1">
        <v>46060</v>
      </c>
      <c r="U139">
        <v>38.6</v>
      </c>
      <c r="V139">
        <v>38.6</v>
      </c>
    </row>
    <row r="140" spans="1:22" x14ac:dyDescent="0.3">
      <c r="A140" t="s">
        <v>350</v>
      </c>
      <c r="B140" t="s">
        <v>351</v>
      </c>
      <c r="C140" t="s">
        <v>13</v>
      </c>
      <c r="D140" t="s">
        <v>352</v>
      </c>
      <c r="E140" t="s">
        <v>15</v>
      </c>
      <c r="J140" s="1">
        <v>46064</v>
      </c>
      <c r="K140">
        <v>20</v>
      </c>
      <c r="L140" t="s">
        <v>390</v>
      </c>
      <c r="M140">
        <v>14</v>
      </c>
      <c r="N140" t="str">
        <f>VLOOKUP(M140,[1]LOJA!$A:$B,2,0)</f>
        <v>S IA</v>
      </c>
      <c r="O140">
        <v>54</v>
      </c>
      <c r="P140" t="str">
        <f>VLOOKUP(O140,[1]OPERADORES!$A:$B,2,0)</f>
        <v>ROBSON</v>
      </c>
      <c r="Q140">
        <v>7</v>
      </c>
      <c r="S140" t="s">
        <v>87</v>
      </c>
      <c r="T140" s="1">
        <v>46063</v>
      </c>
      <c r="U140">
        <v>90</v>
      </c>
      <c r="V140">
        <v>90</v>
      </c>
    </row>
    <row r="141" spans="1:22" x14ac:dyDescent="0.3">
      <c r="A141" t="s">
        <v>350</v>
      </c>
      <c r="B141" t="s">
        <v>351</v>
      </c>
      <c r="C141" t="s">
        <v>13</v>
      </c>
      <c r="D141" t="s">
        <v>352</v>
      </c>
      <c r="E141" t="s">
        <v>15</v>
      </c>
      <c r="J141" s="1">
        <v>46078</v>
      </c>
      <c r="K141">
        <v>6</v>
      </c>
      <c r="L141" t="s">
        <v>5392</v>
      </c>
      <c r="M141">
        <v>6</v>
      </c>
      <c r="N141" t="str">
        <f>VLOOKUP(M141,[1]LOJA!$A:$B,2,0)</f>
        <v>GAMA</v>
      </c>
      <c r="O141">
        <v>246</v>
      </c>
      <c r="P141" t="str">
        <f>VLOOKUP(O141,[1]OPERADORES!$A:$B,2,0)</f>
        <v>VITORIA APARECIDA</v>
      </c>
      <c r="Q141">
        <v>4</v>
      </c>
      <c r="S141" t="s">
        <v>366</v>
      </c>
      <c r="T141" s="1">
        <v>46078</v>
      </c>
      <c r="U141">
        <v>-0.09</v>
      </c>
      <c r="V141">
        <v>-0.09</v>
      </c>
    </row>
    <row r="142" spans="1:22" x14ac:dyDescent="0.3">
      <c r="A142" t="s">
        <v>350</v>
      </c>
      <c r="B142" t="s">
        <v>351</v>
      </c>
      <c r="C142" t="s">
        <v>13</v>
      </c>
      <c r="D142" t="s">
        <v>352</v>
      </c>
      <c r="E142" t="s">
        <v>15</v>
      </c>
      <c r="J142" s="1">
        <v>46078</v>
      </c>
      <c r="K142">
        <v>6</v>
      </c>
      <c r="L142" t="s">
        <v>5393</v>
      </c>
      <c r="M142">
        <v>14</v>
      </c>
      <c r="N142" t="str">
        <f>VLOOKUP(M142,[1]LOJA!$A:$B,2,0)</f>
        <v>S IA</v>
      </c>
      <c r="O142">
        <v>54</v>
      </c>
      <c r="P142" t="str">
        <f>VLOOKUP(O142,[1]OPERADORES!$A:$B,2,0)</f>
        <v>ROBSON</v>
      </c>
      <c r="Q142">
        <v>7</v>
      </c>
      <c r="S142" t="s">
        <v>87</v>
      </c>
      <c r="T142" s="1">
        <v>46077</v>
      </c>
      <c r="U142">
        <v>53.91</v>
      </c>
      <c r="V142">
        <v>53.91</v>
      </c>
    </row>
    <row r="143" spans="1:22" x14ac:dyDescent="0.3">
      <c r="A143" t="s">
        <v>350</v>
      </c>
      <c r="B143" t="s">
        <v>351</v>
      </c>
      <c r="C143" t="s">
        <v>13</v>
      </c>
      <c r="D143" t="s">
        <v>352</v>
      </c>
      <c r="E143" t="s">
        <v>15</v>
      </c>
      <c r="J143" s="1">
        <v>46079</v>
      </c>
      <c r="K143">
        <v>5</v>
      </c>
      <c r="L143" t="s">
        <v>5394</v>
      </c>
      <c r="M143">
        <v>4</v>
      </c>
      <c r="N143" t="str">
        <f>VLOOKUP(M143,[1]LOJA!$A:$B,2,0)</f>
        <v>ADE</v>
      </c>
      <c r="O143">
        <v>247</v>
      </c>
      <c r="P143" t="str">
        <f>VLOOKUP(O143,[1]OPERADORES!$A:$B,2,0)</f>
        <v>TATIELE BRITO</v>
      </c>
      <c r="Q143">
        <v>4</v>
      </c>
      <c r="S143" t="s">
        <v>110</v>
      </c>
      <c r="T143" s="1">
        <v>46079</v>
      </c>
      <c r="U143">
        <v>-60</v>
      </c>
      <c r="V143">
        <v>-60</v>
      </c>
    </row>
    <row r="144" spans="1:22" x14ac:dyDescent="0.3">
      <c r="A144" t="s">
        <v>350</v>
      </c>
      <c r="B144" t="s">
        <v>351</v>
      </c>
      <c r="C144" t="s">
        <v>13</v>
      </c>
      <c r="D144" t="s">
        <v>352</v>
      </c>
      <c r="E144" t="s">
        <v>15</v>
      </c>
      <c r="J144" s="1">
        <v>46079</v>
      </c>
      <c r="K144">
        <v>5</v>
      </c>
      <c r="L144" t="s">
        <v>5395</v>
      </c>
      <c r="M144">
        <v>22</v>
      </c>
      <c r="N144" t="str">
        <f>VLOOKUP(M144,[1]LOJA!$A:$B,2,0)</f>
        <v>GUARÁ</v>
      </c>
      <c r="O144">
        <v>238</v>
      </c>
      <c r="P144" t="str">
        <f>VLOOKUP(O144,[1]OPERADORES!$A:$B,2,0)</f>
        <v>BIANCA</v>
      </c>
      <c r="Q144">
        <v>4</v>
      </c>
      <c r="S144" t="s">
        <v>5396</v>
      </c>
      <c r="T144" s="1">
        <v>46079</v>
      </c>
      <c r="U144">
        <v>-14.8</v>
      </c>
      <c r="V144">
        <v>-14.8</v>
      </c>
    </row>
    <row r="145" spans="1:22" x14ac:dyDescent="0.3">
      <c r="A145" t="s">
        <v>350</v>
      </c>
      <c r="B145" t="s">
        <v>351</v>
      </c>
      <c r="C145" t="s">
        <v>13</v>
      </c>
      <c r="D145" t="s">
        <v>352</v>
      </c>
      <c r="E145" t="s">
        <v>15</v>
      </c>
      <c r="J145" s="1">
        <v>46081</v>
      </c>
      <c r="K145">
        <v>3</v>
      </c>
      <c r="L145" t="s">
        <v>5397</v>
      </c>
      <c r="M145">
        <v>14</v>
      </c>
      <c r="N145" t="str">
        <f>VLOOKUP(M145,[1]LOJA!$A:$B,2,0)</f>
        <v>S IA</v>
      </c>
      <c r="O145">
        <v>54</v>
      </c>
      <c r="P145" t="str">
        <f>VLOOKUP(O145,[1]OPERADORES!$A:$B,2,0)</f>
        <v>ROBSON</v>
      </c>
      <c r="Q145">
        <v>7</v>
      </c>
      <c r="S145" t="s">
        <v>87</v>
      </c>
      <c r="T145" s="1">
        <v>46080</v>
      </c>
      <c r="U145">
        <v>622.4</v>
      </c>
      <c r="V145">
        <v>622.4</v>
      </c>
    </row>
    <row r="146" spans="1:22" x14ac:dyDescent="0.3">
      <c r="A146" t="s">
        <v>350</v>
      </c>
      <c r="B146" t="s">
        <v>351</v>
      </c>
      <c r="C146" t="s">
        <v>13</v>
      </c>
      <c r="D146" t="s">
        <v>352</v>
      </c>
      <c r="E146" t="s">
        <v>15</v>
      </c>
      <c r="J146" s="1">
        <v>46084</v>
      </c>
      <c r="K146">
        <v>0</v>
      </c>
      <c r="L146" t="s">
        <v>5398</v>
      </c>
      <c r="M146">
        <v>4</v>
      </c>
      <c r="N146" t="str">
        <f>VLOOKUP(M146,[1]LOJA!$A:$B,2,0)</f>
        <v>ADE</v>
      </c>
      <c r="O146">
        <v>132</v>
      </c>
      <c r="P146" t="str">
        <f>VLOOKUP(O146,[1]OPERADORES!$A:$B,2,0)</f>
        <v>PAMELA GONÇALVES ROSA</v>
      </c>
      <c r="Q146">
        <v>7</v>
      </c>
      <c r="S146" t="s">
        <v>87</v>
      </c>
      <c r="T146" s="1">
        <v>46083</v>
      </c>
      <c r="U146">
        <v>738</v>
      </c>
      <c r="V146">
        <v>738</v>
      </c>
    </row>
    <row r="147" spans="1:22" x14ac:dyDescent="0.3">
      <c r="A147" t="s">
        <v>350</v>
      </c>
      <c r="B147" t="s">
        <v>351</v>
      </c>
      <c r="C147" t="s">
        <v>13</v>
      </c>
      <c r="D147" t="s">
        <v>352</v>
      </c>
      <c r="E147" t="s">
        <v>15</v>
      </c>
      <c r="J147" s="1">
        <v>46084</v>
      </c>
      <c r="K147">
        <v>0</v>
      </c>
      <c r="L147" t="s">
        <v>5399</v>
      </c>
      <c r="M147">
        <v>13</v>
      </c>
      <c r="N147" t="str">
        <f>VLOOKUP(M147,[1]LOJA!$A:$B,2,0)</f>
        <v>CEILÂNDIA</v>
      </c>
      <c r="O147">
        <v>67</v>
      </c>
      <c r="P147" t="str">
        <f>VLOOKUP(O147,[1]OPERADORES!$A:$B,2,0)</f>
        <v>ERIKA</v>
      </c>
      <c r="Q147">
        <v>4</v>
      </c>
      <c r="S147" t="s">
        <v>366</v>
      </c>
      <c r="T147" s="1">
        <v>46084</v>
      </c>
      <c r="U147">
        <v>-5.0999999999999996</v>
      </c>
      <c r="V147">
        <v>-5.0999999999999996</v>
      </c>
    </row>
    <row r="148" spans="1:22" x14ac:dyDescent="0.3">
      <c r="A148" t="s">
        <v>350</v>
      </c>
      <c r="B148" t="s">
        <v>351</v>
      </c>
      <c r="C148" t="s">
        <v>13</v>
      </c>
      <c r="D148" t="s">
        <v>352</v>
      </c>
      <c r="E148" t="s">
        <v>15</v>
      </c>
      <c r="J148" s="1">
        <v>46084</v>
      </c>
      <c r="K148">
        <v>0</v>
      </c>
      <c r="L148" t="s">
        <v>5400</v>
      </c>
      <c r="M148">
        <v>22</v>
      </c>
      <c r="N148" t="str">
        <f>VLOOKUP(M148,[1]LOJA!$A:$B,2,0)</f>
        <v>GUARÁ</v>
      </c>
      <c r="O148">
        <v>238</v>
      </c>
      <c r="P148" t="str">
        <f>VLOOKUP(O148,[1]OPERADORES!$A:$B,2,0)</f>
        <v>BIANCA</v>
      </c>
      <c r="Q148">
        <v>4</v>
      </c>
      <c r="S148" t="s">
        <v>366</v>
      </c>
      <c r="T148" s="1">
        <v>46084</v>
      </c>
      <c r="U148">
        <v>-3.02</v>
      </c>
      <c r="V148">
        <v>-3.02</v>
      </c>
    </row>
    <row r="149" spans="1:22" x14ac:dyDescent="0.3">
      <c r="A149" t="s">
        <v>391</v>
      </c>
      <c r="B149" t="s">
        <v>32</v>
      </c>
      <c r="C149" t="s">
        <v>13</v>
      </c>
      <c r="D149" t="s">
        <v>352</v>
      </c>
      <c r="E149" t="s">
        <v>15</v>
      </c>
      <c r="J149" s="1">
        <v>45176</v>
      </c>
      <c r="K149">
        <v>908</v>
      </c>
      <c r="L149" t="s">
        <v>392</v>
      </c>
      <c r="M149">
        <v>16</v>
      </c>
      <c r="N149" t="str">
        <f>VLOOKUP(M149,[1]LOJA!$A:$B,2,0)</f>
        <v>AG LINDAS</v>
      </c>
      <c r="O149">
        <v>107</v>
      </c>
      <c r="P149" t="str">
        <f>VLOOKUP(O149,[1]OPERADORES!$A:$B,2,0)</f>
        <v>DAIANA PORTELA</v>
      </c>
      <c r="Q149">
        <v>7</v>
      </c>
      <c r="S149" t="s">
        <v>87</v>
      </c>
      <c r="T149" s="1">
        <v>45175</v>
      </c>
      <c r="U149">
        <v>29</v>
      </c>
      <c r="V149">
        <v>29</v>
      </c>
    </row>
    <row r="150" spans="1:22" x14ac:dyDescent="0.3">
      <c r="A150" t="s">
        <v>391</v>
      </c>
      <c r="B150" t="s">
        <v>32</v>
      </c>
      <c r="C150" t="s">
        <v>13</v>
      </c>
      <c r="D150" t="s">
        <v>352</v>
      </c>
      <c r="E150" t="s">
        <v>15</v>
      </c>
      <c r="J150" s="1">
        <v>45176</v>
      </c>
      <c r="K150">
        <v>908</v>
      </c>
      <c r="L150" t="s">
        <v>393</v>
      </c>
      <c r="M150">
        <v>16</v>
      </c>
      <c r="N150" t="str">
        <f>VLOOKUP(M150,[1]LOJA!$A:$B,2,0)</f>
        <v>AG LINDAS</v>
      </c>
      <c r="O150">
        <v>107</v>
      </c>
      <c r="P150" t="str">
        <f>VLOOKUP(O150,[1]OPERADORES!$A:$B,2,0)</f>
        <v>DAIANA PORTELA</v>
      </c>
      <c r="Q150">
        <v>7</v>
      </c>
      <c r="S150" t="s">
        <v>87</v>
      </c>
      <c r="T150" s="1">
        <v>45175</v>
      </c>
      <c r="U150">
        <v>455</v>
      </c>
      <c r="V150">
        <v>455</v>
      </c>
    </row>
    <row r="151" spans="1:22" x14ac:dyDescent="0.3">
      <c r="A151" t="s">
        <v>391</v>
      </c>
      <c r="B151" t="s">
        <v>32</v>
      </c>
      <c r="C151" t="s">
        <v>13</v>
      </c>
      <c r="D151" t="s">
        <v>352</v>
      </c>
      <c r="E151" t="s">
        <v>15</v>
      </c>
      <c r="J151" s="1">
        <v>45176</v>
      </c>
      <c r="K151">
        <v>908</v>
      </c>
      <c r="L151" t="s">
        <v>394</v>
      </c>
      <c r="M151">
        <v>16</v>
      </c>
      <c r="N151" t="str">
        <f>VLOOKUP(M151,[1]LOJA!$A:$B,2,0)</f>
        <v>AG LINDAS</v>
      </c>
      <c r="O151">
        <v>107</v>
      </c>
      <c r="P151" t="str">
        <f>VLOOKUP(O151,[1]OPERADORES!$A:$B,2,0)</f>
        <v>DAIANA PORTELA</v>
      </c>
      <c r="Q151">
        <v>7</v>
      </c>
      <c r="S151" t="s">
        <v>87</v>
      </c>
      <c r="T151" s="1">
        <v>45175</v>
      </c>
      <c r="U151">
        <v>14.5</v>
      </c>
      <c r="V151">
        <v>14.5</v>
      </c>
    </row>
    <row r="152" spans="1:22" x14ac:dyDescent="0.3">
      <c r="A152" t="s">
        <v>391</v>
      </c>
      <c r="B152" t="s">
        <v>32</v>
      </c>
      <c r="C152" t="s">
        <v>13</v>
      </c>
      <c r="D152" t="s">
        <v>352</v>
      </c>
      <c r="E152" t="s">
        <v>15</v>
      </c>
      <c r="J152" s="1">
        <v>45523</v>
      </c>
      <c r="K152">
        <v>561</v>
      </c>
      <c r="L152" t="s">
        <v>195</v>
      </c>
      <c r="M152">
        <v>16</v>
      </c>
      <c r="N152" t="str">
        <f>VLOOKUP(M152,[1]LOJA!$A:$B,2,0)</f>
        <v>AG LINDAS</v>
      </c>
      <c r="O152">
        <v>107</v>
      </c>
      <c r="P152" t="str">
        <f>VLOOKUP(O152,[1]OPERADORES!$A:$B,2,0)</f>
        <v>DAIANA PORTELA</v>
      </c>
      <c r="Q152">
        <v>7</v>
      </c>
      <c r="S152" t="s">
        <v>395</v>
      </c>
      <c r="T152" s="1">
        <v>45523</v>
      </c>
      <c r="U152">
        <v>-0.2</v>
      </c>
      <c r="V152">
        <v>-0.2</v>
      </c>
    </row>
    <row r="153" spans="1:22" x14ac:dyDescent="0.3">
      <c r="A153" t="s">
        <v>391</v>
      </c>
      <c r="B153" t="s">
        <v>32</v>
      </c>
      <c r="C153" t="s">
        <v>13</v>
      </c>
      <c r="D153" t="s">
        <v>352</v>
      </c>
      <c r="E153" t="s">
        <v>15</v>
      </c>
      <c r="J153" s="1">
        <v>45569</v>
      </c>
      <c r="K153">
        <v>515</v>
      </c>
      <c r="L153" t="s">
        <v>396</v>
      </c>
      <c r="M153">
        <v>16</v>
      </c>
      <c r="N153" t="str">
        <f>VLOOKUP(M153,[1]LOJA!$A:$B,2,0)</f>
        <v>AG LINDAS</v>
      </c>
      <c r="O153">
        <v>107</v>
      </c>
      <c r="P153" t="str">
        <f>VLOOKUP(O153,[1]OPERADORES!$A:$B,2,0)</f>
        <v>DAIANA PORTELA</v>
      </c>
      <c r="Q153">
        <v>7</v>
      </c>
      <c r="S153" t="s">
        <v>397</v>
      </c>
      <c r="T153" s="1">
        <v>45569</v>
      </c>
      <c r="U153">
        <v>-0.1</v>
      </c>
      <c r="V153">
        <v>-0.1</v>
      </c>
    </row>
    <row r="154" spans="1:22" x14ac:dyDescent="0.3">
      <c r="A154" t="s">
        <v>391</v>
      </c>
      <c r="B154" t="s">
        <v>32</v>
      </c>
      <c r="C154" t="s">
        <v>13</v>
      </c>
      <c r="D154" t="s">
        <v>352</v>
      </c>
      <c r="E154" t="s">
        <v>15</v>
      </c>
      <c r="J154" s="1">
        <v>45579</v>
      </c>
      <c r="K154">
        <v>505</v>
      </c>
      <c r="L154" t="s">
        <v>398</v>
      </c>
      <c r="M154">
        <v>16</v>
      </c>
      <c r="N154" t="str">
        <f>VLOOKUP(M154,[1]LOJA!$A:$B,2,0)</f>
        <v>AG LINDAS</v>
      </c>
      <c r="O154">
        <v>107</v>
      </c>
      <c r="P154" t="str">
        <f>VLOOKUP(O154,[1]OPERADORES!$A:$B,2,0)</f>
        <v>DAIANA PORTELA</v>
      </c>
      <c r="Q154">
        <v>7</v>
      </c>
      <c r="S154" t="s">
        <v>399</v>
      </c>
      <c r="T154" s="1">
        <v>45579</v>
      </c>
      <c r="U154">
        <v>-0.1</v>
      </c>
      <c r="V154">
        <v>-0.1</v>
      </c>
    </row>
    <row r="155" spans="1:22" x14ac:dyDescent="0.3">
      <c r="A155" t="s">
        <v>391</v>
      </c>
      <c r="B155" t="s">
        <v>32</v>
      </c>
      <c r="C155" t="s">
        <v>13</v>
      </c>
      <c r="D155" t="s">
        <v>352</v>
      </c>
      <c r="E155" t="s">
        <v>15</v>
      </c>
      <c r="J155" s="1">
        <v>45583</v>
      </c>
      <c r="K155">
        <v>501</v>
      </c>
      <c r="L155" t="s">
        <v>400</v>
      </c>
      <c r="M155">
        <v>16</v>
      </c>
      <c r="N155" t="str">
        <f>VLOOKUP(M155,[1]LOJA!$A:$B,2,0)</f>
        <v>AG LINDAS</v>
      </c>
      <c r="O155">
        <v>107</v>
      </c>
      <c r="P155" t="str">
        <f>VLOOKUP(O155,[1]OPERADORES!$A:$B,2,0)</f>
        <v>DAIANA PORTELA</v>
      </c>
      <c r="Q155">
        <v>7</v>
      </c>
      <c r="S155" t="s">
        <v>401</v>
      </c>
      <c r="T155" s="1">
        <v>45583</v>
      </c>
      <c r="U155">
        <v>-0.03</v>
      </c>
      <c r="V155">
        <v>-0.03</v>
      </c>
    </row>
    <row r="156" spans="1:22" x14ac:dyDescent="0.3">
      <c r="A156" t="s">
        <v>391</v>
      </c>
      <c r="B156" t="s">
        <v>32</v>
      </c>
      <c r="C156" t="s">
        <v>13</v>
      </c>
      <c r="D156" t="s">
        <v>352</v>
      </c>
      <c r="E156" t="s">
        <v>15</v>
      </c>
      <c r="J156" s="1">
        <v>45601</v>
      </c>
      <c r="K156">
        <v>483</v>
      </c>
      <c r="L156" t="s">
        <v>402</v>
      </c>
      <c r="M156">
        <v>16</v>
      </c>
      <c r="N156" t="str">
        <f>VLOOKUP(M156,[1]LOJA!$A:$B,2,0)</f>
        <v>AG LINDAS</v>
      </c>
      <c r="O156">
        <v>107</v>
      </c>
      <c r="P156" t="str">
        <f>VLOOKUP(O156,[1]OPERADORES!$A:$B,2,0)</f>
        <v>DAIANA PORTELA</v>
      </c>
      <c r="Q156">
        <v>7</v>
      </c>
      <c r="S156" t="s">
        <v>403</v>
      </c>
      <c r="T156" s="1">
        <v>45601</v>
      </c>
      <c r="U156">
        <v>-0.01</v>
      </c>
      <c r="V156">
        <v>-0.01</v>
      </c>
    </row>
    <row r="157" spans="1:22" x14ac:dyDescent="0.3">
      <c r="A157" t="s">
        <v>391</v>
      </c>
      <c r="B157" t="s">
        <v>32</v>
      </c>
      <c r="C157" t="s">
        <v>13</v>
      </c>
      <c r="D157" t="s">
        <v>352</v>
      </c>
      <c r="E157" t="s">
        <v>15</v>
      </c>
      <c r="J157" s="1">
        <v>45608</v>
      </c>
      <c r="K157">
        <v>476</v>
      </c>
      <c r="L157" t="s">
        <v>404</v>
      </c>
      <c r="M157">
        <v>16</v>
      </c>
      <c r="N157" t="str">
        <f>VLOOKUP(M157,[1]LOJA!$A:$B,2,0)</f>
        <v>AG LINDAS</v>
      </c>
      <c r="O157">
        <v>107</v>
      </c>
      <c r="P157" t="str">
        <f>VLOOKUP(O157,[1]OPERADORES!$A:$B,2,0)</f>
        <v>DAIANA PORTELA</v>
      </c>
      <c r="Q157">
        <v>7</v>
      </c>
      <c r="S157" t="s">
        <v>405</v>
      </c>
      <c r="T157" s="1">
        <v>45608</v>
      </c>
      <c r="U157">
        <v>-0.8</v>
      </c>
      <c r="V157">
        <v>-0.8</v>
      </c>
    </row>
    <row r="158" spans="1:22" x14ac:dyDescent="0.3">
      <c r="A158" t="s">
        <v>391</v>
      </c>
      <c r="B158" t="s">
        <v>32</v>
      </c>
      <c r="C158" t="s">
        <v>13</v>
      </c>
      <c r="D158" t="s">
        <v>352</v>
      </c>
      <c r="E158" t="s">
        <v>15</v>
      </c>
      <c r="J158" s="1">
        <v>45623</v>
      </c>
      <c r="K158">
        <v>461</v>
      </c>
      <c r="L158" t="s">
        <v>406</v>
      </c>
      <c r="M158">
        <v>16</v>
      </c>
      <c r="N158" t="str">
        <f>VLOOKUP(M158,[1]LOJA!$A:$B,2,0)</f>
        <v>AG LINDAS</v>
      </c>
      <c r="O158">
        <v>107</v>
      </c>
      <c r="P158" t="str">
        <f>VLOOKUP(O158,[1]OPERADORES!$A:$B,2,0)</f>
        <v>DAIANA PORTELA</v>
      </c>
      <c r="Q158">
        <v>7</v>
      </c>
      <c r="S158" t="s">
        <v>407</v>
      </c>
      <c r="T158" s="1">
        <v>45623</v>
      </c>
      <c r="U158">
        <v>-0.03</v>
      </c>
      <c r="V158">
        <v>-0.03</v>
      </c>
    </row>
    <row r="159" spans="1:22" x14ac:dyDescent="0.3">
      <c r="A159" t="s">
        <v>391</v>
      </c>
      <c r="B159" t="s">
        <v>32</v>
      </c>
      <c r="C159" t="s">
        <v>13</v>
      </c>
      <c r="D159" t="s">
        <v>352</v>
      </c>
      <c r="E159" t="s">
        <v>15</v>
      </c>
      <c r="J159" s="1">
        <v>45631</v>
      </c>
      <c r="K159">
        <v>453</v>
      </c>
      <c r="L159" t="s">
        <v>408</v>
      </c>
      <c r="M159">
        <v>16</v>
      </c>
      <c r="N159" t="str">
        <f>VLOOKUP(M159,[1]LOJA!$A:$B,2,0)</f>
        <v>AG LINDAS</v>
      </c>
      <c r="O159">
        <v>107</v>
      </c>
      <c r="P159" t="str">
        <f>VLOOKUP(O159,[1]OPERADORES!$A:$B,2,0)</f>
        <v>DAIANA PORTELA</v>
      </c>
      <c r="Q159">
        <v>7</v>
      </c>
      <c r="S159" t="s">
        <v>409</v>
      </c>
      <c r="T159" s="1">
        <v>45618</v>
      </c>
      <c r="U159">
        <v>-0.02</v>
      </c>
      <c r="V159">
        <v>-0.02</v>
      </c>
    </row>
    <row r="160" spans="1:22" x14ac:dyDescent="0.3">
      <c r="A160" t="s">
        <v>391</v>
      </c>
      <c r="B160" t="s">
        <v>32</v>
      </c>
      <c r="C160" t="s">
        <v>13</v>
      </c>
      <c r="D160" t="s">
        <v>352</v>
      </c>
      <c r="E160" t="s">
        <v>15</v>
      </c>
      <c r="J160" s="1">
        <v>45632</v>
      </c>
      <c r="K160">
        <v>452</v>
      </c>
      <c r="L160" t="s">
        <v>410</v>
      </c>
      <c r="M160">
        <v>16</v>
      </c>
      <c r="N160" t="str">
        <f>VLOOKUP(M160,[1]LOJA!$A:$B,2,0)</f>
        <v>AG LINDAS</v>
      </c>
      <c r="O160">
        <v>107</v>
      </c>
      <c r="P160" t="str">
        <f>VLOOKUP(O160,[1]OPERADORES!$A:$B,2,0)</f>
        <v>DAIANA PORTELA</v>
      </c>
      <c r="Q160">
        <v>7</v>
      </c>
      <c r="S160" t="s">
        <v>411</v>
      </c>
      <c r="T160" s="1">
        <v>45632</v>
      </c>
      <c r="U160">
        <v>-0.06</v>
      </c>
      <c r="V160">
        <v>-0.06</v>
      </c>
    </row>
    <row r="161" spans="1:22" x14ac:dyDescent="0.3">
      <c r="A161" t="s">
        <v>391</v>
      </c>
      <c r="B161" t="s">
        <v>32</v>
      </c>
      <c r="C161" t="s">
        <v>13</v>
      </c>
      <c r="D161" t="s">
        <v>352</v>
      </c>
      <c r="E161" t="s">
        <v>15</v>
      </c>
      <c r="J161" s="1">
        <v>45632</v>
      </c>
      <c r="K161">
        <v>452</v>
      </c>
      <c r="L161" t="s">
        <v>412</v>
      </c>
      <c r="M161">
        <v>16</v>
      </c>
      <c r="N161" t="str">
        <f>VLOOKUP(M161,[1]LOJA!$A:$B,2,0)</f>
        <v>AG LINDAS</v>
      </c>
      <c r="O161">
        <v>107</v>
      </c>
      <c r="P161" t="str">
        <f>VLOOKUP(O161,[1]OPERADORES!$A:$B,2,0)</f>
        <v>DAIANA PORTELA</v>
      </c>
      <c r="Q161">
        <v>7</v>
      </c>
      <c r="S161" t="s">
        <v>401</v>
      </c>
      <c r="T161" s="1">
        <v>45632</v>
      </c>
      <c r="U161">
        <v>-0.01</v>
      </c>
      <c r="V161">
        <v>-0.01</v>
      </c>
    </row>
    <row r="162" spans="1:22" x14ac:dyDescent="0.3">
      <c r="A162" t="s">
        <v>391</v>
      </c>
      <c r="B162" t="s">
        <v>32</v>
      </c>
      <c r="C162" t="s">
        <v>13</v>
      </c>
      <c r="D162" t="s">
        <v>352</v>
      </c>
      <c r="E162" t="s">
        <v>15</v>
      </c>
      <c r="J162" s="1">
        <v>45680</v>
      </c>
      <c r="K162">
        <v>404</v>
      </c>
      <c r="L162" t="s">
        <v>413</v>
      </c>
      <c r="M162">
        <v>16</v>
      </c>
      <c r="N162" t="str">
        <f>VLOOKUP(M162,[1]LOJA!$A:$B,2,0)</f>
        <v>AG LINDAS</v>
      </c>
      <c r="O162">
        <v>107</v>
      </c>
      <c r="P162" t="str">
        <f>VLOOKUP(O162,[1]OPERADORES!$A:$B,2,0)</f>
        <v>DAIANA PORTELA</v>
      </c>
      <c r="Q162">
        <v>7</v>
      </c>
      <c r="S162" t="s">
        <v>414</v>
      </c>
      <c r="T162" s="1">
        <v>45680</v>
      </c>
      <c r="U162">
        <v>-0.38</v>
      </c>
      <c r="V162">
        <v>-0.38</v>
      </c>
    </row>
    <row r="163" spans="1:22" x14ac:dyDescent="0.3">
      <c r="A163" t="s">
        <v>391</v>
      </c>
      <c r="B163" t="s">
        <v>32</v>
      </c>
      <c r="C163" t="s">
        <v>13</v>
      </c>
      <c r="D163" t="s">
        <v>352</v>
      </c>
      <c r="E163" t="s">
        <v>15</v>
      </c>
      <c r="J163" s="1">
        <v>45686</v>
      </c>
      <c r="K163">
        <v>398</v>
      </c>
      <c r="L163" t="s">
        <v>415</v>
      </c>
      <c r="M163">
        <v>16</v>
      </c>
      <c r="N163" t="str">
        <f>VLOOKUP(M163,[1]LOJA!$A:$B,2,0)</f>
        <v>AG LINDAS</v>
      </c>
      <c r="O163">
        <v>107</v>
      </c>
      <c r="P163" t="str">
        <f>VLOOKUP(O163,[1]OPERADORES!$A:$B,2,0)</f>
        <v>DAIANA PORTELA</v>
      </c>
      <c r="Q163">
        <v>7</v>
      </c>
      <c r="S163" t="s">
        <v>416</v>
      </c>
      <c r="T163" s="1">
        <v>45686</v>
      </c>
      <c r="U163">
        <v>-0.45</v>
      </c>
      <c r="V163">
        <v>-0.45</v>
      </c>
    </row>
    <row r="164" spans="1:22" x14ac:dyDescent="0.3">
      <c r="A164" t="s">
        <v>391</v>
      </c>
      <c r="B164" t="s">
        <v>32</v>
      </c>
      <c r="C164" t="s">
        <v>13</v>
      </c>
      <c r="D164" t="s">
        <v>352</v>
      </c>
      <c r="E164" t="s">
        <v>15</v>
      </c>
      <c r="J164" s="1">
        <v>45688</v>
      </c>
      <c r="K164">
        <v>396</v>
      </c>
      <c r="L164" t="s">
        <v>417</v>
      </c>
      <c r="M164">
        <v>16</v>
      </c>
      <c r="N164" t="str">
        <f>VLOOKUP(M164,[1]LOJA!$A:$B,2,0)</f>
        <v>AG LINDAS</v>
      </c>
      <c r="O164">
        <v>107</v>
      </c>
      <c r="P164" t="str">
        <f>VLOOKUP(O164,[1]OPERADORES!$A:$B,2,0)</f>
        <v>DAIANA PORTELA</v>
      </c>
      <c r="Q164">
        <v>7</v>
      </c>
      <c r="S164" t="s">
        <v>418</v>
      </c>
      <c r="T164" s="1">
        <v>45688</v>
      </c>
      <c r="U164">
        <v>-0.01</v>
      </c>
      <c r="V164">
        <v>-0.01</v>
      </c>
    </row>
    <row r="165" spans="1:22" x14ac:dyDescent="0.3">
      <c r="A165" t="s">
        <v>391</v>
      </c>
      <c r="B165" t="s">
        <v>32</v>
      </c>
      <c r="C165" t="s">
        <v>13</v>
      </c>
      <c r="D165" t="s">
        <v>352</v>
      </c>
      <c r="E165" t="s">
        <v>15</v>
      </c>
      <c r="J165" s="1">
        <v>45696</v>
      </c>
      <c r="K165">
        <v>388</v>
      </c>
      <c r="L165" t="s">
        <v>419</v>
      </c>
      <c r="M165">
        <v>16</v>
      </c>
      <c r="N165" t="str">
        <f>VLOOKUP(M165,[1]LOJA!$A:$B,2,0)</f>
        <v>AG LINDAS</v>
      </c>
      <c r="O165">
        <v>107</v>
      </c>
      <c r="P165" t="str">
        <f>VLOOKUP(O165,[1]OPERADORES!$A:$B,2,0)</f>
        <v>DAIANA PORTELA</v>
      </c>
      <c r="Q165">
        <v>7</v>
      </c>
      <c r="S165" t="s">
        <v>420</v>
      </c>
      <c r="T165" s="1">
        <v>45696</v>
      </c>
      <c r="U165">
        <v>-0.6</v>
      </c>
      <c r="V165">
        <v>-0.6</v>
      </c>
    </row>
    <row r="166" spans="1:22" x14ac:dyDescent="0.3">
      <c r="A166" t="s">
        <v>391</v>
      </c>
      <c r="B166" t="s">
        <v>32</v>
      </c>
      <c r="C166" t="s">
        <v>13</v>
      </c>
      <c r="D166" t="s">
        <v>352</v>
      </c>
      <c r="E166" t="s">
        <v>15</v>
      </c>
      <c r="J166" s="1">
        <v>45699</v>
      </c>
      <c r="K166">
        <v>385</v>
      </c>
      <c r="L166" t="s">
        <v>421</v>
      </c>
      <c r="M166">
        <v>16</v>
      </c>
      <c r="N166" t="str">
        <f>VLOOKUP(M166,[1]LOJA!$A:$B,2,0)</f>
        <v>AG LINDAS</v>
      </c>
      <c r="O166">
        <v>107</v>
      </c>
      <c r="P166" t="str">
        <f>VLOOKUP(O166,[1]OPERADORES!$A:$B,2,0)</f>
        <v>DAIANA PORTELA</v>
      </c>
      <c r="Q166">
        <v>7</v>
      </c>
      <c r="S166" t="s">
        <v>422</v>
      </c>
      <c r="T166" s="1">
        <v>45699</v>
      </c>
      <c r="U166">
        <v>-0.1</v>
      </c>
      <c r="V166">
        <v>-0.1</v>
      </c>
    </row>
    <row r="167" spans="1:22" x14ac:dyDescent="0.3">
      <c r="A167" t="s">
        <v>391</v>
      </c>
      <c r="B167" t="s">
        <v>32</v>
      </c>
      <c r="C167" t="s">
        <v>13</v>
      </c>
      <c r="D167" t="s">
        <v>352</v>
      </c>
      <c r="E167" t="s">
        <v>15</v>
      </c>
      <c r="J167" s="1">
        <v>45706</v>
      </c>
      <c r="K167">
        <v>378</v>
      </c>
      <c r="L167" t="s">
        <v>423</v>
      </c>
      <c r="M167">
        <v>16</v>
      </c>
      <c r="N167" t="str">
        <f>VLOOKUP(M167,[1]LOJA!$A:$B,2,0)</f>
        <v>AG LINDAS</v>
      </c>
      <c r="O167">
        <v>107</v>
      </c>
      <c r="P167" t="str">
        <f>VLOOKUP(O167,[1]OPERADORES!$A:$B,2,0)</f>
        <v>DAIANA PORTELA</v>
      </c>
      <c r="Q167">
        <v>7</v>
      </c>
      <c r="S167" t="s">
        <v>424</v>
      </c>
      <c r="T167" s="1">
        <v>45706</v>
      </c>
      <c r="U167">
        <v>-0.06</v>
      </c>
      <c r="V167">
        <v>-0.06</v>
      </c>
    </row>
    <row r="168" spans="1:22" x14ac:dyDescent="0.3">
      <c r="A168" t="s">
        <v>391</v>
      </c>
      <c r="B168" t="s">
        <v>32</v>
      </c>
      <c r="C168" t="s">
        <v>13</v>
      </c>
      <c r="D168" t="s">
        <v>352</v>
      </c>
      <c r="E168" t="s">
        <v>15</v>
      </c>
      <c r="J168" s="1">
        <v>45707</v>
      </c>
      <c r="K168">
        <v>377</v>
      </c>
      <c r="L168" t="s">
        <v>425</v>
      </c>
      <c r="M168">
        <v>16</v>
      </c>
      <c r="N168" t="str">
        <f>VLOOKUP(M168,[1]LOJA!$A:$B,2,0)</f>
        <v>AG LINDAS</v>
      </c>
      <c r="O168">
        <v>107</v>
      </c>
      <c r="P168" t="str">
        <f>VLOOKUP(O168,[1]OPERADORES!$A:$B,2,0)</f>
        <v>DAIANA PORTELA</v>
      </c>
      <c r="Q168">
        <v>7</v>
      </c>
      <c r="S168" t="s">
        <v>426</v>
      </c>
      <c r="T168" s="1">
        <v>45707</v>
      </c>
      <c r="U168">
        <v>-0.36</v>
      </c>
      <c r="V168">
        <v>-0.36</v>
      </c>
    </row>
    <row r="169" spans="1:22" x14ac:dyDescent="0.3">
      <c r="A169" t="s">
        <v>391</v>
      </c>
      <c r="B169" t="s">
        <v>32</v>
      </c>
      <c r="C169" t="s">
        <v>13</v>
      </c>
      <c r="D169" t="s">
        <v>352</v>
      </c>
      <c r="E169" t="s">
        <v>15</v>
      </c>
      <c r="J169" s="1">
        <v>45727</v>
      </c>
      <c r="K169">
        <v>357</v>
      </c>
      <c r="L169" t="s">
        <v>427</v>
      </c>
      <c r="M169">
        <v>16</v>
      </c>
      <c r="N169" t="str">
        <f>VLOOKUP(M169,[1]LOJA!$A:$B,2,0)</f>
        <v>AG LINDAS</v>
      </c>
      <c r="O169">
        <v>107</v>
      </c>
      <c r="P169" t="str">
        <f>VLOOKUP(O169,[1]OPERADORES!$A:$B,2,0)</f>
        <v>DAIANA PORTELA</v>
      </c>
      <c r="Q169">
        <v>7</v>
      </c>
      <c r="S169" t="s">
        <v>428</v>
      </c>
      <c r="T169" s="1">
        <v>45727</v>
      </c>
      <c r="U169">
        <v>-0.6</v>
      </c>
      <c r="V169">
        <v>-0.6</v>
      </c>
    </row>
    <row r="170" spans="1:22" x14ac:dyDescent="0.3">
      <c r="A170" t="s">
        <v>391</v>
      </c>
      <c r="B170" t="s">
        <v>32</v>
      </c>
      <c r="C170" t="s">
        <v>13</v>
      </c>
      <c r="D170" t="s">
        <v>352</v>
      </c>
      <c r="E170" t="s">
        <v>15</v>
      </c>
      <c r="J170" s="1">
        <v>45734</v>
      </c>
      <c r="K170">
        <v>350</v>
      </c>
      <c r="L170" t="s">
        <v>429</v>
      </c>
      <c r="M170">
        <v>16</v>
      </c>
      <c r="N170" t="str">
        <f>VLOOKUP(M170,[1]LOJA!$A:$B,2,0)</f>
        <v>AG LINDAS</v>
      </c>
      <c r="O170">
        <v>107</v>
      </c>
      <c r="P170" t="str">
        <f>VLOOKUP(O170,[1]OPERADORES!$A:$B,2,0)</f>
        <v>DAIANA PORTELA</v>
      </c>
      <c r="Q170">
        <v>7</v>
      </c>
      <c r="S170" t="s">
        <v>430</v>
      </c>
      <c r="T170" s="1">
        <v>45734</v>
      </c>
      <c r="U170">
        <v>-0.1</v>
      </c>
      <c r="V170">
        <v>-0.1</v>
      </c>
    </row>
    <row r="171" spans="1:22" x14ac:dyDescent="0.3">
      <c r="A171" t="s">
        <v>391</v>
      </c>
      <c r="B171" t="s">
        <v>32</v>
      </c>
      <c r="C171" t="s">
        <v>13</v>
      </c>
      <c r="D171" t="s">
        <v>352</v>
      </c>
      <c r="E171" t="s">
        <v>15</v>
      </c>
      <c r="J171" s="1">
        <v>45740</v>
      </c>
      <c r="K171">
        <v>344</v>
      </c>
      <c r="L171" t="s">
        <v>431</v>
      </c>
      <c r="M171">
        <v>16</v>
      </c>
      <c r="N171" t="str">
        <f>VLOOKUP(M171,[1]LOJA!$A:$B,2,0)</f>
        <v>AG LINDAS</v>
      </c>
      <c r="O171">
        <v>107</v>
      </c>
      <c r="P171" t="str">
        <f>VLOOKUP(O171,[1]OPERADORES!$A:$B,2,0)</f>
        <v>DAIANA PORTELA</v>
      </c>
      <c r="Q171">
        <v>7</v>
      </c>
      <c r="S171" t="s">
        <v>432</v>
      </c>
      <c r="T171" s="1">
        <v>45740</v>
      </c>
      <c r="U171">
        <v>-0.2</v>
      </c>
      <c r="V171">
        <v>-0.2</v>
      </c>
    </row>
    <row r="172" spans="1:22" x14ac:dyDescent="0.3">
      <c r="A172" t="s">
        <v>391</v>
      </c>
      <c r="B172" t="s">
        <v>32</v>
      </c>
      <c r="C172" t="s">
        <v>13</v>
      </c>
      <c r="D172" t="s">
        <v>352</v>
      </c>
      <c r="E172" t="s">
        <v>15</v>
      </c>
      <c r="J172" s="1">
        <v>45741</v>
      </c>
      <c r="K172">
        <v>343</v>
      </c>
      <c r="L172" t="s">
        <v>433</v>
      </c>
      <c r="M172">
        <v>16</v>
      </c>
      <c r="N172" t="str">
        <f>VLOOKUP(M172,[1]LOJA!$A:$B,2,0)</f>
        <v>AG LINDAS</v>
      </c>
      <c r="O172">
        <v>107</v>
      </c>
      <c r="P172" t="str">
        <f>VLOOKUP(O172,[1]OPERADORES!$A:$B,2,0)</f>
        <v>DAIANA PORTELA</v>
      </c>
      <c r="Q172">
        <v>7</v>
      </c>
      <c r="S172" t="s">
        <v>422</v>
      </c>
      <c r="T172" s="1">
        <v>45741</v>
      </c>
      <c r="U172">
        <v>-0.2</v>
      </c>
      <c r="V172">
        <v>-0.2</v>
      </c>
    </row>
    <row r="173" spans="1:22" x14ac:dyDescent="0.3">
      <c r="A173" t="s">
        <v>391</v>
      </c>
      <c r="B173" t="s">
        <v>32</v>
      </c>
      <c r="C173" t="s">
        <v>13</v>
      </c>
      <c r="D173" t="s">
        <v>352</v>
      </c>
      <c r="E173" t="s">
        <v>15</v>
      </c>
      <c r="J173" s="1">
        <v>45742</v>
      </c>
      <c r="K173">
        <v>342</v>
      </c>
      <c r="L173" t="s">
        <v>434</v>
      </c>
      <c r="M173">
        <v>16</v>
      </c>
      <c r="N173" t="str">
        <f>VLOOKUP(M173,[1]LOJA!$A:$B,2,0)</f>
        <v>AG LINDAS</v>
      </c>
      <c r="O173">
        <v>107</v>
      </c>
      <c r="P173" t="str">
        <f>VLOOKUP(O173,[1]OPERADORES!$A:$B,2,0)</f>
        <v>DAIANA PORTELA</v>
      </c>
      <c r="Q173">
        <v>7</v>
      </c>
      <c r="S173" t="s">
        <v>435</v>
      </c>
      <c r="T173" s="1">
        <v>45742</v>
      </c>
      <c r="U173">
        <v>-0.2</v>
      </c>
      <c r="V173">
        <v>-0.2</v>
      </c>
    </row>
    <row r="174" spans="1:22" x14ac:dyDescent="0.3">
      <c r="A174" t="s">
        <v>391</v>
      </c>
      <c r="B174" t="s">
        <v>32</v>
      </c>
      <c r="C174" t="s">
        <v>13</v>
      </c>
      <c r="D174" t="s">
        <v>352</v>
      </c>
      <c r="E174" t="s">
        <v>15</v>
      </c>
      <c r="J174" s="1">
        <v>45744</v>
      </c>
      <c r="K174">
        <v>340</v>
      </c>
      <c r="L174" t="s">
        <v>436</v>
      </c>
      <c r="M174">
        <v>16</v>
      </c>
      <c r="N174" t="str">
        <f>VLOOKUP(M174,[1]LOJA!$A:$B,2,0)</f>
        <v>AG LINDAS</v>
      </c>
      <c r="O174">
        <v>107</v>
      </c>
      <c r="P174" t="str">
        <f>VLOOKUP(O174,[1]OPERADORES!$A:$B,2,0)</f>
        <v>DAIANA PORTELA</v>
      </c>
      <c r="Q174">
        <v>7</v>
      </c>
      <c r="S174" t="s">
        <v>397</v>
      </c>
      <c r="T174" s="1">
        <v>45744</v>
      </c>
      <c r="U174">
        <v>-0.1</v>
      </c>
      <c r="V174">
        <v>-0.1</v>
      </c>
    </row>
    <row r="175" spans="1:22" x14ac:dyDescent="0.3">
      <c r="A175" t="s">
        <v>391</v>
      </c>
      <c r="B175" t="s">
        <v>32</v>
      </c>
      <c r="C175" t="s">
        <v>13</v>
      </c>
      <c r="D175" t="s">
        <v>352</v>
      </c>
      <c r="E175" t="s">
        <v>15</v>
      </c>
      <c r="J175" s="1">
        <v>45756</v>
      </c>
      <c r="K175">
        <v>328</v>
      </c>
      <c r="L175" t="s">
        <v>437</v>
      </c>
      <c r="M175">
        <v>16</v>
      </c>
      <c r="N175" t="str">
        <f>VLOOKUP(M175,[1]LOJA!$A:$B,2,0)</f>
        <v>AG LINDAS</v>
      </c>
      <c r="O175">
        <v>107</v>
      </c>
      <c r="P175" t="str">
        <f>VLOOKUP(O175,[1]OPERADORES!$A:$B,2,0)</f>
        <v>DAIANA PORTELA</v>
      </c>
      <c r="Q175">
        <v>7</v>
      </c>
      <c r="S175" t="s">
        <v>438</v>
      </c>
      <c r="T175" s="1">
        <v>45756</v>
      </c>
      <c r="U175">
        <v>-0.5</v>
      </c>
      <c r="V175">
        <v>-0.5</v>
      </c>
    </row>
    <row r="176" spans="1:22" x14ac:dyDescent="0.3">
      <c r="A176" t="s">
        <v>391</v>
      </c>
      <c r="B176" t="s">
        <v>32</v>
      </c>
      <c r="C176" t="s">
        <v>13</v>
      </c>
      <c r="D176" t="s">
        <v>352</v>
      </c>
      <c r="E176" t="s">
        <v>15</v>
      </c>
      <c r="J176" s="1">
        <v>45763</v>
      </c>
      <c r="K176">
        <v>321</v>
      </c>
      <c r="L176" t="s">
        <v>439</v>
      </c>
      <c r="M176">
        <v>16</v>
      </c>
      <c r="N176" t="str">
        <f>VLOOKUP(M176,[1]LOJA!$A:$B,2,0)</f>
        <v>AG LINDAS</v>
      </c>
      <c r="O176">
        <v>107</v>
      </c>
      <c r="P176" t="str">
        <f>VLOOKUP(O176,[1]OPERADORES!$A:$B,2,0)</f>
        <v>DAIANA PORTELA</v>
      </c>
      <c r="Q176">
        <v>7</v>
      </c>
      <c r="S176" t="s">
        <v>440</v>
      </c>
      <c r="T176" s="1">
        <v>45763</v>
      </c>
      <c r="U176">
        <v>-0.38</v>
      </c>
      <c r="V176">
        <v>-0.38</v>
      </c>
    </row>
    <row r="177" spans="1:22" x14ac:dyDescent="0.3">
      <c r="A177" t="s">
        <v>391</v>
      </c>
      <c r="B177" t="s">
        <v>32</v>
      </c>
      <c r="C177" t="s">
        <v>13</v>
      </c>
      <c r="D177" t="s">
        <v>352</v>
      </c>
      <c r="E177" t="s">
        <v>15</v>
      </c>
      <c r="J177" s="1">
        <v>45782</v>
      </c>
      <c r="K177">
        <v>302</v>
      </c>
      <c r="L177" t="s">
        <v>441</v>
      </c>
      <c r="M177">
        <v>16</v>
      </c>
      <c r="N177" t="str">
        <f>VLOOKUP(M177,[1]LOJA!$A:$B,2,0)</f>
        <v>AG LINDAS</v>
      </c>
      <c r="O177">
        <v>107</v>
      </c>
      <c r="P177" t="str">
        <f>VLOOKUP(O177,[1]OPERADORES!$A:$B,2,0)</f>
        <v>DAIANA PORTELA</v>
      </c>
      <c r="Q177">
        <v>7</v>
      </c>
      <c r="S177" t="s">
        <v>442</v>
      </c>
      <c r="T177" s="1">
        <v>45782</v>
      </c>
      <c r="U177">
        <v>-1</v>
      </c>
      <c r="V177">
        <v>-1</v>
      </c>
    </row>
    <row r="178" spans="1:22" x14ac:dyDescent="0.3">
      <c r="A178" t="s">
        <v>391</v>
      </c>
      <c r="B178" t="s">
        <v>32</v>
      </c>
      <c r="C178" t="s">
        <v>13</v>
      </c>
      <c r="D178" t="s">
        <v>352</v>
      </c>
      <c r="E178" t="s">
        <v>15</v>
      </c>
      <c r="J178" s="1">
        <v>45784</v>
      </c>
      <c r="K178">
        <v>300</v>
      </c>
      <c r="L178" t="s">
        <v>443</v>
      </c>
      <c r="M178">
        <v>16</v>
      </c>
      <c r="N178" t="str">
        <f>VLOOKUP(M178,[1]LOJA!$A:$B,2,0)</f>
        <v>AG LINDAS</v>
      </c>
      <c r="O178">
        <v>107</v>
      </c>
      <c r="P178" t="str">
        <f>VLOOKUP(O178,[1]OPERADORES!$A:$B,2,0)</f>
        <v>DAIANA PORTELA</v>
      </c>
      <c r="Q178">
        <v>7</v>
      </c>
      <c r="S178" t="s">
        <v>444</v>
      </c>
      <c r="T178" s="1">
        <v>45784</v>
      </c>
      <c r="U178">
        <v>-3.41</v>
      </c>
      <c r="V178">
        <v>-3.41</v>
      </c>
    </row>
    <row r="179" spans="1:22" x14ac:dyDescent="0.3">
      <c r="A179" t="s">
        <v>391</v>
      </c>
      <c r="B179" t="s">
        <v>32</v>
      </c>
      <c r="C179" t="s">
        <v>13</v>
      </c>
      <c r="D179" t="s">
        <v>352</v>
      </c>
      <c r="E179" t="s">
        <v>15</v>
      </c>
      <c r="J179" s="1">
        <v>45786</v>
      </c>
      <c r="K179">
        <v>298</v>
      </c>
      <c r="L179" t="s">
        <v>445</v>
      </c>
      <c r="M179">
        <v>16</v>
      </c>
      <c r="N179" t="str">
        <f>VLOOKUP(M179,[1]LOJA!$A:$B,2,0)</f>
        <v>AG LINDAS</v>
      </c>
      <c r="O179">
        <v>107</v>
      </c>
      <c r="P179" t="str">
        <f>VLOOKUP(O179,[1]OPERADORES!$A:$B,2,0)</f>
        <v>DAIANA PORTELA</v>
      </c>
      <c r="Q179">
        <v>7</v>
      </c>
      <c r="S179" t="s">
        <v>446</v>
      </c>
      <c r="T179" s="1">
        <v>45786</v>
      </c>
      <c r="U179">
        <v>-0.1</v>
      </c>
      <c r="V179">
        <v>-0.1</v>
      </c>
    </row>
    <row r="180" spans="1:22" x14ac:dyDescent="0.3">
      <c r="A180" t="s">
        <v>391</v>
      </c>
      <c r="B180" t="s">
        <v>32</v>
      </c>
      <c r="C180" t="s">
        <v>13</v>
      </c>
      <c r="D180" t="s">
        <v>352</v>
      </c>
      <c r="E180" t="s">
        <v>15</v>
      </c>
      <c r="J180" s="1">
        <v>45789</v>
      </c>
      <c r="K180">
        <v>295</v>
      </c>
      <c r="L180" t="s">
        <v>447</v>
      </c>
      <c r="M180">
        <v>16</v>
      </c>
      <c r="N180" t="str">
        <f>VLOOKUP(M180,[1]LOJA!$A:$B,2,0)</f>
        <v>AG LINDAS</v>
      </c>
      <c r="O180">
        <v>107</v>
      </c>
      <c r="P180" t="str">
        <f>VLOOKUP(O180,[1]OPERADORES!$A:$B,2,0)</f>
        <v>DAIANA PORTELA</v>
      </c>
      <c r="Q180">
        <v>7</v>
      </c>
      <c r="S180" t="s">
        <v>448</v>
      </c>
      <c r="T180" s="1">
        <v>45789</v>
      </c>
      <c r="U180">
        <v>-1.24</v>
      </c>
      <c r="V180">
        <v>-1.24</v>
      </c>
    </row>
    <row r="181" spans="1:22" x14ac:dyDescent="0.3">
      <c r="A181" t="s">
        <v>391</v>
      </c>
      <c r="B181" t="s">
        <v>32</v>
      </c>
      <c r="C181" t="s">
        <v>13</v>
      </c>
      <c r="D181" t="s">
        <v>352</v>
      </c>
      <c r="E181" t="s">
        <v>15</v>
      </c>
      <c r="J181" s="1">
        <v>45790</v>
      </c>
      <c r="K181">
        <v>294</v>
      </c>
      <c r="L181" t="s">
        <v>449</v>
      </c>
      <c r="M181">
        <v>16</v>
      </c>
      <c r="N181" t="str">
        <f>VLOOKUP(M181,[1]LOJA!$A:$B,2,0)</f>
        <v>AG LINDAS</v>
      </c>
      <c r="O181">
        <v>107</v>
      </c>
      <c r="P181" t="str">
        <f>VLOOKUP(O181,[1]OPERADORES!$A:$B,2,0)</f>
        <v>DAIANA PORTELA</v>
      </c>
      <c r="Q181">
        <v>7</v>
      </c>
      <c r="S181" t="s">
        <v>450</v>
      </c>
      <c r="T181" s="1">
        <v>45790</v>
      </c>
      <c r="U181">
        <v>-1.88</v>
      </c>
      <c r="V181">
        <v>-1.88</v>
      </c>
    </row>
    <row r="182" spans="1:22" x14ac:dyDescent="0.3">
      <c r="A182" t="s">
        <v>391</v>
      </c>
      <c r="B182" t="s">
        <v>32</v>
      </c>
      <c r="C182" t="s">
        <v>13</v>
      </c>
      <c r="D182" t="s">
        <v>352</v>
      </c>
      <c r="E182" t="s">
        <v>15</v>
      </c>
      <c r="J182" s="1">
        <v>45792</v>
      </c>
      <c r="K182">
        <v>292</v>
      </c>
      <c r="L182" t="s">
        <v>451</v>
      </c>
      <c r="M182">
        <v>16</v>
      </c>
      <c r="N182" t="str">
        <f>VLOOKUP(M182,[1]LOJA!$A:$B,2,0)</f>
        <v>AG LINDAS</v>
      </c>
      <c r="O182">
        <v>107</v>
      </c>
      <c r="P182" t="str">
        <f>VLOOKUP(O182,[1]OPERADORES!$A:$B,2,0)</f>
        <v>DAIANA PORTELA</v>
      </c>
      <c r="Q182">
        <v>7</v>
      </c>
      <c r="S182" t="s">
        <v>452</v>
      </c>
      <c r="T182" s="1">
        <v>45792</v>
      </c>
      <c r="U182">
        <v>-1.01</v>
      </c>
      <c r="V182">
        <v>-1.01</v>
      </c>
    </row>
    <row r="183" spans="1:22" x14ac:dyDescent="0.3">
      <c r="A183" t="s">
        <v>391</v>
      </c>
      <c r="B183" t="s">
        <v>32</v>
      </c>
      <c r="C183" t="s">
        <v>13</v>
      </c>
      <c r="D183" t="s">
        <v>352</v>
      </c>
      <c r="E183" t="s">
        <v>15</v>
      </c>
      <c r="J183" s="1">
        <v>45798</v>
      </c>
      <c r="K183">
        <v>286</v>
      </c>
      <c r="L183" t="s">
        <v>453</v>
      </c>
      <c r="M183">
        <v>16</v>
      </c>
      <c r="N183" t="str">
        <f>VLOOKUP(M183,[1]LOJA!$A:$B,2,0)</f>
        <v>AG LINDAS</v>
      </c>
      <c r="O183">
        <v>107</v>
      </c>
      <c r="P183" t="str">
        <f>VLOOKUP(O183,[1]OPERADORES!$A:$B,2,0)</f>
        <v>DAIANA PORTELA</v>
      </c>
      <c r="Q183">
        <v>7</v>
      </c>
      <c r="S183" t="s">
        <v>422</v>
      </c>
      <c r="T183" s="1">
        <v>45798</v>
      </c>
      <c r="U183">
        <v>-3.75</v>
      </c>
      <c r="V183">
        <v>-3.75</v>
      </c>
    </row>
    <row r="184" spans="1:22" x14ac:dyDescent="0.3">
      <c r="A184" t="s">
        <v>391</v>
      </c>
      <c r="B184" t="s">
        <v>32</v>
      </c>
      <c r="C184" t="s">
        <v>13</v>
      </c>
      <c r="D184" t="s">
        <v>352</v>
      </c>
      <c r="E184" t="s">
        <v>15</v>
      </c>
      <c r="J184" s="1">
        <v>45810</v>
      </c>
      <c r="K184">
        <v>274</v>
      </c>
      <c r="L184" t="s">
        <v>454</v>
      </c>
      <c r="M184">
        <v>16</v>
      </c>
      <c r="N184" t="str">
        <f>VLOOKUP(M184,[1]LOJA!$A:$B,2,0)</f>
        <v>AG LINDAS</v>
      </c>
      <c r="O184">
        <v>107</v>
      </c>
      <c r="P184" t="str">
        <f>VLOOKUP(O184,[1]OPERADORES!$A:$B,2,0)</f>
        <v>DAIANA PORTELA</v>
      </c>
      <c r="Q184">
        <v>7</v>
      </c>
      <c r="S184" t="s">
        <v>455</v>
      </c>
      <c r="T184" s="1">
        <v>45807</v>
      </c>
      <c r="U184">
        <v>-1.4</v>
      </c>
      <c r="V184">
        <v>-1.4</v>
      </c>
    </row>
    <row r="185" spans="1:22" x14ac:dyDescent="0.3">
      <c r="A185" t="s">
        <v>391</v>
      </c>
      <c r="B185" t="s">
        <v>32</v>
      </c>
      <c r="C185" t="s">
        <v>13</v>
      </c>
      <c r="D185" t="s">
        <v>352</v>
      </c>
      <c r="E185" t="s">
        <v>15</v>
      </c>
      <c r="J185" s="1">
        <v>45813</v>
      </c>
      <c r="K185">
        <v>271</v>
      </c>
      <c r="L185" t="s">
        <v>456</v>
      </c>
      <c r="M185">
        <v>16</v>
      </c>
      <c r="N185" t="str">
        <f>VLOOKUP(M185,[1]LOJA!$A:$B,2,0)</f>
        <v>AG LINDAS</v>
      </c>
      <c r="O185">
        <v>107</v>
      </c>
      <c r="P185" t="str">
        <f>VLOOKUP(O185,[1]OPERADORES!$A:$B,2,0)</f>
        <v>DAIANA PORTELA</v>
      </c>
      <c r="Q185">
        <v>7</v>
      </c>
      <c r="S185" t="s">
        <v>457</v>
      </c>
      <c r="T185" s="1">
        <v>45813</v>
      </c>
      <c r="U185">
        <v>-0.38</v>
      </c>
      <c r="V185">
        <v>-0.38</v>
      </c>
    </row>
    <row r="186" spans="1:22" x14ac:dyDescent="0.3">
      <c r="A186" t="s">
        <v>391</v>
      </c>
      <c r="B186" t="s">
        <v>32</v>
      </c>
      <c r="C186" t="s">
        <v>13</v>
      </c>
      <c r="D186" t="s">
        <v>352</v>
      </c>
      <c r="E186" t="s">
        <v>15</v>
      </c>
      <c r="J186" s="1">
        <v>45814</v>
      </c>
      <c r="K186">
        <v>270</v>
      </c>
      <c r="L186" t="s">
        <v>458</v>
      </c>
      <c r="M186">
        <v>16</v>
      </c>
      <c r="N186" t="str">
        <f>VLOOKUP(M186,[1]LOJA!$A:$B,2,0)</f>
        <v>AG LINDAS</v>
      </c>
      <c r="O186">
        <v>107</v>
      </c>
      <c r="P186" t="str">
        <f>VLOOKUP(O186,[1]OPERADORES!$A:$B,2,0)</f>
        <v>DAIANA PORTELA</v>
      </c>
      <c r="Q186">
        <v>7</v>
      </c>
      <c r="S186" t="s">
        <v>459</v>
      </c>
      <c r="T186" s="1">
        <v>45814</v>
      </c>
      <c r="U186">
        <v>-0.19</v>
      </c>
      <c r="V186">
        <v>-0.19</v>
      </c>
    </row>
    <row r="187" spans="1:22" x14ac:dyDescent="0.3">
      <c r="A187" t="s">
        <v>391</v>
      </c>
      <c r="B187" t="s">
        <v>32</v>
      </c>
      <c r="C187" t="s">
        <v>13</v>
      </c>
      <c r="D187" t="s">
        <v>352</v>
      </c>
      <c r="E187" t="s">
        <v>15</v>
      </c>
      <c r="J187" s="1">
        <v>45820</v>
      </c>
      <c r="K187">
        <v>264</v>
      </c>
      <c r="L187" t="s">
        <v>460</v>
      </c>
      <c r="M187">
        <v>16</v>
      </c>
      <c r="N187" t="str">
        <f>VLOOKUP(M187,[1]LOJA!$A:$B,2,0)</f>
        <v>AG LINDAS</v>
      </c>
      <c r="O187">
        <v>107</v>
      </c>
      <c r="P187" t="str">
        <f>VLOOKUP(O187,[1]OPERADORES!$A:$B,2,0)</f>
        <v>DAIANA PORTELA</v>
      </c>
      <c r="Q187">
        <v>7</v>
      </c>
      <c r="S187" t="s">
        <v>418</v>
      </c>
      <c r="T187" s="1">
        <v>45820</v>
      </c>
      <c r="U187">
        <v>-0.1</v>
      </c>
      <c r="V187">
        <v>-0.1</v>
      </c>
    </row>
    <row r="188" spans="1:22" x14ac:dyDescent="0.3">
      <c r="A188" t="s">
        <v>391</v>
      </c>
      <c r="B188" t="s">
        <v>32</v>
      </c>
      <c r="C188" t="s">
        <v>13</v>
      </c>
      <c r="D188" t="s">
        <v>352</v>
      </c>
      <c r="E188" t="s">
        <v>15</v>
      </c>
      <c r="J188" s="1">
        <v>45835</v>
      </c>
      <c r="K188">
        <v>249</v>
      </c>
      <c r="L188" t="s">
        <v>461</v>
      </c>
      <c r="M188">
        <v>16</v>
      </c>
      <c r="N188" t="str">
        <f>VLOOKUP(M188,[1]LOJA!$A:$B,2,0)</f>
        <v>AG LINDAS</v>
      </c>
      <c r="O188">
        <v>107</v>
      </c>
      <c r="P188" t="str">
        <f>VLOOKUP(O188,[1]OPERADORES!$A:$B,2,0)</f>
        <v>DAIANA PORTELA</v>
      </c>
      <c r="Q188">
        <v>7</v>
      </c>
      <c r="S188" t="s">
        <v>462</v>
      </c>
      <c r="T188" s="1">
        <v>45835</v>
      </c>
      <c r="U188">
        <v>-0.2</v>
      </c>
      <c r="V188">
        <v>-0.2</v>
      </c>
    </row>
    <row r="189" spans="1:22" x14ac:dyDescent="0.3">
      <c r="A189" t="s">
        <v>391</v>
      </c>
      <c r="B189" t="s">
        <v>32</v>
      </c>
      <c r="C189" t="s">
        <v>13</v>
      </c>
      <c r="D189" t="s">
        <v>352</v>
      </c>
      <c r="E189" t="s">
        <v>15</v>
      </c>
      <c r="J189" s="1">
        <v>45874</v>
      </c>
      <c r="K189">
        <v>210</v>
      </c>
      <c r="L189" t="s">
        <v>463</v>
      </c>
      <c r="M189">
        <v>16</v>
      </c>
      <c r="N189" t="str">
        <f>VLOOKUP(M189,[1]LOJA!$A:$B,2,0)</f>
        <v>AG LINDAS</v>
      </c>
      <c r="O189">
        <v>107</v>
      </c>
      <c r="P189" t="str">
        <f>VLOOKUP(O189,[1]OPERADORES!$A:$B,2,0)</f>
        <v>DAIANA PORTELA</v>
      </c>
      <c r="Q189">
        <v>7</v>
      </c>
      <c r="S189" t="s">
        <v>464</v>
      </c>
      <c r="T189" s="1">
        <v>45839</v>
      </c>
      <c r="U189">
        <v>-1.47</v>
      </c>
      <c r="V189">
        <v>-1.47</v>
      </c>
    </row>
    <row r="190" spans="1:22" x14ac:dyDescent="0.3">
      <c r="A190" t="s">
        <v>391</v>
      </c>
      <c r="B190" t="s">
        <v>32</v>
      </c>
      <c r="C190" t="s">
        <v>13</v>
      </c>
      <c r="D190" t="s">
        <v>352</v>
      </c>
      <c r="E190" t="s">
        <v>15</v>
      </c>
      <c r="J190" s="1">
        <v>45890</v>
      </c>
      <c r="K190">
        <v>194</v>
      </c>
      <c r="L190" t="s">
        <v>465</v>
      </c>
      <c r="M190">
        <v>16</v>
      </c>
      <c r="N190" t="str">
        <f>VLOOKUP(M190,[1]LOJA!$A:$B,2,0)</f>
        <v>AG LINDAS</v>
      </c>
      <c r="O190">
        <v>107</v>
      </c>
      <c r="P190" t="str">
        <f>VLOOKUP(O190,[1]OPERADORES!$A:$B,2,0)</f>
        <v>DAIANA PORTELA</v>
      </c>
      <c r="Q190">
        <v>7</v>
      </c>
      <c r="S190" t="s">
        <v>466</v>
      </c>
      <c r="T190" s="1">
        <v>45890</v>
      </c>
      <c r="U190">
        <v>-0.25</v>
      </c>
      <c r="V190">
        <v>-0.25</v>
      </c>
    </row>
    <row r="191" spans="1:22" x14ac:dyDescent="0.3">
      <c r="A191" t="s">
        <v>391</v>
      </c>
      <c r="B191" t="s">
        <v>32</v>
      </c>
      <c r="C191" t="s">
        <v>13</v>
      </c>
      <c r="D191" t="s">
        <v>352</v>
      </c>
      <c r="E191" t="s">
        <v>15</v>
      </c>
      <c r="J191" s="1">
        <v>45890</v>
      </c>
      <c r="K191">
        <v>194</v>
      </c>
      <c r="L191" t="s">
        <v>467</v>
      </c>
      <c r="M191">
        <v>16</v>
      </c>
      <c r="N191" t="str">
        <f>VLOOKUP(M191,[1]LOJA!$A:$B,2,0)</f>
        <v>AG LINDAS</v>
      </c>
      <c r="O191">
        <v>107</v>
      </c>
      <c r="P191" t="str">
        <f>VLOOKUP(O191,[1]OPERADORES!$A:$B,2,0)</f>
        <v>DAIANA PORTELA</v>
      </c>
      <c r="Q191">
        <v>7</v>
      </c>
      <c r="S191" t="s">
        <v>468</v>
      </c>
      <c r="T191" s="1">
        <v>45890</v>
      </c>
      <c r="U191">
        <v>-0.4</v>
      </c>
      <c r="V191">
        <v>-0.4</v>
      </c>
    </row>
    <row r="192" spans="1:22" x14ac:dyDescent="0.3">
      <c r="A192" t="s">
        <v>391</v>
      </c>
      <c r="B192" t="s">
        <v>32</v>
      </c>
      <c r="C192" t="s">
        <v>13</v>
      </c>
      <c r="D192" t="s">
        <v>352</v>
      </c>
      <c r="E192" t="s">
        <v>15</v>
      </c>
      <c r="J192" s="1">
        <v>45911</v>
      </c>
      <c r="K192">
        <v>173</v>
      </c>
      <c r="L192" t="s">
        <v>469</v>
      </c>
      <c r="M192">
        <v>16</v>
      </c>
      <c r="N192" t="str">
        <f>VLOOKUP(M192,[1]LOJA!$A:$B,2,0)</f>
        <v>AG LINDAS</v>
      </c>
      <c r="O192">
        <v>107</v>
      </c>
      <c r="P192" t="str">
        <f>VLOOKUP(O192,[1]OPERADORES!$A:$B,2,0)</f>
        <v>DAIANA PORTELA</v>
      </c>
      <c r="Q192">
        <v>7</v>
      </c>
      <c r="S192" t="s">
        <v>466</v>
      </c>
      <c r="T192" s="1">
        <v>45911</v>
      </c>
      <c r="U192">
        <v>-0.02</v>
      </c>
      <c r="V192">
        <v>-0.02</v>
      </c>
    </row>
    <row r="193" spans="1:22" x14ac:dyDescent="0.3">
      <c r="A193" t="s">
        <v>391</v>
      </c>
      <c r="B193" t="s">
        <v>32</v>
      </c>
      <c r="C193" t="s">
        <v>13</v>
      </c>
      <c r="D193" t="s">
        <v>352</v>
      </c>
      <c r="E193" t="s">
        <v>15</v>
      </c>
      <c r="J193" s="1">
        <v>45918</v>
      </c>
      <c r="K193">
        <v>166</v>
      </c>
      <c r="L193" t="s">
        <v>470</v>
      </c>
      <c r="M193">
        <v>16</v>
      </c>
      <c r="N193" t="str">
        <f>VLOOKUP(M193,[1]LOJA!$A:$B,2,0)</f>
        <v>AG LINDAS</v>
      </c>
      <c r="O193">
        <v>107</v>
      </c>
      <c r="P193" t="str">
        <f>VLOOKUP(O193,[1]OPERADORES!$A:$B,2,0)</f>
        <v>DAIANA PORTELA</v>
      </c>
      <c r="Q193">
        <v>7</v>
      </c>
      <c r="S193" t="s">
        <v>471</v>
      </c>
      <c r="T193" s="1">
        <v>45918</v>
      </c>
      <c r="U193">
        <v>-0.1</v>
      </c>
      <c r="V193">
        <v>-0.1</v>
      </c>
    </row>
    <row r="194" spans="1:22" x14ac:dyDescent="0.3">
      <c r="A194" t="s">
        <v>391</v>
      </c>
      <c r="B194" t="s">
        <v>32</v>
      </c>
      <c r="C194" t="s">
        <v>13</v>
      </c>
      <c r="D194" t="s">
        <v>352</v>
      </c>
      <c r="E194" t="s">
        <v>15</v>
      </c>
      <c r="J194" s="1">
        <v>45922</v>
      </c>
      <c r="K194">
        <v>162</v>
      </c>
      <c r="L194" t="s">
        <v>472</v>
      </c>
      <c r="M194">
        <v>16</v>
      </c>
      <c r="N194" t="str">
        <f>VLOOKUP(M194,[1]LOJA!$A:$B,2,0)</f>
        <v>AG LINDAS</v>
      </c>
      <c r="O194">
        <v>107</v>
      </c>
      <c r="P194" t="str">
        <f>VLOOKUP(O194,[1]OPERADORES!$A:$B,2,0)</f>
        <v>DAIANA PORTELA</v>
      </c>
      <c r="Q194">
        <v>7</v>
      </c>
      <c r="S194" t="s">
        <v>466</v>
      </c>
      <c r="T194" s="1">
        <v>45922</v>
      </c>
      <c r="U194">
        <v>-0.1</v>
      </c>
      <c r="V194">
        <v>-0.1</v>
      </c>
    </row>
    <row r="195" spans="1:22" x14ac:dyDescent="0.3">
      <c r="A195" t="s">
        <v>391</v>
      </c>
      <c r="B195" t="s">
        <v>32</v>
      </c>
      <c r="C195" t="s">
        <v>13</v>
      </c>
      <c r="D195" t="s">
        <v>352</v>
      </c>
      <c r="E195" t="s">
        <v>15</v>
      </c>
      <c r="J195" s="1">
        <v>45925</v>
      </c>
      <c r="K195">
        <v>159</v>
      </c>
      <c r="L195" t="s">
        <v>473</v>
      </c>
      <c r="M195">
        <v>16</v>
      </c>
      <c r="N195" t="str">
        <f>VLOOKUP(M195,[1]LOJA!$A:$B,2,0)</f>
        <v>AG LINDAS</v>
      </c>
      <c r="O195">
        <v>107</v>
      </c>
      <c r="P195" t="str">
        <f>VLOOKUP(O195,[1]OPERADORES!$A:$B,2,0)</f>
        <v>DAIANA PORTELA</v>
      </c>
      <c r="Q195">
        <v>7</v>
      </c>
      <c r="S195" t="s">
        <v>474</v>
      </c>
      <c r="T195" s="1">
        <v>45925</v>
      </c>
      <c r="U195">
        <v>-0.8</v>
      </c>
      <c r="V195">
        <v>-0.8</v>
      </c>
    </row>
    <row r="196" spans="1:22" x14ac:dyDescent="0.3">
      <c r="A196" t="s">
        <v>391</v>
      </c>
      <c r="B196" t="s">
        <v>32</v>
      </c>
      <c r="C196" t="s">
        <v>13</v>
      </c>
      <c r="D196" t="s">
        <v>352</v>
      </c>
      <c r="E196" t="s">
        <v>15</v>
      </c>
      <c r="J196" s="1">
        <v>45930</v>
      </c>
      <c r="K196">
        <v>154</v>
      </c>
      <c r="L196" t="s">
        <v>475</v>
      </c>
      <c r="M196">
        <v>16</v>
      </c>
      <c r="N196" t="str">
        <f>VLOOKUP(M196,[1]LOJA!$A:$B,2,0)</f>
        <v>AG LINDAS</v>
      </c>
      <c r="O196">
        <v>107</v>
      </c>
      <c r="P196" t="str">
        <f>VLOOKUP(O196,[1]OPERADORES!$A:$B,2,0)</f>
        <v>DAIANA PORTELA</v>
      </c>
      <c r="Q196">
        <v>7</v>
      </c>
      <c r="S196" t="s">
        <v>476</v>
      </c>
      <c r="T196" s="1">
        <v>45930</v>
      </c>
      <c r="U196">
        <v>-0.1</v>
      </c>
      <c r="V196">
        <v>-0.1</v>
      </c>
    </row>
    <row r="197" spans="1:22" x14ac:dyDescent="0.3">
      <c r="A197" t="s">
        <v>391</v>
      </c>
      <c r="B197" t="s">
        <v>32</v>
      </c>
      <c r="C197" t="s">
        <v>13</v>
      </c>
      <c r="D197" t="s">
        <v>352</v>
      </c>
      <c r="E197" t="s">
        <v>15</v>
      </c>
      <c r="J197" s="1">
        <v>45933</v>
      </c>
      <c r="K197">
        <v>151</v>
      </c>
      <c r="L197" t="s">
        <v>477</v>
      </c>
      <c r="M197">
        <v>16</v>
      </c>
      <c r="N197" t="str">
        <f>VLOOKUP(M197,[1]LOJA!$A:$B,2,0)</f>
        <v>AG LINDAS</v>
      </c>
      <c r="O197">
        <v>107</v>
      </c>
      <c r="P197" t="str">
        <f>VLOOKUP(O197,[1]OPERADORES!$A:$B,2,0)</f>
        <v>DAIANA PORTELA</v>
      </c>
      <c r="Q197">
        <v>7</v>
      </c>
      <c r="S197" t="s">
        <v>478</v>
      </c>
      <c r="T197" s="1">
        <v>45933</v>
      </c>
      <c r="U197">
        <v>-0.8</v>
      </c>
      <c r="V197">
        <v>-0.8</v>
      </c>
    </row>
    <row r="198" spans="1:22" x14ac:dyDescent="0.3">
      <c r="A198" t="s">
        <v>391</v>
      </c>
      <c r="B198" t="s">
        <v>32</v>
      </c>
      <c r="C198" t="s">
        <v>13</v>
      </c>
      <c r="D198" t="s">
        <v>352</v>
      </c>
      <c r="E198" t="s">
        <v>15</v>
      </c>
      <c r="J198" s="1">
        <v>45951</v>
      </c>
      <c r="K198">
        <v>133</v>
      </c>
      <c r="L198" t="s">
        <v>479</v>
      </c>
      <c r="M198">
        <v>16</v>
      </c>
      <c r="N198" t="str">
        <f>VLOOKUP(M198,[1]LOJA!$A:$B,2,0)</f>
        <v>AG LINDAS</v>
      </c>
      <c r="O198">
        <v>107</v>
      </c>
      <c r="P198" t="str">
        <f>VLOOKUP(O198,[1]OPERADORES!$A:$B,2,0)</f>
        <v>DAIANA PORTELA</v>
      </c>
      <c r="Q198">
        <v>7</v>
      </c>
      <c r="S198" t="s">
        <v>480</v>
      </c>
      <c r="T198" s="1">
        <v>45811</v>
      </c>
      <c r="U198">
        <v>-0.04</v>
      </c>
      <c r="V198">
        <v>-0.04</v>
      </c>
    </row>
    <row r="199" spans="1:22" x14ac:dyDescent="0.3">
      <c r="A199" t="s">
        <v>391</v>
      </c>
      <c r="B199" t="s">
        <v>32</v>
      </c>
      <c r="C199" t="s">
        <v>13</v>
      </c>
      <c r="D199" t="s">
        <v>352</v>
      </c>
      <c r="E199" t="s">
        <v>15</v>
      </c>
      <c r="J199" s="1">
        <v>45954</v>
      </c>
      <c r="K199">
        <v>130</v>
      </c>
      <c r="L199" t="s">
        <v>481</v>
      </c>
      <c r="M199">
        <v>16</v>
      </c>
      <c r="N199" t="str">
        <f>VLOOKUP(M199,[1]LOJA!$A:$B,2,0)</f>
        <v>AG LINDAS</v>
      </c>
      <c r="O199">
        <v>107</v>
      </c>
      <c r="P199" t="str">
        <f>VLOOKUP(O199,[1]OPERADORES!$A:$B,2,0)</f>
        <v>DAIANA PORTELA</v>
      </c>
      <c r="Q199">
        <v>7</v>
      </c>
      <c r="S199" t="s">
        <v>466</v>
      </c>
      <c r="T199" s="1">
        <v>45954</v>
      </c>
      <c r="U199">
        <v>-0.1</v>
      </c>
      <c r="V199">
        <v>-0.1</v>
      </c>
    </row>
    <row r="200" spans="1:22" x14ac:dyDescent="0.3">
      <c r="A200" t="s">
        <v>391</v>
      </c>
      <c r="B200" t="s">
        <v>32</v>
      </c>
      <c r="C200" t="s">
        <v>13</v>
      </c>
      <c r="D200" t="s">
        <v>352</v>
      </c>
      <c r="E200" t="s">
        <v>15</v>
      </c>
      <c r="J200" s="1">
        <v>45957</v>
      </c>
      <c r="K200">
        <v>127</v>
      </c>
      <c r="L200" t="s">
        <v>482</v>
      </c>
      <c r="M200">
        <v>16</v>
      </c>
      <c r="N200" t="str">
        <f>VLOOKUP(M200,[1]LOJA!$A:$B,2,0)</f>
        <v>AG LINDAS</v>
      </c>
      <c r="O200">
        <v>107</v>
      </c>
      <c r="P200" t="str">
        <f>VLOOKUP(O200,[1]OPERADORES!$A:$B,2,0)</f>
        <v>DAIANA PORTELA</v>
      </c>
      <c r="Q200">
        <v>7</v>
      </c>
      <c r="S200" t="s">
        <v>483</v>
      </c>
      <c r="T200" s="1">
        <v>45957</v>
      </c>
      <c r="U200">
        <v>-1</v>
      </c>
      <c r="V200">
        <v>-1</v>
      </c>
    </row>
    <row r="201" spans="1:22" x14ac:dyDescent="0.3">
      <c r="A201" t="s">
        <v>391</v>
      </c>
      <c r="B201" t="s">
        <v>32</v>
      </c>
      <c r="C201" t="s">
        <v>13</v>
      </c>
      <c r="D201" t="s">
        <v>352</v>
      </c>
      <c r="E201" t="s">
        <v>15</v>
      </c>
      <c r="J201" s="1">
        <v>45989</v>
      </c>
      <c r="K201">
        <v>95</v>
      </c>
      <c r="L201" t="s">
        <v>484</v>
      </c>
      <c r="M201">
        <v>16</v>
      </c>
      <c r="N201" t="str">
        <f>VLOOKUP(M201,[1]LOJA!$A:$B,2,0)</f>
        <v>AG LINDAS</v>
      </c>
      <c r="O201">
        <v>107</v>
      </c>
      <c r="P201" t="str">
        <f>VLOOKUP(O201,[1]OPERADORES!$A:$B,2,0)</f>
        <v>DAIANA PORTELA</v>
      </c>
      <c r="Q201">
        <v>7</v>
      </c>
      <c r="S201" t="s">
        <v>485</v>
      </c>
      <c r="T201" s="1">
        <v>45989</v>
      </c>
      <c r="U201">
        <v>-0.01</v>
      </c>
      <c r="V201">
        <v>-0.01</v>
      </c>
    </row>
    <row r="202" spans="1:22" x14ac:dyDescent="0.3">
      <c r="A202" t="s">
        <v>391</v>
      </c>
      <c r="B202" t="s">
        <v>32</v>
      </c>
      <c r="C202" t="s">
        <v>13</v>
      </c>
      <c r="D202" t="s">
        <v>352</v>
      </c>
      <c r="E202" t="s">
        <v>15</v>
      </c>
      <c r="J202" s="1">
        <v>45996</v>
      </c>
      <c r="K202">
        <v>88</v>
      </c>
      <c r="L202" t="s">
        <v>486</v>
      </c>
      <c r="M202">
        <v>16</v>
      </c>
      <c r="N202" t="str">
        <f>VLOOKUP(M202,[1]LOJA!$A:$B,2,0)</f>
        <v>AG LINDAS</v>
      </c>
      <c r="O202">
        <v>107</v>
      </c>
      <c r="P202" t="str">
        <f>VLOOKUP(O202,[1]OPERADORES!$A:$B,2,0)</f>
        <v>DAIANA PORTELA</v>
      </c>
      <c r="Q202">
        <v>7</v>
      </c>
      <c r="S202" t="s">
        <v>487</v>
      </c>
      <c r="T202" s="1">
        <v>45996</v>
      </c>
      <c r="U202">
        <v>-0.5</v>
      </c>
      <c r="V202">
        <v>-0.5</v>
      </c>
    </row>
    <row r="203" spans="1:22" x14ac:dyDescent="0.3">
      <c r="A203" t="s">
        <v>391</v>
      </c>
      <c r="B203" t="s">
        <v>32</v>
      </c>
      <c r="C203" t="s">
        <v>13</v>
      </c>
      <c r="D203" t="s">
        <v>352</v>
      </c>
      <c r="E203" t="s">
        <v>15</v>
      </c>
      <c r="J203" s="1">
        <v>46002</v>
      </c>
      <c r="K203">
        <v>82</v>
      </c>
      <c r="L203" t="s">
        <v>488</v>
      </c>
      <c r="M203">
        <v>16</v>
      </c>
      <c r="N203" t="str">
        <f>VLOOKUP(M203,[1]LOJA!$A:$B,2,0)</f>
        <v>AG LINDAS</v>
      </c>
      <c r="O203">
        <v>107</v>
      </c>
      <c r="P203" t="str">
        <f>VLOOKUP(O203,[1]OPERADORES!$A:$B,2,0)</f>
        <v>DAIANA PORTELA</v>
      </c>
      <c r="Q203">
        <v>7</v>
      </c>
      <c r="S203" t="s">
        <v>489</v>
      </c>
      <c r="T203" s="1">
        <v>46002</v>
      </c>
      <c r="U203">
        <v>-1</v>
      </c>
      <c r="V203">
        <v>-1</v>
      </c>
    </row>
    <row r="204" spans="1:22" x14ac:dyDescent="0.3">
      <c r="A204" t="s">
        <v>391</v>
      </c>
      <c r="B204" t="s">
        <v>32</v>
      </c>
      <c r="C204" t="s">
        <v>13</v>
      </c>
      <c r="D204" t="s">
        <v>352</v>
      </c>
      <c r="E204" t="s">
        <v>15</v>
      </c>
      <c r="J204" s="1">
        <v>46002</v>
      </c>
      <c r="K204">
        <v>82</v>
      </c>
      <c r="L204" t="s">
        <v>490</v>
      </c>
      <c r="M204">
        <v>16</v>
      </c>
      <c r="N204" t="str">
        <f>VLOOKUP(M204,[1]LOJA!$A:$B,2,0)</f>
        <v>AG LINDAS</v>
      </c>
      <c r="O204">
        <v>107</v>
      </c>
      <c r="P204" t="str">
        <f>VLOOKUP(O204,[1]OPERADORES!$A:$B,2,0)</f>
        <v>DAIANA PORTELA</v>
      </c>
      <c r="Q204">
        <v>7</v>
      </c>
      <c r="S204" t="s">
        <v>491</v>
      </c>
      <c r="T204" s="1">
        <v>46002</v>
      </c>
      <c r="U204">
        <v>-0.8</v>
      </c>
      <c r="V204">
        <v>-0.8</v>
      </c>
    </row>
    <row r="205" spans="1:22" x14ac:dyDescent="0.3">
      <c r="A205" t="s">
        <v>391</v>
      </c>
      <c r="B205" t="s">
        <v>32</v>
      </c>
      <c r="C205" t="s">
        <v>13</v>
      </c>
      <c r="D205" t="s">
        <v>352</v>
      </c>
      <c r="E205" t="s">
        <v>15</v>
      </c>
      <c r="J205" s="1">
        <v>46015</v>
      </c>
      <c r="K205">
        <v>69</v>
      </c>
      <c r="L205" t="s">
        <v>492</v>
      </c>
      <c r="M205">
        <v>16</v>
      </c>
      <c r="N205" t="str">
        <f>VLOOKUP(M205,[1]LOJA!$A:$B,2,0)</f>
        <v>AG LINDAS</v>
      </c>
      <c r="O205">
        <v>107</v>
      </c>
      <c r="P205" t="str">
        <f>VLOOKUP(O205,[1]OPERADORES!$A:$B,2,0)</f>
        <v>DAIANA PORTELA</v>
      </c>
      <c r="Q205">
        <v>7</v>
      </c>
      <c r="S205" t="s">
        <v>466</v>
      </c>
      <c r="T205" s="1">
        <v>46015</v>
      </c>
      <c r="U205">
        <v>-6</v>
      </c>
      <c r="V205">
        <v>-6</v>
      </c>
    </row>
    <row r="206" spans="1:22" x14ac:dyDescent="0.3">
      <c r="A206" t="s">
        <v>391</v>
      </c>
      <c r="B206" t="s">
        <v>32</v>
      </c>
      <c r="C206" t="s">
        <v>13</v>
      </c>
      <c r="D206" t="s">
        <v>352</v>
      </c>
      <c r="E206" t="s">
        <v>15</v>
      </c>
      <c r="J206" s="1">
        <v>46020</v>
      </c>
      <c r="K206">
        <v>64</v>
      </c>
      <c r="L206" t="s">
        <v>493</v>
      </c>
      <c r="M206">
        <v>16</v>
      </c>
      <c r="N206" t="str">
        <f>VLOOKUP(M206,[1]LOJA!$A:$B,2,0)</f>
        <v>AG LINDAS</v>
      </c>
      <c r="O206">
        <v>107</v>
      </c>
      <c r="P206" t="str">
        <f>VLOOKUP(O206,[1]OPERADORES!$A:$B,2,0)</f>
        <v>DAIANA PORTELA</v>
      </c>
      <c r="Q206">
        <v>7</v>
      </c>
      <c r="S206" t="s">
        <v>466</v>
      </c>
      <c r="T206" s="1">
        <v>46020</v>
      </c>
      <c r="U206">
        <v>-0.77</v>
      </c>
      <c r="V206">
        <v>-0.77</v>
      </c>
    </row>
    <row r="207" spans="1:22" x14ac:dyDescent="0.3">
      <c r="A207" t="s">
        <v>391</v>
      </c>
      <c r="B207" t="s">
        <v>32</v>
      </c>
      <c r="C207" t="s">
        <v>13</v>
      </c>
      <c r="D207" t="s">
        <v>352</v>
      </c>
      <c r="E207" t="s">
        <v>15</v>
      </c>
      <c r="J207" s="1">
        <v>46022</v>
      </c>
      <c r="K207">
        <v>62</v>
      </c>
      <c r="L207" t="s">
        <v>494</v>
      </c>
      <c r="M207">
        <v>16</v>
      </c>
      <c r="N207" t="str">
        <f>VLOOKUP(M207,[1]LOJA!$A:$B,2,0)</f>
        <v>AG LINDAS</v>
      </c>
      <c r="O207">
        <v>107</v>
      </c>
      <c r="P207" t="str">
        <f>VLOOKUP(O207,[1]OPERADORES!$A:$B,2,0)</f>
        <v>DAIANA PORTELA</v>
      </c>
      <c r="Q207">
        <v>7</v>
      </c>
      <c r="S207" t="s">
        <v>495</v>
      </c>
      <c r="T207" s="1">
        <v>46022</v>
      </c>
      <c r="U207">
        <v>-0.03</v>
      </c>
      <c r="V207">
        <v>-0.03</v>
      </c>
    </row>
    <row r="208" spans="1:22" x14ac:dyDescent="0.3">
      <c r="A208" t="s">
        <v>391</v>
      </c>
      <c r="B208" t="s">
        <v>32</v>
      </c>
      <c r="C208" t="s">
        <v>13</v>
      </c>
      <c r="D208" t="s">
        <v>352</v>
      </c>
      <c r="E208" t="s">
        <v>15</v>
      </c>
      <c r="J208" s="1">
        <v>46057</v>
      </c>
      <c r="K208">
        <v>27</v>
      </c>
      <c r="L208" t="s">
        <v>496</v>
      </c>
      <c r="M208">
        <v>16</v>
      </c>
      <c r="N208" t="str">
        <f>VLOOKUP(M208,[1]LOJA!$A:$B,2,0)</f>
        <v>AG LINDAS</v>
      </c>
      <c r="O208">
        <v>107</v>
      </c>
      <c r="P208" t="str">
        <f>VLOOKUP(O208,[1]OPERADORES!$A:$B,2,0)</f>
        <v>DAIANA PORTELA</v>
      </c>
      <c r="Q208">
        <v>7</v>
      </c>
      <c r="S208" t="s">
        <v>497</v>
      </c>
      <c r="T208" s="1">
        <v>46057</v>
      </c>
      <c r="U208">
        <v>-0.2</v>
      </c>
      <c r="V208">
        <v>-0.2</v>
      </c>
    </row>
    <row r="209" spans="1:22" x14ac:dyDescent="0.3">
      <c r="A209" t="s">
        <v>391</v>
      </c>
      <c r="B209" t="s">
        <v>32</v>
      </c>
      <c r="C209" t="s">
        <v>13</v>
      </c>
      <c r="D209" t="s">
        <v>352</v>
      </c>
      <c r="E209" t="s">
        <v>15</v>
      </c>
      <c r="J209" s="1">
        <v>46060</v>
      </c>
      <c r="K209">
        <v>24</v>
      </c>
      <c r="L209" t="s">
        <v>498</v>
      </c>
      <c r="M209">
        <v>16</v>
      </c>
      <c r="N209" t="str">
        <f>VLOOKUP(M209,[1]LOJA!$A:$B,2,0)</f>
        <v>AG LINDAS</v>
      </c>
      <c r="O209">
        <v>107</v>
      </c>
      <c r="P209" t="str">
        <f>VLOOKUP(O209,[1]OPERADORES!$A:$B,2,0)</f>
        <v>DAIANA PORTELA</v>
      </c>
      <c r="Q209">
        <v>7</v>
      </c>
      <c r="S209" t="s">
        <v>499</v>
      </c>
      <c r="T209" s="1">
        <v>46060</v>
      </c>
      <c r="U209">
        <v>-0.1</v>
      </c>
      <c r="V209">
        <v>-0.1</v>
      </c>
    </row>
    <row r="210" spans="1:22" x14ac:dyDescent="0.3">
      <c r="A210" t="s">
        <v>391</v>
      </c>
      <c r="B210" t="s">
        <v>32</v>
      </c>
      <c r="C210" t="s">
        <v>13</v>
      </c>
      <c r="D210" t="s">
        <v>352</v>
      </c>
      <c r="E210" t="s">
        <v>15</v>
      </c>
      <c r="J210" s="1">
        <v>46063</v>
      </c>
      <c r="K210">
        <v>21</v>
      </c>
      <c r="L210" t="s">
        <v>500</v>
      </c>
      <c r="M210">
        <v>16</v>
      </c>
      <c r="N210" t="str">
        <f>VLOOKUP(M210,[1]LOJA!$A:$B,2,0)</f>
        <v>AG LINDAS</v>
      </c>
      <c r="O210">
        <v>107</v>
      </c>
      <c r="P210" t="str">
        <f>VLOOKUP(O210,[1]OPERADORES!$A:$B,2,0)</f>
        <v>DAIANA PORTELA</v>
      </c>
      <c r="Q210">
        <v>7</v>
      </c>
      <c r="S210" t="s">
        <v>466</v>
      </c>
      <c r="T210" s="1">
        <v>46063</v>
      </c>
      <c r="U210">
        <v>-0.05</v>
      </c>
      <c r="V210">
        <v>-0.05</v>
      </c>
    </row>
    <row r="211" spans="1:22" x14ac:dyDescent="0.3">
      <c r="A211" t="s">
        <v>391</v>
      </c>
      <c r="B211" t="s">
        <v>32</v>
      </c>
      <c r="C211" t="s">
        <v>13</v>
      </c>
      <c r="D211" t="s">
        <v>352</v>
      </c>
      <c r="E211" t="s">
        <v>15</v>
      </c>
      <c r="J211" s="1">
        <v>46072</v>
      </c>
      <c r="K211">
        <v>12</v>
      </c>
      <c r="L211" t="s">
        <v>5401</v>
      </c>
      <c r="M211">
        <v>16</v>
      </c>
      <c r="N211" t="str">
        <f>VLOOKUP(M211,[1]LOJA!$A:$B,2,0)</f>
        <v>AG LINDAS</v>
      </c>
      <c r="O211">
        <v>107</v>
      </c>
      <c r="P211" t="str">
        <f>VLOOKUP(O211,[1]OPERADORES!$A:$B,2,0)</f>
        <v>DAIANA PORTELA</v>
      </c>
      <c r="Q211">
        <v>7</v>
      </c>
      <c r="S211" t="s">
        <v>466</v>
      </c>
      <c r="T211" s="1">
        <v>46072</v>
      </c>
      <c r="U211">
        <v>-0.1</v>
      </c>
      <c r="V211">
        <v>-0.1</v>
      </c>
    </row>
    <row r="212" spans="1:22" x14ac:dyDescent="0.3">
      <c r="A212" t="s">
        <v>391</v>
      </c>
      <c r="B212" t="s">
        <v>32</v>
      </c>
      <c r="C212" t="s">
        <v>13</v>
      </c>
      <c r="D212" t="s">
        <v>352</v>
      </c>
      <c r="E212" t="s">
        <v>15</v>
      </c>
      <c r="J212" s="1">
        <v>46074</v>
      </c>
      <c r="K212">
        <v>10</v>
      </c>
      <c r="L212" t="s">
        <v>5402</v>
      </c>
      <c r="M212">
        <v>16</v>
      </c>
      <c r="N212" t="str">
        <f>VLOOKUP(M212,[1]LOJA!$A:$B,2,0)</f>
        <v>AG LINDAS</v>
      </c>
      <c r="O212">
        <v>107</v>
      </c>
      <c r="P212" t="str">
        <f>VLOOKUP(O212,[1]OPERADORES!$A:$B,2,0)</f>
        <v>DAIANA PORTELA</v>
      </c>
      <c r="Q212">
        <v>7</v>
      </c>
      <c r="S212" t="s">
        <v>466</v>
      </c>
      <c r="T212" s="1">
        <v>46074</v>
      </c>
      <c r="U212">
        <v>-0.1</v>
      </c>
      <c r="V212">
        <v>-0.1</v>
      </c>
    </row>
    <row r="213" spans="1:22" x14ac:dyDescent="0.3">
      <c r="A213" t="s">
        <v>391</v>
      </c>
      <c r="B213" t="s">
        <v>32</v>
      </c>
      <c r="C213" t="s">
        <v>13</v>
      </c>
      <c r="D213" t="s">
        <v>352</v>
      </c>
      <c r="E213" t="s">
        <v>15</v>
      </c>
      <c r="J213" s="1">
        <v>46078</v>
      </c>
      <c r="K213">
        <v>6</v>
      </c>
      <c r="L213" t="s">
        <v>5403</v>
      </c>
      <c r="M213">
        <v>16</v>
      </c>
      <c r="N213" t="str">
        <f>VLOOKUP(M213,[1]LOJA!$A:$B,2,0)</f>
        <v>AG LINDAS</v>
      </c>
      <c r="O213">
        <v>107</v>
      </c>
      <c r="P213" t="str">
        <f>VLOOKUP(O213,[1]OPERADORES!$A:$B,2,0)</f>
        <v>DAIANA PORTELA</v>
      </c>
      <c r="Q213">
        <v>7</v>
      </c>
      <c r="S213" t="s">
        <v>5404</v>
      </c>
      <c r="T213" s="1">
        <v>46078</v>
      </c>
      <c r="U213">
        <v>-1.6</v>
      </c>
      <c r="V213">
        <v>-1.6</v>
      </c>
    </row>
    <row r="214" spans="1:22" x14ac:dyDescent="0.3">
      <c r="A214" t="s">
        <v>391</v>
      </c>
      <c r="B214" t="s">
        <v>32</v>
      </c>
      <c r="C214" t="s">
        <v>13</v>
      </c>
      <c r="D214" t="s">
        <v>352</v>
      </c>
      <c r="E214" t="s">
        <v>15</v>
      </c>
      <c r="J214" s="1">
        <v>46078</v>
      </c>
      <c r="K214">
        <v>6</v>
      </c>
      <c r="L214" t="s">
        <v>5405</v>
      </c>
      <c r="M214">
        <v>16</v>
      </c>
      <c r="N214" t="str">
        <f>VLOOKUP(M214,[1]LOJA!$A:$B,2,0)</f>
        <v>AG LINDAS</v>
      </c>
      <c r="O214">
        <v>107</v>
      </c>
      <c r="P214" t="str">
        <f>VLOOKUP(O214,[1]OPERADORES!$A:$B,2,0)</f>
        <v>DAIANA PORTELA</v>
      </c>
      <c r="Q214">
        <v>7</v>
      </c>
      <c r="S214" t="s">
        <v>5406</v>
      </c>
      <c r="T214" s="1">
        <v>46078</v>
      </c>
      <c r="U214">
        <v>-0.2</v>
      </c>
      <c r="V214">
        <v>-0.2</v>
      </c>
    </row>
    <row r="215" spans="1:22" x14ac:dyDescent="0.3">
      <c r="A215" t="s">
        <v>391</v>
      </c>
      <c r="B215" t="s">
        <v>32</v>
      </c>
      <c r="C215" t="s">
        <v>13</v>
      </c>
      <c r="D215" t="s">
        <v>352</v>
      </c>
      <c r="E215" t="s">
        <v>15</v>
      </c>
      <c r="J215" s="1">
        <v>46080</v>
      </c>
      <c r="K215">
        <v>4</v>
      </c>
      <c r="L215" t="s">
        <v>5407</v>
      </c>
      <c r="M215">
        <v>16</v>
      </c>
      <c r="N215" t="str">
        <f>VLOOKUP(M215,[1]LOJA!$A:$B,2,0)</f>
        <v>AG LINDAS</v>
      </c>
      <c r="O215">
        <v>107</v>
      </c>
      <c r="P215" t="str">
        <f>VLOOKUP(O215,[1]OPERADORES!$A:$B,2,0)</f>
        <v>DAIANA PORTELA</v>
      </c>
      <c r="Q215">
        <v>7</v>
      </c>
      <c r="S215" t="s">
        <v>5408</v>
      </c>
      <c r="T215" s="1">
        <v>46080</v>
      </c>
      <c r="U215">
        <v>-1</v>
      </c>
      <c r="V215">
        <v>-1</v>
      </c>
    </row>
    <row r="216" spans="1:22" x14ac:dyDescent="0.3">
      <c r="A216" t="s">
        <v>501</v>
      </c>
      <c r="B216" t="s">
        <v>502</v>
      </c>
      <c r="C216" t="s">
        <v>13</v>
      </c>
      <c r="D216" t="s">
        <v>352</v>
      </c>
      <c r="E216" t="s">
        <v>15</v>
      </c>
      <c r="J216" s="1">
        <v>44210</v>
      </c>
      <c r="K216">
        <v>1874</v>
      </c>
      <c r="L216" t="s">
        <v>503</v>
      </c>
      <c r="M216">
        <v>8</v>
      </c>
      <c r="N216" t="str">
        <f>VLOOKUP(M216,[1]LOJA!$A:$B,2,0)</f>
        <v>LUZIÂNIA</v>
      </c>
      <c r="O216">
        <v>114</v>
      </c>
      <c r="P216" t="str">
        <f>VLOOKUP(O216,[1]OPERADORES!$A:$B,2,0)</f>
        <v>DIEGO CARNAUBA</v>
      </c>
      <c r="Q216">
        <v>7</v>
      </c>
      <c r="S216" t="s">
        <v>504</v>
      </c>
      <c r="T216" s="1">
        <v>44180</v>
      </c>
      <c r="U216">
        <v>899.78</v>
      </c>
      <c r="V216">
        <v>899.78</v>
      </c>
    </row>
    <row r="217" spans="1:22" x14ac:dyDescent="0.3">
      <c r="A217" t="s">
        <v>501</v>
      </c>
      <c r="B217" t="s">
        <v>502</v>
      </c>
      <c r="C217" t="s">
        <v>13</v>
      </c>
      <c r="D217" t="s">
        <v>352</v>
      </c>
      <c r="E217" t="s">
        <v>15</v>
      </c>
      <c r="J217" s="1">
        <v>44218</v>
      </c>
      <c r="K217">
        <v>1866</v>
      </c>
      <c r="L217" t="s">
        <v>505</v>
      </c>
      <c r="M217">
        <v>8</v>
      </c>
      <c r="N217" t="str">
        <f>VLOOKUP(M217,[1]LOJA!$A:$B,2,0)</f>
        <v>LUZIÂNIA</v>
      </c>
      <c r="O217">
        <v>121</v>
      </c>
      <c r="P217" t="str">
        <f>VLOOKUP(O217,[1]OPERADORES!$A:$B,2,0)</f>
        <v>ROMULO COSTA DE ARAUJO JUNIOR</v>
      </c>
      <c r="Q217">
        <v>99999</v>
      </c>
      <c r="S217" t="s">
        <v>87</v>
      </c>
      <c r="T217" s="1">
        <v>44188</v>
      </c>
      <c r="U217">
        <v>82.28</v>
      </c>
      <c r="V217">
        <v>82.28</v>
      </c>
    </row>
    <row r="218" spans="1:22" x14ac:dyDescent="0.3">
      <c r="A218" t="s">
        <v>501</v>
      </c>
      <c r="B218" t="s">
        <v>502</v>
      </c>
      <c r="C218" t="s">
        <v>13</v>
      </c>
      <c r="D218" t="s">
        <v>352</v>
      </c>
      <c r="E218" t="s">
        <v>15</v>
      </c>
      <c r="J218" s="1">
        <v>44293</v>
      </c>
      <c r="K218">
        <v>1791</v>
      </c>
      <c r="L218" t="s">
        <v>506</v>
      </c>
      <c r="M218">
        <v>8</v>
      </c>
      <c r="N218" t="str">
        <f>VLOOKUP(M218,[1]LOJA!$A:$B,2,0)</f>
        <v>LUZIÂNIA</v>
      </c>
      <c r="O218">
        <v>114</v>
      </c>
      <c r="P218" t="str">
        <f>VLOOKUP(O218,[1]OPERADORES!$A:$B,2,0)</f>
        <v>DIEGO CARNAUBA</v>
      </c>
      <c r="Q218">
        <v>7</v>
      </c>
      <c r="S218" t="s">
        <v>87</v>
      </c>
      <c r="T218" s="1">
        <v>44292</v>
      </c>
      <c r="U218">
        <v>35.18</v>
      </c>
      <c r="V218">
        <v>35.18</v>
      </c>
    </row>
    <row r="219" spans="1:22" x14ac:dyDescent="0.3">
      <c r="A219" t="s">
        <v>501</v>
      </c>
      <c r="B219" t="s">
        <v>502</v>
      </c>
      <c r="C219" t="s">
        <v>13</v>
      </c>
      <c r="D219" t="s">
        <v>352</v>
      </c>
      <c r="E219" t="s">
        <v>15</v>
      </c>
      <c r="J219" s="1">
        <v>44293</v>
      </c>
      <c r="K219">
        <v>1791</v>
      </c>
      <c r="L219" t="s">
        <v>507</v>
      </c>
      <c r="M219">
        <v>8</v>
      </c>
      <c r="N219" t="str">
        <f>VLOOKUP(M219,[1]LOJA!$A:$B,2,0)</f>
        <v>LUZIÂNIA</v>
      </c>
      <c r="O219">
        <v>114</v>
      </c>
      <c r="P219" t="str">
        <f>VLOOKUP(O219,[1]OPERADORES!$A:$B,2,0)</f>
        <v>DIEGO CARNAUBA</v>
      </c>
      <c r="Q219">
        <v>7</v>
      </c>
      <c r="S219" t="s">
        <v>87</v>
      </c>
      <c r="T219" s="1">
        <v>44292</v>
      </c>
      <c r="U219">
        <v>38</v>
      </c>
      <c r="V219">
        <v>38</v>
      </c>
    </row>
    <row r="220" spans="1:22" x14ac:dyDescent="0.3">
      <c r="A220" t="s">
        <v>501</v>
      </c>
      <c r="B220" t="s">
        <v>502</v>
      </c>
      <c r="C220" t="s">
        <v>13</v>
      </c>
      <c r="D220" t="s">
        <v>352</v>
      </c>
      <c r="E220" t="s">
        <v>15</v>
      </c>
      <c r="J220" s="1">
        <v>44295</v>
      </c>
      <c r="K220">
        <v>1789</v>
      </c>
      <c r="L220" t="s">
        <v>508</v>
      </c>
      <c r="M220">
        <v>8</v>
      </c>
      <c r="N220" t="str">
        <f>VLOOKUP(M220,[1]LOJA!$A:$B,2,0)</f>
        <v>LUZIÂNIA</v>
      </c>
      <c r="O220">
        <v>114</v>
      </c>
      <c r="P220" t="str">
        <f>VLOOKUP(O220,[1]OPERADORES!$A:$B,2,0)</f>
        <v>DIEGO CARNAUBA</v>
      </c>
      <c r="Q220">
        <v>7</v>
      </c>
      <c r="S220" t="s">
        <v>509</v>
      </c>
      <c r="T220" s="1">
        <v>44294</v>
      </c>
      <c r="U220">
        <v>73.81</v>
      </c>
      <c r="V220">
        <v>73.81</v>
      </c>
    </row>
    <row r="221" spans="1:22" x14ac:dyDescent="0.3">
      <c r="A221" t="s">
        <v>501</v>
      </c>
      <c r="B221" t="s">
        <v>502</v>
      </c>
      <c r="C221" t="s">
        <v>13</v>
      </c>
      <c r="D221" t="s">
        <v>352</v>
      </c>
      <c r="E221" t="s">
        <v>15</v>
      </c>
      <c r="J221" s="1">
        <v>44300</v>
      </c>
      <c r="K221">
        <v>1784</v>
      </c>
      <c r="L221" t="s">
        <v>510</v>
      </c>
      <c r="M221">
        <v>8</v>
      </c>
      <c r="N221" t="str">
        <f>VLOOKUP(M221,[1]LOJA!$A:$B,2,0)</f>
        <v>LUZIÂNIA</v>
      </c>
      <c r="O221">
        <v>114</v>
      </c>
      <c r="P221" t="str">
        <f>VLOOKUP(O221,[1]OPERADORES!$A:$B,2,0)</f>
        <v>DIEGO CARNAUBA</v>
      </c>
      <c r="Q221">
        <v>7</v>
      </c>
      <c r="S221" t="s">
        <v>87</v>
      </c>
      <c r="T221" s="1">
        <v>44299</v>
      </c>
      <c r="U221">
        <v>418.48</v>
      </c>
      <c r="V221">
        <v>418.48</v>
      </c>
    </row>
    <row r="222" spans="1:22" x14ac:dyDescent="0.3">
      <c r="A222" t="s">
        <v>501</v>
      </c>
      <c r="B222" t="s">
        <v>502</v>
      </c>
      <c r="C222" t="s">
        <v>13</v>
      </c>
      <c r="D222" t="s">
        <v>352</v>
      </c>
      <c r="E222" t="s">
        <v>15</v>
      </c>
      <c r="J222" s="1">
        <v>44302</v>
      </c>
      <c r="K222">
        <v>1782</v>
      </c>
      <c r="L222" t="s">
        <v>511</v>
      </c>
      <c r="M222">
        <v>8</v>
      </c>
      <c r="N222" t="str">
        <f>VLOOKUP(M222,[1]LOJA!$A:$B,2,0)</f>
        <v>LUZIÂNIA</v>
      </c>
      <c r="O222">
        <v>114</v>
      </c>
      <c r="P222" t="str">
        <f>VLOOKUP(O222,[1]OPERADORES!$A:$B,2,0)</f>
        <v>DIEGO CARNAUBA</v>
      </c>
      <c r="Q222">
        <v>7</v>
      </c>
      <c r="S222" t="s">
        <v>87</v>
      </c>
      <c r="T222" s="1">
        <v>44301</v>
      </c>
      <c r="U222">
        <v>75</v>
      </c>
      <c r="V222">
        <v>75</v>
      </c>
    </row>
    <row r="223" spans="1:22" x14ac:dyDescent="0.3">
      <c r="A223" t="s">
        <v>501</v>
      </c>
      <c r="B223" t="s">
        <v>502</v>
      </c>
      <c r="C223" t="s">
        <v>13</v>
      </c>
      <c r="D223" t="s">
        <v>352</v>
      </c>
      <c r="E223" t="s">
        <v>15</v>
      </c>
      <c r="J223" s="1">
        <v>44312</v>
      </c>
      <c r="K223">
        <v>1772</v>
      </c>
      <c r="L223" t="s">
        <v>512</v>
      </c>
      <c r="M223">
        <v>8</v>
      </c>
      <c r="N223" t="str">
        <f>VLOOKUP(M223,[1]LOJA!$A:$B,2,0)</f>
        <v>LUZIÂNIA</v>
      </c>
      <c r="O223">
        <v>114</v>
      </c>
      <c r="P223" t="str">
        <f>VLOOKUP(O223,[1]OPERADORES!$A:$B,2,0)</f>
        <v>DIEGO CARNAUBA</v>
      </c>
      <c r="Q223">
        <v>99999</v>
      </c>
      <c r="S223" t="s">
        <v>513</v>
      </c>
      <c r="T223" s="1">
        <v>44282</v>
      </c>
      <c r="U223">
        <v>173.5</v>
      </c>
      <c r="V223">
        <v>173.5</v>
      </c>
    </row>
    <row r="224" spans="1:22" x14ac:dyDescent="0.3">
      <c r="A224" t="s">
        <v>501</v>
      </c>
      <c r="B224" t="s">
        <v>502</v>
      </c>
      <c r="C224" t="s">
        <v>13</v>
      </c>
      <c r="D224" t="s">
        <v>352</v>
      </c>
      <c r="E224" t="s">
        <v>15</v>
      </c>
      <c r="J224" s="1">
        <v>44316</v>
      </c>
      <c r="K224">
        <v>1768</v>
      </c>
      <c r="L224" t="s">
        <v>514</v>
      </c>
      <c r="M224">
        <v>8</v>
      </c>
      <c r="N224" t="str">
        <f>VLOOKUP(M224,[1]LOJA!$A:$B,2,0)</f>
        <v>LUZIÂNIA</v>
      </c>
      <c r="O224">
        <v>114</v>
      </c>
      <c r="P224" t="str">
        <f>VLOOKUP(O224,[1]OPERADORES!$A:$B,2,0)</f>
        <v>DIEGO CARNAUBA</v>
      </c>
      <c r="Q224">
        <v>7</v>
      </c>
      <c r="S224" t="s">
        <v>87</v>
      </c>
      <c r="T224" s="1">
        <v>44315</v>
      </c>
      <c r="U224">
        <v>390.08</v>
      </c>
      <c r="V224">
        <v>390.08</v>
      </c>
    </row>
    <row r="225" spans="1:22" x14ac:dyDescent="0.3">
      <c r="A225" t="s">
        <v>501</v>
      </c>
      <c r="B225" t="s">
        <v>502</v>
      </c>
      <c r="C225" t="s">
        <v>13</v>
      </c>
      <c r="D225" t="s">
        <v>352</v>
      </c>
      <c r="E225" t="s">
        <v>15</v>
      </c>
      <c r="J225" s="1">
        <v>44321</v>
      </c>
      <c r="K225">
        <v>1763</v>
      </c>
      <c r="L225" t="s">
        <v>515</v>
      </c>
      <c r="M225">
        <v>8</v>
      </c>
      <c r="N225" t="str">
        <f>VLOOKUP(M225,[1]LOJA!$A:$B,2,0)</f>
        <v>LUZIÂNIA</v>
      </c>
      <c r="O225">
        <v>114</v>
      </c>
      <c r="P225" t="str">
        <f>VLOOKUP(O225,[1]OPERADORES!$A:$B,2,0)</f>
        <v>DIEGO CARNAUBA</v>
      </c>
      <c r="Q225">
        <v>7</v>
      </c>
      <c r="S225" t="s">
        <v>87</v>
      </c>
      <c r="T225" s="1">
        <v>44320</v>
      </c>
      <c r="U225">
        <v>53.8</v>
      </c>
      <c r="V225">
        <v>53.8</v>
      </c>
    </row>
    <row r="226" spans="1:22" x14ac:dyDescent="0.3">
      <c r="A226" t="s">
        <v>501</v>
      </c>
      <c r="B226" t="s">
        <v>502</v>
      </c>
      <c r="C226" t="s">
        <v>13</v>
      </c>
      <c r="D226" t="s">
        <v>352</v>
      </c>
      <c r="E226" t="s">
        <v>15</v>
      </c>
      <c r="J226" s="1">
        <v>44322</v>
      </c>
      <c r="K226">
        <v>1762</v>
      </c>
      <c r="L226" t="s">
        <v>516</v>
      </c>
      <c r="M226">
        <v>8</v>
      </c>
      <c r="N226" t="str">
        <f>VLOOKUP(M226,[1]LOJA!$A:$B,2,0)</f>
        <v>LUZIÂNIA</v>
      </c>
      <c r="O226">
        <v>114</v>
      </c>
      <c r="P226" t="str">
        <f>VLOOKUP(O226,[1]OPERADORES!$A:$B,2,0)</f>
        <v>DIEGO CARNAUBA</v>
      </c>
      <c r="Q226">
        <v>7</v>
      </c>
      <c r="S226" t="s">
        <v>87</v>
      </c>
      <c r="T226" s="1">
        <v>44321</v>
      </c>
      <c r="U226">
        <v>310.68</v>
      </c>
      <c r="V226">
        <v>310.68</v>
      </c>
    </row>
    <row r="227" spans="1:22" x14ac:dyDescent="0.3">
      <c r="A227" t="s">
        <v>501</v>
      </c>
      <c r="B227" t="s">
        <v>502</v>
      </c>
      <c r="C227" t="s">
        <v>13</v>
      </c>
      <c r="D227" t="s">
        <v>352</v>
      </c>
      <c r="E227" t="s">
        <v>15</v>
      </c>
      <c r="J227" s="1">
        <v>44355</v>
      </c>
      <c r="K227">
        <v>1729</v>
      </c>
      <c r="L227" t="s">
        <v>517</v>
      </c>
      <c r="M227">
        <v>8</v>
      </c>
      <c r="N227" t="str">
        <f>VLOOKUP(M227,[1]LOJA!$A:$B,2,0)</f>
        <v>LUZIÂNIA</v>
      </c>
      <c r="O227">
        <v>121</v>
      </c>
      <c r="P227" t="str">
        <f>VLOOKUP(O227,[1]OPERADORES!$A:$B,2,0)</f>
        <v>ROMULO COSTA DE ARAUJO JUNIOR</v>
      </c>
      <c r="Q227">
        <v>7</v>
      </c>
      <c r="S227" t="s">
        <v>518</v>
      </c>
      <c r="T227" s="1">
        <v>44354</v>
      </c>
      <c r="U227">
        <v>147.4</v>
      </c>
      <c r="V227">
        <v>147.4</v>
      </c>
    </row>
    <row r="228" spans="1:22" x14ac:dyDescent="0.3">
      <c r="A228" t="s">
        <v>501</v>
      </c>
      <c r="B228" t="s">
        <v>502</v>
      </c>
      <c r="C228" t="s">
        <v>13</v>
      </c>
      <c r="D228" t="s">
        <v>352</v>
      </c>
      <c r="E228" t="s">
        <v>15</v>
      </c>
      <c r="J228" s="1">
        <v>44358</v>
      </c>
      <c r="K228">
        <v>1726</v>
      </c>
      <c r="L228" t="s">
        <v>519</v>
      </c>
      <c r="M228">
        <v>8</v>
      </c>
      <c r="N228" t="str">
        <f>VLOOKUP(M228,[1]LOJA!$A:$B,2,0)</f>
        <v>LUZIÂNIA</v>
      </c>
      <c r="O228">
        <v>114</v>
      </c>
      <c r="P228" t="str">
        <f>VLOOKUP(O228,[1]OPERADORES!$A:$B,2,0)</f>
        <v>DIEGO CARNAUBA</v>
      </c>
      <c r="Q228">
        <v>7</v>
      </c>
      <c r="S228" t="s">
        <v>520</v>
      </c>
      <c r="T228" s="1">
        <v>44319</v>
      </c>
      <c r="U228">
        <v>259.75</v>
      </c>
      <c r="V228">
        <v>259.75</v>
      </c>
    </row>
    <row r="229" spans="1:22" x14ac:dyDescent="0.3">
      <c r="A229" t="s">
        <v>501</v>
      </c>
      <c r="B229" t="s">
        <v>502</v>
      </c>
      <c r="C229" t="s">
        <v>13</v>
      </c>
      <c r="D229" t="s">
        <v>352</v>
      </c>
      <c r="E229" t="s">
        <v>15</v>
      </c>
      <c r="J229" s="1">
        <v>44372</v>
      </c>
      <c r="K229">
        <v>1712</v>
      </c>
      <c r="L229" t="s">
        <v>521</v>
      </c>
      <c r="M229">
        <v>8</v>
      </c>
      <c r="N229" t="str">
        <f>VLOOKUP(M229,[1]LOJA!$A:$B,2,0)</f>
        <v>LUZIÂNIA</v>
      </c>
      <c r="O229">
        <v>121</v>
      </c>
      <c r="P229" t="str">
        <f>VLOOKUP(O229,[1]OPERADORES!$A:$B,2,0)</f>
        <v>ROMULO COSTA DE ARAUJO JUNIOR</v>
      </c>
      <c r="Q229">
        <v>7</v>
      </c>
      <c r="S229" t="s">
        <v>522</v>
      </c>
      <c r="T229" s="1">
        <v>44371</v>
      </c>
      <c r="U229">
        <v>300</v>
      </c>
      <c r="V229">
        <v>300</v>
      </c>
    </row>
    <row r="230" spans="1:22" x14ac:dyDescent="0.3">
      <c r="A230" t="s">
        <v>501</v>
      </c>
      <c r="B230" t="s">
        <v>502</v>
      </c>
      <c r="C230" t="s">
        <v>13</v>
      </c>
      <c r="D230" t="s">
        <v>352</v>
      </c>
      <c r="E230" t="s">
        <v>15</v>
      </c>
      <c r="J230" s="1">
        <v>44428</v>
      </c>
      <c r="K230">
        <v>1656</v>
      </c>
      <c r="L230" t="s">
        <v>523</v>
      </c>
      <c r="M230">
        <v>8</v>
      </c>
      <c r="N230" t="str">
        <f>VLOOKUP(M230,[1]LOJA!$A:$B,2,0)</f>
        <v>LUZIÂNIA</v>
      </c>
      <c r="O230">
        <v>84</v>
      </c>
      <c r="P230" t="str">
        <f>VLOOKUP(O230,[1]OPERADORES!$A:$B,2,0)</f>
        <v>JEICY AZEVEDO</v>
      </c>
      <c r="Q230">
        <v>6</v>
      </c>
      <c r="S230" t="s">
        <v>524</v>
      </c>
      <c r="T230" s="1">
        <v>44396</v>
      </c>
      <c r="U230" s="2">
        <v>1500</v>
      </c>
      <c r="V230" s="2">
        <v>1500</v>
      </c>
    </row>
    <row r="231" spans="1:22" x14ac:dyDescent="0.3">
      <c r="A231" t="s">
        <v>501</v>
      </c>
      <c r="B231" t="s">
        <v>502</v>
      </c>
      <c r="C231" t="s">
        <v>13</v>
      </c>
      <c r="D231" t="s">
        <v>352</v>
      </c>
      <c r="E231" t="s">
        <v>15</v>
      </c>
      <c r="J231" s="1">
        <v>46078</v>
      </c>
      <c r="K231">
        <v>6</v>
      </c>
      <c r="L231" t="s">
        <v>5409</v>
      </c>
      <c r="M231">
        <v>24</v>
      </c>
      <c r="N231" t="str">
        <f>VLOOKUP(M231,[1]LOJA!$A:$B,2,0)</f>
        <v>LUZIÂNIA</v>
      </c>
      <c r="O231">
        <v>150</v>
      </c>
      <c r="P231" t="str">
        <f>VLOOKUP(O231,[1]OPERADORES!$A:$B,2,0)</f>
        <v>LUZIBERTO GOMES DA SILVA</v>
      </c>
      <c r="Q231">
        <v>7</v>
      </c>
      <c r="S231" t="s">
        <v>87</v>
      </c>
      <c r="T231" s="1">
        <v>46077</v>
      </c>
      <c r="U231">
        <v>280</v>
      </c>
      <c r="V231">
        <v>280</v>
      </c>
    </row>
    <row r="232" spans="1:22" x14ac:dyDescent="0.3">
      <c r="A232" t="s">
        <v>501</v>
      </c>
      <c r="B232" t="s">
        <v>502</v>
      </c>
      <c r="C232" t="s">
        <v>13</v>
      </c>
      <c r="D232" t="s">
        <v>352</v>
      </c>
      <c r="E232" t="s">
        <v>15</v>
      </c>
      <c r="J232" s="1">
        <v>46081</v>
      </c>
      <c r="K232">
        <v>3</v>
      </c>
      <c r="L232" t="s">
        <v>5410</v>
      </c>
      <c r="M232">
        <v>24</v>
      </c>
      <c r="N232" t="str">
        <f>VLOOKUP(M232,[1]LOJA!$A:$B,2,0)</f>
        <v>LUZIÂNIA</v>
      </c>
      <c r="O232">
        <v>170</v>
      </c>
      <c r="P232" t="str">
        <f>VLOOKUP(O232,[1]OPERADORES!$A:$B,2,0)</f>
        <v>MARIA LUISA</v>
      </c>
      <c r="Q232">
        <v>4</v>
      </c>
      <c r="S232" t="s">
        <v>5411</v>
      </c>
      <c r="T232" s="1">
        <v>46081</v>
      </c>
      <c r="U232">
        <v>-5</v>
      </c>
      <c r="V232">
        <v>-5</v>
      </c>
    </row>
    <row r="233" spans="1:22" x14ac:dyDescent="0.3">
      <c r="A233" t="s">
        <v>501</v>
      </c>
      <c r="B233" t="s">
        <v>502</v>
      </c>
      <c r="C233" t="s">
        <v>13</v>
      </c>
      <c r="D233" t="s">
        <v>352</v>
      </c>
      <c r="E233" t="s">
        <v>15</v>
      </c>
      <c r="J233" s="1">
        <v>46083</v>
      </c>
      <c r="K233">
        <v>1</v>
      </c>
      <c r="L233" t="s">
        <v>5412</v>
      </c>
      <c r="M233">
        <v>24</v>
      </c>
      <c r="N233" t="str">
        <f>VLOOKUP(M233,[1]LOJA!$A:$B,2,0)</f>
        <v>LUZIÂNIA</v>
      </c>
      <c r="O233">
        <v>170</v>
      </c>
      <c r="P233" t="str">
        <f>VLOOKUP(O233,[1]OPERADORES!$A:$B,2,0)</f>
        <v>MARIA LUISA</v>
      </c>
      <c r="Q233">
        <v>4</v>
      </c>
      <c r="S233" t="s">
        <v>110</v>
      </c>
      <c r="T233" s="1">
        <v>46083</v>
      </c>
      <c r="U233">
        <v>-30</v>
      </c>
      <c r="V233">
        <v>-30</v>
      </c>
    </row>
    <row r="234" spans="1:22" x14ac:dyDescent="0.3">
      <c r="A234" t="s">
        <v>501</v>
      </c>
      <c r="B234" t="s">
        <v>502</v>
      </c>
      <c r="C234" t="s">
        <v>13</v>
      </c>
      <c r="D234" t="s">
        <v>352</v>
      </c>
      <c r="E234" t="s">
        <v>15</v>
      </c>
      <c r="J234" s="1">
        <v>46084</v>
      </c>
      <c r="K234">
        <v>0</v>
      </c>
      <c r="L234" t="s">
        <v>5413</v>
      </c>
      <c r="M234">
        <v>24</v>
      </c>
      <c r="N234" t="str">
        <f>VLOOKUP(M234,[1]LOJA!$A:$B,2,0)</f>
        <v>LUZIÂNIA</v>
      </c>
      <c r="O234">
        <v>170</v>
      </c>
      <c r="P234" t="str">
        <f>VLOOKUP(O234,[1]OPERADORES!$A:$B,2,0)</f>
        <v>MARIA LUISA</v>
      </c>
      <c r="Q234">
        <v>4</v>
      </c>
      <c r="S234" t="s">
        <v>5414</v>
      </c>
      <c r="T234" s="1">
        <v>46081</v>
      </c>
      <c r="U234">
        <v>-1.99</v>
      </c>
      <c r="V234">
        <v>-1.99</v>
      </c>
    </row>
    <row r="235" spans="1:22" x14ac:dyDescent="0.3">
      <c r="A235" t="s">
        <v>501</v>
      </c>
      <c r="B235" t="s">
        <v>502</v>
      </c>
      <c r="C235" t="s">
        <v>13</v>
      </c>
      <c r="D235" t="s">
        <v>352</v>
      </c>
      <c r="E235" t="s">
        <v>15</v>
      </c>
      <c r="J235" s="1">
        <v>46084</v>
      </c>
      <c r="K235">
        <v>0</v>
      </c>
      <c r="L235" t="s">
        <v>5415</v>
      </c>
      <c r="M235">
        <v>24</v>
      </c>
      <c r="N235" t="str">
        <f>VLOOKUP(M235,[1]LOJA!$A:$B,2,0)</f>
        <v>LUZIÂNIA</v>
      </c>
      <c r="O235">
        <v>170</v>
      </c>
      <c r="P235" t="str">
        <f>VLOOKUP(O235,[1]OPERADORES!$A:$B,2,0)</f>
        <v>MARIA LUISA</v>
      </c>
      <c r="Q235">
        <v>4</v>
      </c>
      <c r="S235" t="s">
        <v>110</v>
      </c>
      <c r="T235" s="1">
        <v>46084</v>
      </c>
      <c r="U235">
        <v>-12</v>
      </c>
      <c r="V235">
        <v>-12</v>
      </c>
    </row>
    <row r="236" spans="1:22" x14ac:dyDescent="0.3">
      <c r="A236" t="s">
        <v>525</v>
      </c>
      <c r="B236" t="s">
        <v>32</v>
      </c>
      <c r="C236" t="s">
        <v>13</v>
      </c>
      <c r="D236" t="s">
        <v>352</v>
      </c>
      <c r="E236" t="s">
        <v>15</v>
      </c>
      <c r="J236" s="1">
        <v>46028</v>
      </c>
      <c r="K236">
        <v>56</v>
      </c>
      <c r="L236" t="s">
        <v>527</v>
      </c>
      <c r="M236">
        <v>15</v>
      </c>
      <c r="N236" t="str">
        <f>VLOOKUP(M236,[1]LOJA!$A:$B,2,0)</f>
        <v>UNAÍ</v>
      </c>
      <c r="O236">
        <v>183</v>
      </c>
      <c r="P236" t="str">
        <f>VLOOKUP(O236,[1]OPERADORES!$A:$B,2,0)</f>
        <v>NADINE DE OLIVEIRA MORAIS</v>
      </c>
      <c r="Q236">
        <v>4</v>
      </c>
      <c r="S236" t="s">
        <v>528</v>
      </c>
      <c r="T236" s="1">
        <v>46028</v>
      </c>
      <c r="U236">
        <v>-7.74</v>
      </c>
      <c r="V236">
        <v>-7.74</v>
      </c>
    </row>
    <row r="237" spans="1:22" x14ac:dyDescent="0.3">
      <c r="A237" t="s">
        <v>525</v>
      </c>
      <c r="B237" t="s">
        <v>32</v>
      </c>
      <c r="C237" t="s">
        <v>13</v>
      </c>
      <c r="D237" t="s">
        <v>352</v>
      </c>
      <c r="E237" t="s">
        <v>15</v>
      </c>
      <c r="J237" s="1">
        <v>46031</v>
      </c>
      <c r="K237">
        <v>53</v>
      </c>
      <c r="L237" t="s">
        <v>529</v>
      </c>
      <c r="M237">
        <v>15</v>
      </c>
      <c r="N237" t="str">
        <f>VLOOKUP(M237,[1]LOJA!$A:$B,2,0)</f>
        <v>UNAÍ</v>
      </c>
      <c r="O237">
        <v>232</v>
      </c>
      <c r="P237" t="str">
        <f>VLOOKUP(O237,[1]OPERADORES!$A:$B,2,0)</f>
        <v>JESSICA GUIMARÃES</v>
      </c>
      <c r="Q237">
        <v>4</v>
      </c>
      <c r="S237" t="s">
        <v>530</v>
      </c>
      <c r="T237" s="1">
        <v>45969</v>
      </c>
      <c r="U237">
        <v>-12.7</v>
      </c>
      <c r="V237">
        <v>-12.7</v>
      </c>
    </row>
    <row r="238" spans="1:22" x14ac:dyDescent="0.3">
      <c r="A238" t="s">
        <v>5416</v>
      </c>
      <c r="B238" t="s">
        <v>5417</v>
      </c>
      <c r="C238" t="s">
        <v>13</v>
      </c>
      <c r="D238" t="s">
        <v>5418</v>
      </c>
      <c r="E238" t="s">
        <v>15</v>
      </c>
      <c r="J238" s="1">
        <v>46084</v>
      </c>
      <c r="K238">
        <v>0</v>
      </c>
      <c r="L238" t="s">
        <v>5419</v>
      </c>
      <c r="M238">
        <v>6</v>
      </c>
      <c r="N238" t="str">
        <f>VLOOKUP(M238,[1]LOJA!$A:$B,2,0)</f>
        <v>GAMA</v>
      </c>
      <c r="O238">
        <v>245</v>
      </c>
      <c r="P238" t="str">
        <f>VLOOKUP(O238,[1]OPERADORES!$A:$B,2,0)</f>
        <v>JOÃO PEDRO</v>
      </c>
      <c r="Q238">
        <v>7</v>
      </c>
      <c r="S238" t="s">
        <v>87</v>
      </c>
      <c r="T238" s="1">
        <v>46083</v>
      </c>
      <c r="U238">
        <v>962.5</v>
      </c>
      <c r="V238">
        <v>962.5</v>
      </c>
    </row>
    <row r="239" spans="1:22" x14ac:dyDescent="0.3">
      <c r="A239" t="s">
        <v>531</v>
      </c>
      <c r="B239" t="s">
        <v>532</v>
      </c>
      <c r="C239" t="s">
        <v>324</v>
      </c>
      <c r="D239" t="s">
        <v>5420</v>
      </c>
      <c r="E239" t="s">
        <v>15</v>
      </c>
      <c r="J239" s="1">
        <v>45972</v>
      </c>
      <c r="K239">
        <v>112</v>
      </c>
      <c r="L239" t="s">
        <v>534</v>
      </c>
      <c r="M239">
        <v>12</v>
      </c>
      <c r="N239" t="str">
        <f>VLOOKUP(M239,[1]LOJA!$A:$B,2,0)</f>
        <v>SOFNORTE</v>
      </c>
      <c r="O239">
        <v>209</v>
      </c>
      <c r="P239" t="str">
        <f>VLOOKUP(O239,[1]OPERADORES!$A:$B,2,0)</f>
        <v>MARIA WITHALINA CUNHA DE SOUZA</v>
      </c>
      <c r="Q239">
        <v>4</v>
      </c>
      <c r="S239" t="s">
        <v>535</v>
      </c>
      <c r="T239" s="1">
        <v>45972</v>
      </c>
      <c r="U239">
        <v>-0.11</v>
      </c>
      <c r="V239">
        <v>-0.11</v>
      </c>
    </row>
    <row r="240" spans="1:22" x14ac:dyDescent="0.3">
      <c r="A240" t="s">
        <v>536</v>
      </c>
      <c r="B240" t="s">
        <v>537</v>
      </c>
      <c r="C240" t="s">
        <v>13</v>
      </c>
      <c r="D240" t="s">
        <v>538</v>
      </c>
      <c r="E240" t="s">
        <v>15</v>
      </c>
      <c r="J240" s="1">
        <v>44820</v>
      </c>
      <c r="K240">
        <v>1264</v>
      </c>
      <c r="L240" t="s">
        <v>539</v>
      </c>
      <c r="M240">
        <v>14</v>
      </c>
      <c r="N240" t="str">
        <f>VLOOKUP(M240,[1]LOJA!$A:$B,2,0)</f>
        <v>S IA</v>
      </c>
      <c r="O240">
        <v>144</v>
      </c>
      <c r="P240" t="str">
        <f>VLOOKUP(O240,[1]OPERADORES!$A:$B,2,0)</f>
        <v>CINTIA DA SILVA CARLOS</v>
      </c>
      <c r="Q240">
        <v>10</v>
      </c>
      <c r="S240" t="s">
        <v>540</v>
      </c>
      <c r="T240" s="1">
        <v>44820</v>
      </c>
      <c r="U240">
        <v>-22.74</v>
      </c>
      <c r="V240">
        <v>-22.74</v>
      </c>
    </row>
    <row r="241" spans="1:22" x14ac:dyDescent="0.3">
      <c r="A241" t="s">
        <v>541</v>
      </c>
      <c r="B241" t="s">
        <v>32</v>
      </c>
      <c r="C241" t="s">
        <v>13</v>
      </c>
      <c r="D241" t="s">
        <v>542</v>
      </c>
      <c r="E241" t="s">
        <v>15</v>
      </c>
      <c r="J241" s="1">
        <v>44817</v>
      </c>
      <c r="K241">
        <v>1267</v>
      </c>
      <c r="L241" t="s">
        <v>543</v>
      </c>
      <c r="M241">
        <v>9</v>
      </c>
      <c r="N241" t="str">
        <f>VLOOKUP(M241,[1]LOJA!$A:$B,2,0)</f>
        <v>ÚNICA</v>
      </c>
      <c r="O241">
        <v>84</v>
      </c>
      <c r="P241" t="str">
        <f>VLOOKUP(O241,[1]OPERADORES!$A:$B,2,0)</f>
        <v>JEICY AZEVEDO</v>
      </c>
      <c r="Q241">
        <v>4</v>
      </c>
      <c r="S241" t="s">
        <v>544</v>
      </c>
      <c r="T241" s="1">
        <v>44817</v>
      </c>
      <c r="U241">
        <v>-78.400000000000006</v>
      </c>
      <c r="V241">
        <v>-78.400000000000006</v>
      </c>
    </row>
    <row r="242" spans="1:22" x14ac:dyDescent="0.3">
      <c r="A242" t="s">
        <v>545</v>
      </c>
      <c r="B242" t="s">
        <v>546</v>
      </c>
      <c r="C242" t="s">
        <v>13</v>
      </c>
      <c r="D242" t="s">
        <v>547</v>
      </c>
      <c r="E242" t="s">
        <v>15</v>
      </c>
      <c r="J242" s="1">
        <v>45663</v>
      </c>
      <c r="K242">
        <v>421</v>
      </c>
      <c r="L242" t="s">
        <v>548</v>
      </c>
      <c r="M242">
        <v>4</v>
      </c>
      <c r="N242" t="str">
        <f>VLOOKUP(M242,[1]LOJA!$A:$B,2,0)</f>
        <v>ADE</v>
      </c>
      <c r="O242">
        <v>226</v>
      </c>
      <c r="P242" t="str">
        <f>VLOOKUP(O242,[1]OPERADORES!$A:$B,2,0)</f>
        <v>MARIA FÉLIX</v>
      </c>
      <c r="Q242">
        <v>4</v>
      </c>
      <c r="S242" t="s">
        <v>549</v>
      </c>
      <c r="T242" s="1">
        <v>45663</v>
      </c>
      <c r="U242">
        <v>-0.67</v>
      </c>
      <c r="V242">
        <v>-0.67</v>
      </c>
    </row>
    <row r="243" spans="1:22" x14ac:dyDescent="0.3">
      <c r="A243" t="s">
        <v>545</v>
      </c>
      <c r="B243" t="s">
        <v>546</v>
      </c>
      <c r="C243" t="s">
        <v>13</v>
      </c>
      <c r="D243" t="s">
        <v>547</v>
      </c>
      <c r="E243" t="s">
        <v>15</v>
      </c>
      <c r="J243" s="1">
        <v>45860</v>
      </c>
      <c r="K243">
        <v>224</v>
      </c>
      <c r="L243" t="s">
        <v>550</v>
      </c>
      <c r="M243">
        <v>4</v>
      </c>
      <c r="N243" t="str">
        <f>VLOOKUP(M243,[1]LOJA!$A:$B,2,0)</f>
        <v>ADE</v>
      </c>
      <c r="O243">
        <v>84</v>
      </c>
      <c r="P243" t="str">
        <f>VLOOKUP(O243,[1]OPERADORES!$A:$B,2,0)</f>
        <v>JEICY AZEVEDO</v>
      </c>
      <c r="Q243">
        <v>4</v>
      </c>
      <c r="S243" t="s">
        <v>551</v>
      </c>
      <c r="T243" s="1">
        <v>45860</v>
      </c>
      <c r="U243">
        <v>-4</v>
      </c>
      <c r="V243">
        <v>-4</v>
      </c>
    </row>
    <row r="244" spans="1:22" x14ac:dyDescent="0.3">
      <c r="A244" t="s">
        <v>552</v>
      </c>
      <c r="B244" t="s">
        <v>553</v>
      </c>
      <c r="C244" t="s">
        <v>13</v>
      </c>
      <c r="D244" t="s">
        <v>554</v>
      </c>
      <c r="E244" t="s">
        <v>15</v>
      </c>
      <c r="J244" s="1">
        <v>45854</v>
      </c>
      <c r="K244">
        <v>230</v>
      </c>
      <c r="L244" t="s">
        <v>555</v>
      </c>
      <c r="M244">
        <v>14</v>
      </c>
      <c r="N244" t="str">
        <f>VLOOKUP(M244,[1]LOJA!$A:$B,2,0)</f>
        <v>S IA</v>
      </c>
      <c r="O244">
        <v>209</v>
      </c>
      <c r="P244" t="str">
        <f>VLOOKUP(O244,[1]OPERADORES!$A:$B,2,0)</f>
        <v>MARIA WITHALINA CUNHA DE SOUZA</v>
      </c>
      <c r="Q244">
        <v>4</v>
      </c>
      <c r="S244" t="s">
        <v>556</v>
      </c>
      <c r="T244" s="1">
        <v>45854</v>
      </c>
      <c r="U244">
        <v>-8</v>
      </c>
      <c r="V244">
        <v>-8</v>
      </c>
    </row>
    <row r="245" spans="1:22" x14ac:dyDescent="0.3">
      <c r="A245" t="s">
        <v>557</v>
      </c>
      <c r="B245" t="s">
        <v>558</v>
      </c>
      <c r="C245" t="s">
        <v>30</v>
      </c>
      <c r="D245" t="s">
        <v>5421</v>
      </c>
      <c r="E245" t="s">
        <v>15</v>
      </c>
      <c r="J245" s="1">
        <v>46078</v>
      </c>
      <c r="K245">
        <v>6</v>
      </c>
      <c r="L245" t="s">
        <v>559</v>
      </c>
      <c r="M245">
        <v>13</v>
      </c>
      <c r="N245" t="str">
        <f>VLOOKUP(M245,[1]LOJA!$A:$B,2,0)</f>
        <v>CEILÂNDIA</v>
      </c>
      <c r="O245">
        <v>67</v>
      </c>
      <c r="P245" t="str">
        <f>VLOOKUP(O245,[1]OPERADORES!$A:$B,2,0)</f>
        <v>ERIKA</v>
      </c>
      <c r="Q245">
        <v>10</v>
      </c>
      <c r="S245" t="s">
        <v>5422</v>
      </c>
      <c r="T245" s="1">
        <v>46064</v>
      </c>
      <c r="U245" s="2">
        <v>-1027.73</v>
      </c>
      <c r="V245" s="2">
        <v>-1027.73</v>
      </c>
    </row>
    <row r="246" spans="1:22" x14ac:dyDescent="0.3">
      <c r="A246" t="s">
        <v>560</v>
      </c>
      <c r="B246" t="s">
        <v>561</v>
      </c>
      <c r="C246" t="s">
        <v>13</v>
      </c>
      <c r="D246" t="s">
        <v>562</v>
      </c>
      <c r="E246" t="s">
        <v>15</v>
      </c>
      <c r="J246" s="1">
        <v>45499</v>
      </c>
      <c r="K246">
        <v>585</v>
      </c>
      <c r="L246" t="s">
        <v>563</v>
      </c>
      <c r="M246">
        <v>14</v>
      </c>
      <c r="N246" t="str">
        <f>VLOOKUP(M246,[1]LOJA!$A:$B,2,0)</f>
        <v>S IA</v>
      </c>
      <c r="O246">
        <v>227</v>
      </c>
      <c r="P246" t="str">
        <f>VLOOKUP(O246,[1]OPERADORES!$A:$B,2,0)</f>
        <v>WHALISSON</v>
      </c>
      <c r="Q246">
        <v>4</v>
      </c>
      <c r="S246" t="s">
        <v>564</v>
      </c>
      <c r="T246" s="1">
        <v>45499</v>
      </c>
      <c r="U246">
        <v>-18.59</v>
      </c>
      <c r="V246">
        <v>-18.59</v>
      </c>
    </row>
    <row r="247" spans="1:22" x14ac:dyDescent="0.3">
      <c r="A247" t="s">
        <v>565</v>
      </c>
      <c r="B247" t="s">
        <v>566</v>
      </c>
      <c r="C247" t="s">
        <v>567</v>
      </c>
      <c r="D247" t="s">
        <v>568</v>
      </c>
      <c r="E247" t="s">
        <v>15</v>
      </c>
      <c r="J247" s="1">
        <v>45728</v>
      </c>
      <c r="K247">
        <v>356</v>
      </c>
      <c r="L247" t="s">
        <v>569</v>
      </c>
      <c r="M247">
        <v>14</v>
      </c>
      <c r="N247" t="str">
        <f>VLOOKUP(M247,[1]LOJA!$A:$B,2,0)</f>
        <v>S IA</v>
      </c>
      <c r="O247">
        <v>108</v>
      </c>
      <c r="P247" t="str">
        <f>VLOOKUP(O247,[1]OPERADORES!$A:$B,2,0)</f>
        <v>CRISLANY DA SILVA</v>
      </c>
      <c r="Q247">
        <v>4</v>
      </c>
      <c r="S247" t="s">
        <v>570</v>
      </c>
      <c r="T247" s="1">
        <v>45728</v>
      </c>
      <c r="U247">
        <v>-0.09</v>
      </c>
      <c r="V247">
        <v>-0.09</v>
      </c>
    </row>
    <row r="248" spans="1:22" x14ac:dyDescent="0.3">
      <c r="A248" t="s">
        <v>565</v>
      </c>
      <c r="B248" t="s">
        <v>566</v>
      </c>
      <c r="C248" t="s">
        <v>567</v>
      </c>
      <c r="D248" t="s">
        <v>568</v>
      </c>
      <c r="E248" t="s">
        <v>15</v>
      </c>
      <c r="J248" s="1">
        <v>45978</v>
      </c>
      <c r="K248">
        <v>106</v>
      </c>
      <c r="L248" t="s">
        <v>571</v>
      </c>
      <c r="M248">
        <v>14</v>
      </c>
      <c r="N248" t="str">
        <f>VLOOKUP(M248,[1]LOJA!$A:$B,2,0)</f>
        <v>S IA</v>
      </c>
      <c r="O248">
        <v>54</v>
      </c>
      <c r="P248" t="str">
        <f>VLOOKUP(O248,[1]OPERADORES!$A:$B,2,0)</f>
        <v>ROBSON</v>
      </c>
      <c r="Q248">
        <v>4</v>
      </c>
      <c r="S248" t="s">
        <v>572</v>
      </c>
      <c r="T248" s="1">
        <v>45978</v>
      </c>
      <c r="U248">
        <v>-23.6</v>
      </c>
      <c r="V248">
        <v>-23.6</v>
      </c>
    </row>
    <row r="249" spans="1:22" x14ac:dyDescent="0.3">
      <c r="A249" t="s">
        <v>573</v>
      </c>
      <c r="B249" t="s">
        <v>574</v>
      </c>
      <c r="C249" t="s">
        <v>13</v>
      </c>
      <c r="D249" t="s">
        <v>575</v>
      </c>
      <c r="E249" t="s">
        <v>15</v>
      </c>
      <c r="J249" s="1">
        <v>45589</v>
      </c>
      <c r="K249">
        <v>495</v>
      </c>
      <c r="L249" t="s">
        <v>576</v>
      </c>
      <c r="M249">
        <v>12</v>
      </c>
      <c r="N249" t="str">
        <f>VLOOKUP(M249,[1]LOJA!$A:$B,2,0)</f>
        <v>SOFNORTE</v>
      </c>
      <c r="O249">
        <v>209</v>
      </c>
      <c r="P249" t="str">
        <f>VLOOKUP(O249,[1]OPERADORES!$A:$B,2,0)</f>
        <v>MARIA WITHALINA CUNHA DE SOUZA</v>
      </c>
      <c r="Q249">
        <v>4</v>
      </c>
      <c r="S249" t="s">
        <v>577</v>
      </c>
      <c r="T249" s="1">
        <v>45589</v>
      </c>
      <c r="U249">
        <v>-0.55000000000000004</v>
      </c>
      <c r="V249">
        <v>-0.55000000000000004</v>
      </c>
    </row>
    <row r="250" spans="1:22" x14ac:dyDescent="0.3">
      <c r="A250" t="s">
        <v>578</v>
      </c>
      <c r="B250" t="s">
        <v>579</v>
      </c>
      <c r="C250" t="s">
        <v>13</v>
      </c>
      <c r="D250" t="s">
        <v>580</v>
      </c>
      <c r="E250" t="s">
        <v>15</v>
      </c>
      <c r="J250" s="1">
        <v>44414</v>
      </c>
      <c r="K250">
        <v>1670</v>
      </c>
      <c r="L250" t="s">
        <v>581</v>
      </c>
      <c r="M250">
        <v>14</v>
      </c>
      <c r="N250" t="str">
        <f>VLOOKUP(M250,[1]LOJA!$A:$B,2,0)</f>
        <v>S IA</v>
      </c>
      <c r="O250">
        <v>123</v>
      </c>
      <c r="P250" t="str">
        <f>VLOOKUP(O250,[1]OPERADORES!$A:$B,2,0)</f>
        <v>PRICILA PAULA DOS SANTOS</v>
      </c>
      <c r="Q250">
        <v>4</v>
      </c>
      <c r="S250" t="s">
        <v>582</v>
      </c>
      <c r="T250" s="1">
        <v>44414</v>
      </c>
      <c r="U250">
        <v>-7</v>
      </c>
      <c r="V250">
        <v>-7</v>
      </c>
    </row>
    <row r="251" spans="1:22" x14ac:dyDescent="0.3">
      <c r="A251" t="s">
        <v>578</v>
      </c>
      <c r="B251" t="s">
        <v>579</v>
      </c>
      <c r="C251" t="s">
        <v>13</v>
      </c>
      <c r="D251" t="s">
        <v>580</v>
      </c>
      <c r="E251" t="s">
        <v>15</v>
      </c>
      <c r="J251" s="1">
        <v>44608</v>
      </c>
      <c r="K251">
        <v>1476</v>
      </c>
      <c r="L251" t="s">
        <v>583</v>
      </c>
      <c r="M251">
        <v>14</v>
      </c>
      <c r="N251" t="str">
        <f>VLOOKUP(M251,[1]LOJA!$A:$B,2,0)</f>
        <v>S IA</v>
      </c>
      <c r="O251">
        <v>144</v>
      </c>
      <c r="P251" t="str">
        <f>VLOOKUP(O251,[1]OPERADORES!$A:$B,2,0)</f>
        <v>CINTIA DA SILVA CARLOS</v>
      </c>
      <c r="Q251">
        <v>4</v>
      </c>
      <c r="S251" t="s">
        <v>584</v>
      </c>
      <c r="T251" s="1">
        <v>44608</v>
      </c>
      <c r="U251">
        <v>-2.11</v>
      </c>
      <c r="V251">
        <v>-2.11</v>
      </c>
    </row>
    <row r="252" spans="1:22" x14ac:dyDescent="0.3">
      <c r="A252" t="s">
        <v>585</v>
      </c>
      <c r="B252" t="s">
        <v>586</v>
      </c>
      <c r="C252" t="s">
        <v>140</v>
      </c>
      <c r="D252" t="s">
        <v>5423</v>
      </c>
      <c r="E252" t="s">
        <v>15</v>
      </c>
      <c r="J252" s="1">
        <v>46078</v>
      </c>
      <c r="K252">
        <v>6</v>
      </c>
      <c r="L252" t="s">
        <v>5424</v>
      </c>
      <c r="M252">
        <v>4</v>
      </c>
      <c r="N252" t="str">
        <f>VLOOKUP(M252,[1]LOJA!$A:$B,2,0)</f>
        <v>ADE</v>
      </c>
      <c r="O252">
        <v>20</v>
      </c>
      <c r="P252" t="str">
        <f>VLOOKUP(O252,[1]OPERADORES!$A:$B,2,0)</f>
        <v>MAYARA</v>
      </c>
      <c r="Q252">
        <v>20</v>
      </c>
      <c r="R252">
        <v>1000019259</v>
      </c>
      <c r="S252" t="s">
        <v>5425</v>
      </c>
      <c r="T252" s="1">
        <v>45992</v>
      </c>
      <c r="U252">
        <v>352</v>
      </c>
      <c r="V252">
        <v>352</v>
      </c>
    </row>
    <row r="253" spans="1:22" x14ac:dyDescent="0.3">
      <c r="A253" t="s">
        <v>587</v>
      </c>
      <c r="B253" t="s">
        <v>588</v>
      </c>
      <c r="C253" t="s">
        <v>293</v>
      </c>
      <c r="D253" t="s">
        <v>589</v>
      </c>
      <c r="E253" t="s">
        <v>15</v>
      </c>
      <c r="J253" s="1">
        <v>45052</v>
      </c>
      <c r="K253">
        <v>1032</v>
      </c>
      <c r="L253" t="s">
        <v>590</v>
      </c>
      <c r="M253">
        <v>4</v>
      </c>
      <c r="N253" t="str">
        <f>VLOOKUP(M253,[1]LOJA!$A:$B,2,0)</f>
        <v>ADE</v>
      </c>
      <c r="O253">
        <v>109</v>
      </c>
      <c r="P253" t="str">
        <f>VLOOKUP(O253,[1]OPERADORES!$A:$B,2,0)</f>
        <v>LIVIA DE SOUZA</v>
      </c>
      <c r="Q253">
        <v>7</v>
      </c>
      <c r="S253" t="s">
        <v>87</v>
      </c>
      <c r="T253" s="1">
        <v>45022</v>
      </c>
      <c r="U253">
        <v>330.03</v>
      </c>
      <c r="V253">
        <v>330.03</v>
      </c>
    </row>
    <row r="254" spans="1:22" x14ac:dyDescent="0.3">
      <c r="A254" t="s">
        <v>587</v>
      </c>
      <c r="B254" t="s">
        <v>588</v>
      </c>
      <c r="C254" t="s">
        <v>293</v>
      </c>
      <c r="D254" t="s">
        <v>589</v>
      </c>
      <c r="E254" t="s">
        <v>15</v>
      </c>
      <c r="J254" s="1">
        <v>45172</v>
      </c>
      <c r="K254">
        <v>912</v>
      </c>
      <c r="L254" t="s">
        <v>591</v>
      </c>
      <c r="M254">
        <v>4</v>
      </c>
      <c r="N254" t="str">
        <f>VLOOKUP(M254,[1]LOJA!$A:$B,2,0)</f>
        <v>ADE</v>
      </c>
      <c r="O254">
        <v>189</v>
      </c>
      <c r="P254" t="str">
        <f>VLOOKUP(O254,[1]OPERADORES!$A:$B,2,0)</f>
        <v>CAMILA WILLIANE</v>
      </c>
      <c r="Q254">
        <v>7</v>
      </c>
      <c r="S254" t="s">
        <v>87</v>
      </c>
      <c r="T254" s="1">
        <v>45142</v>
      </c>
      <c r="U254">
        <v>52.11</v>
      </c>
      <c r="V254">
        <v>52.11</v>
      </c>
    </row>
    <row r="255" spans="1:22" x14ac:dyDescent="0.3">
      <c r="A255" t="s">
        <v>592</v>
      </c>
      <c r="B255" t="s">
        <v>593</v>
      </c>
      <c r="C255" t="s">
        <v>13</v>
      </c>
      <c r="D255" t="s">
        <v>594</v>
      </c>
      <c r="E255" t="s">
        <v>15</v>
      </c>
      <c r="J255" s="1">
        <v>45762</v>
      </c>
      <c r="K255">
        <v>322</v>
      </c>
      <c r="L255" t="s">
        <v>595</v>
      </c>
      <c r="M255">
        <v>14</v>
      </c>
      <c r="N255" t="str">
        <f>VLOOKUP(M255,[1]LOJA!$A:$B,2,0)</f>
        <v>S IA</v>
      </c>
      <c r="O255">
        <v>212</v>
      </c>
      <c r="P255" t="str">
        <f>VLOOKUP(O255,[1]OPERADORES!$A:$B,2,0)</f>
        <v>YASMIN</v>
      </c>
      <c r="Q255">
        <v>4</v>
      </c>
      <c r="S255" t="s">
        <v>596</v>
      </c>
      <c r="T255" s="1">
        <v>45762</v>
      </c>
      <c r="U255">
        <v>-2.54</v>
      </c>
      <c r="V255">
        <v>-2.54</v>
      </c>
    </row>
    <row r="256" spans="1:22" x14ac:dyDescent="0.3">
      <c r="A256" t="s">
        <v>597</v>
      </c>
      <c r="B256" t="s">
        <v>598</v>
      </c>
      <c r="C256" t="s">
        <v>324</v>
      </c>
      <c r="D256" t="s">
        <v>5426</v>
      </c>
      <c r="E256" t="s">
        <v>15</v>
      </c>
      <c r="J256" s="1">
        <v>45042</v>
      </c>
      <c r="K256">
        <v>1042</v>
      </c>
      <c r="L256" t="s">
        <v>599</v>
      </c>
      <c r="M256">
        <v>1</v>
      </c>
      <c r="N256" t="str">
        <f>VLOOKUP(M256,[1]LOJA!$A:$B,2,0)</f>
        <v>GUARÁ</v>
      </c>
      <c r="O256">
        <v>26</v>
      </c>
      <c r="P256" t="str">
        <f>VLOOKUP(O256,[1]OPERADORES!$A:$B,2,0)</f>
        <v>JANUARIO</v>
      </c>
      <c r="Q256">
        <v>4</v>
      </c>
      <c r="S256" t="s">
        <v>600</v>
      </c>
      <c r="T256" s="1">
        <v>45042</v>
      </c>
      <c r="U256">
        <v>-0.74</v>
      </c>
      <c r="V256">
        <v>-0.74</v>
      </c>
    </row>
    <row r="257" spans="1:22" x14ac:dyDescent="0.3">
      <c r="A257" t="s">
        <v>597</v>
      </c>
      <c r="B257" t="s">
        <v>598</v>
      </c>
      <c r="C257" t="s">
        <v>324</v>
      </c>
      <c r="D257" t="s">
        <v>5426</v>
      </c>
      <c r="E257" t="s">
        <v>15</v>
      </c>
      <c r="J257" s="1">
        <v>46068</v>
      </c>
      <c r="K257">
        <v>16</v>
      </c>
      <c r="L257" t="s">
        <v>5427</v>
      </c>
      <c r="M257">
        <v>22</v>
      </c>
      <c r="N257" t="str">
        <f>VLOOKUP(M257,[1]LOJA!$A:$B,2,0)</f>
        <v>GUARÁ</v>
      </c>
      <c r="O257">
        <v>20</v>
      </c>
      <c r="P257" t="str">
        <f>VLOOKUP(O257,[1]OPERADORES!$A:$B,2,0)</f>
        <v>MAYARA</v>
      </c>
      <c r="Q257">
        <v>12</v>
      </c>
      <c r="S257" t="s">
        <v>5428</v>
      </c>
      <c r="T257" s="1">
        <v>46056</v>
      </c>
      <c r="U257">
        <v>43</v>
      </c>
      <c r="V257">
        <v>43</v>
      </c>
    </row>
    <row r="258" spans="1:22" x14ac:dyDescent="0.3">
      <c r="A258" t="s">
        <v>601</v>
      </c>
      <c r="B258" t="s">
        <v>602</v>
      </c>
      <c r="C258" t="s">
        <v>13</v>
      </c>
      <c r="D258" t="s">
        <v>603</v>
      </c>
      <c r="E258" t="s">
        <v>15</v>
      </c>
      <c r="J258" s="1">
        <v>45286</v>
      </c>
      <c r="K258">
        <v>798</v>
      </c>
      <c r="L258" t="s">
        <v>604</v>
      </c>
      <c r="M258">
        <v>8</v>
      </c>
      <c r="N258" t="str">
        <f>VLOOKUP(M258,[1]LOJA!$A:$B,2,0)</f>
        <v>LUZIÂNIA</v>
      </c>
      <c r="O258">
        <v>84</v>
      </c>
      <c r="P258" t="str">
        <f>VLOOKUP(O258,[1]OPERADORES!$A:$B,2,0)</f>
        <v>JEICY AZEVEDO</v>
      </c>
      <c r="Q258">
        <v>4</v>
      </c>
      <c r="S258" t="s">
        <v>605</v>
      </c>
      <c r="T258" s="1">
        <v>45142</v>
      </c>
      <c r="U258">
        <v>757</v>
      </c>
      <c r="V258">
        <v>757</v>
      </c>
    </row>
    <row r="259" spans="1:22" x14ac:dyDescent="0.3">
      <c r="A259" t="s">
        <v>601</v>
      </c>
      <c r="B259" t="s">
        <v>602</v>
      </c>
      <c r="C259" t="s">
        <v>13</v>
      </c>
      <c r="D259" t="s">
        <v>603</v>
      </c>
      <c r="E259" t="s">
        <v>15</v>
      </c>
      <c r="J259" s="1">
        <v>45304</v>
      </c>
      <c r="K259">
        <v>780</v>
      </c>
      <c r="L259" t="s">
        <v>606</v>
      </c>
      <c r="M259">
        <v>8</v>
      </c>
      <c r="N259" t="str">
        <f>VLOOKUP(M259,[1]LOJA!$A:$B,2,0)</f>
        <v>LUZIÂNIA</v>
      </c>
      <c r="O259">
        <v>84</v>
      </c>
      <c r="P259" t="str">
        <f>VLOOKUP(O259,[1]OPERADORES!$A:$B,2,0)</f>
        <v>JEICY AZEVEDO</v>
      </c>
      <c r="Q259">
        <v>4</v>
      </c>
      <c r="S259" t="s">
        <v>607</v>
      </c>
      <c r="T259" s="1">
        <v>45236</v>
      </c>
      <c r="U259" s="2">
        <v>4288</v>
      </c>
      <c r="V259" s="2">
        <v>4288</v>
      </c>
    </row>
    <row r="260" spans="1:22" x14ac:dyDescent="0.3">
      <c r="A260" t="s">
        <v>601</v>
      </c>
      <c r="B260" t="s">
        <v>602</v>
      </c>
      <c r="C260" t="s">
        <v>13</v>
      </c>
      <c r="D260" t="s">
        <v>603</v>
      </c>
      <c r="E260" t="s">
        <v>15</v>
      </c>
      <c r="J260" s="1">
        <v>45307</v>
      </c>
      <c r="K260">
        <v>777</v>
      </c>
      <c r="L260" t="s">
        <v>608</v>
      </c>
      <c r="M260">
        <v>8</v>
      </c>
      <c r="N260" t="str">
        <f>VLOOKUP(M260,[1]LOJA!$A:$B,2,0)</f>
        <v>LUZIÂNIA</v>
      </c>
      <c r="O260">
        <v>20</v>
      </c>
      <c r="P260" t="str">
        <f>VLOOKUP(O260,[1]OPERADORES!$A:$B,2,0)</f>
        <v>MAYARA</v>
      </c>
      <c r="Q260">
        <v>22</v>
      </c>
      <c r="R260">
        <v>1000011328</v>
      </c>
      <c r="S260" t="s">
        <v>609</v>
      </c>
      <c r="T260" s="1">
        <v>45268</v>
      </c>
      <c r="U260">
        <v>136.69</v>
      </c>
      <c r="V260">
        <v>136.69</v>
      </c>
    </row>
    <row r="261" spans="1:22" x14ac:dyDescent="0.3">
      <c r="A261" t="s">
        <v>601</v>
      </c>
      <c r="B261" t="s">
        <v>602</v>
      </c>
      <c r="C261" t="s">
        <v>13</v>
      </c>
      <c r="D261" t="s">
        <v>603</v>
      </c>
      <c r="E261" t="s">
        <v>15</v>
      </c>
      <c r="J261" s="1">
        <v>45309</v>
      </c>
      <c r="K261">
        <v>775</v>
      </c>
      <c r="L261" t="s">
        <v>610</v>
      </c>
      <c r="M261">
        <v>8</v>
      </c>
      <c r="N261" t="str">
        <f>VLOOKUP(M261,[1]LOJA!$A:$B,2,0)</f>
        <v>LUZIÂNIA</v>
      </c>
      <c r="O261">
        <v>84</v>
      </c>
      <c r="P261" t="str">
        <f>VLOOKUP(O261,[1]OPERADORES!$A:$B,2,0)</f>
        <v>JEICY AZEVEDO</v>
      </c>
      <c r="Q261">
        <v>4</v>
      </c>
      <c r="S261" t="s">
        <v>611</v>
      </c>
      <c r="T261" s="1">
        <v>45203</v>
      </c>
      <c r="U261" s="2">
        <v>4070</v>
      </c>
      <c r="V261" s="2">
        <v>4070</v>
      </c>
    </row>
    <row r="262" spans="1:22" x14ac:dyDescent="0.3">
      <c r="A262" t="s">
        <v>601</v>
      </c>
      <c r="B262" t="s">
        <v>602</v>
      </c>
      <c r="C262" t="s">
        <v>13</v>
      </c>
      <c r="D262" t="s">
        <v>603</v>
      </c>
      <c r="E262" t="s">
        <v>15</v>
      </c>
      <c r="J262" s="1">
        <v>45317</v>
      </c>
      <c r="K262">
        <v>767</v>
      </c>
      <c r="L262" t="s">
        <v>612</v>
      </c>
      <c r="M262">
        <v>8</v>
      </c>
      <c r="N262" t="str">
        <f>VLOOKUP(M262,[1]LOJA!$A:$B,2,0)</f>
        <v>LUZIÂNIA</v>
      </c>
      <c r="O262">
        <v>84</v>
      </c>
      <c r="P262" t="str">
        <f>VLOOKUP(O262,[1]OPERADORES!$A:$B,2,0)</f>
        <v>JEICY AZEVEDO</v>
      </c>
      <c r="Q262">
        <v>4</v>
      </c>
      <c r="S262" t="s">
        <v>613</v>
      </c>
      <c r="T262" s="1">
        <v>45142</v>
      </c>
      <c r="U262" s="2">
        <v>3261</v>
      </c>
      <c r="V262" s="2">
        <v>3261</v>
      </c>
    </row>
    <row r="263" spans="1:22" x14ac:dyDescent="0.3">
      <c r="A263" t="s">
        <v>601</v>
      </c>
      <c r="B263" t="s">
        <v>602</v>
      </c>
      <c r="C263" t="s">
        <v>13</v>
      </c>
      <c r="D263" t="s">
        <v>603</v>
      </c>
      <c r="E263" t="s">
        <v>15</v>
      </c>
      <c r="J263" s="1">
        <v>45318</v>
      </c>
      <c r="K263">
        <v>766</v>
      </c>
      <c r="L263" t="s">
        <v>614</v>
      </c>
      <c r="M263">
        <v>8</v>
      </c>
      <c r="N263" t="str">
        <f>VLOOKUP(M263,[1]LOJA!$A:$B,2,0)</f>
        <v>LUZIÂNIA</v>
      </c>
      <c r="O263">
        <v>84</v>
      </c>
      <c r="P263" t="str">
        <f>VLOOKUP(O263,[1]OPERADORES!$A:$B,2,0)</f>
        <v>JEICY AZEVEDO</v>
      </c>
      <c r="Q263">
        <v>4</v>
      </c>
      <c r="S263" t="s">
        <v>615</v>
      </c>
      <c r="T263" s="1">
        <v>45174</v>
      </c>
      <c r="U263" s="2">
        <v>3780</v>
      </c>
      <c r="V263" s="2">
        <v>3780</v>
      </c>
    </row>
    <row r="264" spans="1:22" x14ac:dyDescent="0.3">
      <c r="A264" t="s">
        <v>601</v>
      </c>
      <c r="B264" t="s">
        <v>602</v>
      </c>
      <c r="C264" t="s">
        <v>13</v>
      </c>
      <c r="D264" t="s">
        <v>603</v>
      </c>
      <c r="E264" t="s">
        <v>15</v>
      </c>
      <c r="J264" s="1">
        <v>45329</v>
      </c>
      <c r="K264">
        <v>755</v>
      </c>
      <c r="L264" t="s">
        <v>616</v>
      </c>
      <c r="M264">
        <v>8</v>
      </c>
      <c r="N264" t="str">
        <f>VLOOKUP(M264,[1]LOJA!$A:$B,2,0)</f>
        <v>LUZIÂNIA</v>
      </c>
      <c r="O264">
        <v>20</v>
      </c>
      <c r="P264" t="str">
        <f>VLOOKUP(O264,[1]OPERADORES!$A:$B,2,0)</f>
        <v>MAYARA</v>
      </c>
      <c r="Q264">
        <v>22</v>
      </c>
      <c r="R264">
        <v>1000011530</v>
      </c>
      <c r="S264" t="s">
        <v>617</v>
      </c>
      <c r="T264" s="1">
        <v>45295</v>
      </c>
      <c r="U264" s="2">
        <v>3006.75</v>
      </c>
      <c r="V264" s="2">
        <v>3006.75</v>
      </c>
    </row>
    <row r="265" spans="1:22" x14ac:dyDescent="0.3">
      <c r="A265" t="s">
        <v>601</v>
      </c>
      <c r="B265" t="s">
        <v>602</v>
      </c>
      <c r="C265" t="s">
        <v>13</v>
      </c>
      <c r="D265" t="s">
        <v>603</v>
      </c>
      <c r="E265" t="s">
        <v>15</v>
      </c>
      <c r="J265" s="1">
        <v>45330</v>
      </c>
      <c r="K265">
        <v>754</v>
      </c>
      <c r="L265" t="s">
        <v>618</v>
      </c>
      <c r="M265">
        <v>8</v>
      </c>
      <c r="N265" t="str">
        <f>VLOOKUP(M265,[1]LOJA!$A:$B,2,0)</f>
        <v>LUZIÂNIA</v>
      </c>
      <c r="O265">
        <v>20</v>
      </c>
      <c r="P265" t="str">
        <f>VLOOKUP(O265,[1]OPERADORES!$A:$B,2,0)</f>
        <v>MAYARA</v>
      </c>
      <c r="Q265">
        <v>22</v>
      </c>
      <c r="R265">
        <v>1000011310</v>
      </c>
      <c r="S265" t="s">
        <v>619</v>
      </c>
      <c r="T265" s="1">
        <v>45267</v>
      </c>
      <c r="U265" s="2">
        <v>5110</v>
      </c>
      <c r="V265" s="2">
        <v>5110</v>
      </c>
    </row>
    <row r="266" spans="1:22" x14ac:dyDescent="0.3">
      <c r="A266" t="s">
        <v>601</v>
      </c>
      <c r="B266" t="s">
        <v>602</v>
      </c>
      <c r="C266" t="s">
        <v>13</v>
      </c>
      <c r="D266" t="s">
        <v>603</v>
      </c>
      <c r="E266" t="s">
        <v>15</v>
      </c>
      <c r="J266" s="1">
        <v>45335</v>
      </c>
      <c r="K266">
        <v>749</v>
      </c>
      <c r="L266" t="s">
        <v>620</v>
      </c>
      <c r="M266">
        <v>8</v>
      </c>
      <c r="N266" t="str">
        <f>VLOOKUP(M266,[1]LOJA!$A:$B,2,0)</f>
        <v>LUZIÂNIA</v>
      </c>
      <c r="O266">
        <v>84</v>
      </c>
      <c r="P266" t="str">
        <f>VLOOKUP(O266,[1]OPERADORES!$A:$B,2,0)</f>
        <v>JEICY AZEVEDO</v>
      </c>
      <c r="Q266">
        <v>4</v>
      </c>
      <c r="S266" t="s">
        <v>621</v>
      </c>
      <c r="T266" s="1">
        <v>45236</v>
      </c>
      <c r="U266" s="2">
        <v>4288</v>
      </c>
      <c r="V266" s="2">
        <v>4288</v>
      </c>
    </row>
    <row r="267" spans="1:22" x14ac:dyDescent="0.3">
      <c r="A267" t="s">
        <v>601</v>
      </c>
      <c r="B267" t="s">
        <v>602</v>
      </c>
      <c r="C267" t="s">
        <v>13</v>
      </c>
      <c r="D267" t="s">
        <v>603</v>
      </c>
      <c r="E267" t="s">
        <v>15</v>
      </c>
      <c r="J267" s="1">
        <v>45338</v>
      </c>
      <c r="K267">
        <v>746</v>
      </c>
      <c r="L267" t="s">
        <v>622</v>
      </c>
      <c r="M267">
        <v>8</v>
      </c>
      <c r="N267" t="str">
        <f>VLOOKUP(M267,[1]LOJA!$A:$B,2,0)</f>
        <v>LUZIÂNIA</v>
      </c>
      <c r="O267">
        <v>20</v>
      </c>
      <c r="P267" t="str">
        <f>VLOOKUP(O267,[1]OPERADORES!$A:$B,2,0)</f>
        <v>MAYARA</v>
      </c>
      <c r="Q267">
        <v>22</v>
      </c>
      <c r="R267">
        <v>1000011329</v>
      </c>
      <c r="S267" t="s">
        <v>623</v>
      </c>
      <c r="T267" s="1">
        <v>45268</v>
      </c>
      <c r="U267" s="2">
        <v>3120</v>
      </c>
      <c r="V267" s="2">
        <v>3120</v>
      </c>
    </row>
    <row r="268" spans="1:22" x14ac:dyDescent="0.3">
      <c r="A268" t="s">
        <v>601</v>
      </c>
      <c r="B268" t="s">
        <v>602</v>
      </c>
      <c r="C268" t="s">
        <v>13</v>
      </c>
      <c r="D268" t="s">
        <v>603</v>
      </c>
      <c r="E268" t="s">
        <v>15</v>
      </c>
      <c r="J268" s="1">
        <v>45340</v>
      </c>
      <c r="K268">
        <v>744</v>
      </c>
      <c r="L268" t="s">
        <v>624</v>
      </c>
      <c r="M268">
        <v>8</v>
      </c>
      <c r="N268" t="str">
        <f>VLOOKUP(M268,[1]LOJA!$A:$B,2,0)</f>
        <v>LUZIÂNIA</v>
      </c>
      <c r="O268">
        <v>84</v>
      </c>
      <c r="P268" t="str">
        <f>VLOOKUP(O268,[1]OPERADORES!$A:$B,2,0)</f>
        <v>JEICY AZEVEDO</v>
      </c>
      <c r="Q268">
        <v>4</v>
      </c>
      <c r="S268" t="s">
        <v>625</v>
      </c>
      <c r="T268" s="1">
        <v>45203</v>
      </c>
      <c r="U268" s="2">
        <v>4070</v>
      </c>
      <c r="V268" s="2">
        <v>4070</v>
      </c>
    </row>
    <row r="269" spans="1:22" x14ac:dyDescent="0.3">
      <c r="A269" t="s">
        <v>601</v>
      </c>
      <c r="B269" t="s">
        <v>602</v>
      </c>
      <c r="C269" t="s">
        <v>13</v>
      </c>
      <c r="D269" t="s">
        <v>603</v>
      </c>
      <c r="E269" t="s">
        <v>15</v>
      </c>
      <c r="J269" s="1">
        <v>45349</v>
      </c>
      <c r="K269">
        <v>735</v>
      </c>
      <c r="L269" t="s">
        <v>626</v>
      </c>
      <c r="M269">
        <v>8</v>
      </c>
      <c r="N269" t="str">
        <f>VLOOKUP(M269,[1]LOJA!$A:$B,2,0)</f>
        <v>LUZIÂNIA</v>
      </c>
      <c r="O269">
        <v>84</v>
      </c>
      <c r="P269" t="str">
        <f>VLOOKUP(O269,[1]OPERADORES!$A:$B,2,0)</f>
        <v>JEICY AZEVEDO</v>
      </c>
      <c r="Q269">
        <v>4</v>
      </c>
      <c r="S269" t="s">
        <v>627</v>
      </c>
      <c r="T269" s="1">
        <v>45174</v>
      </c>
      <c r="U269" s="2">
        <v>3770</v>
      </c>
      <c r="V269" s="2">
        <v>3770</v>
      </c>
    </row>
    <row r="270" spans="1:22" x14ac:dyDescent="0.3">
      <c r="A270" t="s">
        <v>601</v>
      </c>
      <c r="B270" t="s">
        <v>602</v>
      </c>
      <c r="C270" t="s">
        <v>13</v>
      </c>
      <c r="D270" t="s">
        <v>603</v>
      </c>
      <c r="E270" t="s">
        <v>15</v>
      </c>
      <c r="J270" s="1">
        <v>45356</v>
      </c>
      <c r="K270">
        <v>728</v>
      </c>
      <c r="L270" t="s">
        <v>628</v>
      </c>
      <c r="M270">
        <v>8</v>
      </c>
      <c r="N270" t="str">
        <f>VLOOKUP(M270,[1]LOJA!$A:$B,2,0)</f>
        <v>LUZIÂNIA</v>
      </c>
      <c r="O270">
        <v>20</v>
      </c>
      <c r="P270" t="str">
        <f>VLOOKUP(O270,[1]OPERADORES!$A:$B,2,0)</f>
        <v>MAYARA</v>
      </c>
      <c r="Q270">
        <v>22</v>
      </c>
      <c r="R270">
        <v>1000011531</v>
      </c>
      <c r="S270" t="s">
        <v>629</v>
      </c>
      <c r="T270" s="1">
        <v>45295</v>
      </c>
      <c r="U270" s="2">
        <v>3006</v>
      </c>
      <c r="V270" s="2">
        <v>3006</v>
      </c>
    </row>
    <row r="271" spans="1:22" x14ac:dyDescent="0.3">
      <c r="A271" t="s">
        <v>601</v>
      </c>
      <c r="B271" t="s">
        <v>602</v>
      </c>
      <c r="C271" t="s">
        <v>13</v>
      </c>
      <c r="D271" t="s">
        <v>603</v>
      </c>
      <c r="E271" t="s">
        <v>15</v>
      </c>
      <c r="J271" s="1">
        <v>45358</v>
      </c>
      <c r="K271">
        <v>726</v>
      </c>
      <c r="L271" t="s">
        <v>630</v>
      </c>
      <c r="M271">
        <v>8</v>
      </c>
      <c r="N271" t="str">
        <f>VLOOKUP(M271,[1]LOJA!$A:$B,2,0)</f>
        <v>LUZIÂNIA</v>
      </c>
      <c r="O271">
        <v>20</v>
      </c>
      <c r="P271" t="str">
        <f>VLOOKUP(O271,[1]OPERADORES!$A:$B,2,0)</f>
        <v>MAYARA</v>
      </c>
      <c r="Q271">
        <v>22</v>
      </c>
      <c r="R271">
        <v>1000011311</v>
      </c>
      <c r="S271" t="s">
        <v>631</v>
      </c>
      <c r="T271" s="1">
        <v>45267</v>
      </c>
      <c r="U271" s="2">
        <v>5110</v>
      </c>
      <c r="V271" s="2">
        <v>5110</v>
      </c>
    </row>
    <row r="272" spans="1:22" x14ac:dyDescent="0.3">
      <c r="A272" t="s">
        <v>601</v>
      </c>
      <c r="B272" t="s">
        <v>602</v>
      </c>
      <c r="C272" t="s">
        <v>13</v>
      </c>
      <c r="D272" t="s">
        <v>603</v>
      </c>
      <c r="E272" t="s">
        <v>15</v>
      </c>
      <c r="J272" s="1">
        <v>45364</v>
      </c>
      <c r="K272">
        <v>720</v>
      </c>
      <c r="L272" t="s">
        <v>632</v>
      </c>
      <c r="M272">
        <v>8</v>
      </c>
      <c r="N272" t="str">
        <f>VLOOKUP(M272,[1]LOJA!$A:$B,2,0)</f>
        <v>LUZIÂNIA</v>
      </c>
      <c r="O272">
        <v>84</v>
      </c>
      <c r="P272" t="str">
        <f>VLOOKUP(O272,[1]OPERADORES!$A:$B,2,0)</f>
        <v>JEICY AZEVEDO</v>
      </c>
      <c r="Q272">
        <v>4</v>
      </c>
      <c r="S272" t="s">
        <v>633</v>
      </c>
      <c r="T272" s="1">
        <v>45236</v>
      </c>
      <c r="U272" s="2">
        <v>4288</v>
      </c>
      <c r="V272" s="2">
        <v>4288</v>
      </c>
    </row>
    <row r="273" spans="1:22" x14ac:dyDescent="0.3">
      <c r="A273" t="s">
        <v>601</v>
      </c>
      <c r="B273" t="s">
        <v>602</v>
      </c>
      <c r="C273" t="s">
        <v>13</v>
      </c>
      <c r="D273" t="s">
        <v>603</v>
      </c>
      <c r="E273" t="s">
        <v>15</v>
      </c>
      <c r="J273" s="1">
        <v>45366</v>
      </c>
      <c r="K273">
        <v>718</v>
      </c>
      <c r="L273" t="s">
        <v>634</v>
      </c>
      <c r="M273">
        <v>8</v>
      </c>
      <c r="N273" t="str">
        <f>VLOOKUP(M273,[1]LOJA!$A:$B,2,0)</f>
        <v>LUZIÂNIA</v>
      </c>
      <c r="O273">
        <v>170</v>
      </c>
      <c r="P273" t="str">
        <f>VLOOKUP(O273,[1]OPERADORES!$A:$B,2,0)</f>
        <v>MARIA LUISA</v>
      </c>
      <c r="Q273">
        <v>4</v>
      </c>
      <c r="S273" t="s">
        <v>635</v>
      </c>
      <c r="T273" s="1">
        <v>45366</v>
      </c>
      <c r="U273">
        <v>-0.6</v>
      </c>
      <c r="V273">
        <v>-0.6</v>
      </c>
    </row>
    <row r="274" spans="1:22" x14ac:dyDescent="0.3">
      <c r="A274" t="s">
        <v>601</v>
      </c>
      <c r="B274" t="s">
        <v>602</v>
      </c>
      <c r="C274" t="s">
        <v>13</v>
      </c>
      <c r="D274" t="s">
        <v>603</v>
      </c>
      <c r="E274" t="s">
        <v>15</v>
      </c>
      <c r="J274" s="1">
        <v>45367</v>
      </c>
      <c r="K274">
        <v>717</v>
      </c>
      <c r="L274" t="s">
        <v>636</v>
      </c>
      <c r="M274">
        <v>8</v>
      </c>
      <c r="N274" t="str">
        <f>VLOOKUP(M274,[1]LOJA!$A:$B,2,0)</f>
        <v>LUZIÂNIA</v>
      </c>
      <c r="O274">
        <v>20</v>
      </c>
      <c r="P274" t="str">
        <f>VLOOKUP(O274,[1]OPERADORES!$A:$B,2,0)</f>
        <v>MAYARA</v>
      </c>
      <c r="Q274">
        <v>22</v>
      </c>
      <c r="R274">
        <v>1000011330</v>
      </c>
      <c r="S274" t="s">
        <v>637</v>
      </c>
      <c r="T274" s="1">
        <v>45268</v>
      </c>
      <c r="U274" s="2">
        <v>3120</v>
      </c>
      <c r="V274" s="2">
        <v>3120</v>
      </c>
    </row>
    <row r="275" spans="1:22" x14ac:dyDescent="0.3">
      <c r="A275" t="s">
        <v>601</v>
      </c>
      <c r="B275" t="s">
        <v>602</v>
      </c>
      <c r="C275" t="s">
        <v>13</v>
      </c>
      <c r="D275" t="s">
        <v>603</v>
      </c>
      <c r="E275" t="s">
        <v>15</v>
      </c>
      <c r="J275" s="1">
        <v>45369</v>
      </c>
      <c r="K275">
        <v>715</v>
      </c>
      <c r="L275" t="s">
        <v>638</v>
      </c>
      <c r="M275">
        <v>8</v>
      </c>
      <c r="N275" t="str">
        <f>VLOOKUP(M275,[1]LOJA!$A:$B,2,0)</f>
        <v>LUZIÂNIA</v>
      </c>
      <c r="O275">
        <v>84</v>
      </c>
      <c r="P275" t="str">
        <f>VLOOKUP(O275,[1]OPERADORES!$A:$B,2,0)</f>
        <v>JEICY AZEVEDO</v>
      </c>
      <c r="Q275">
        <v>4</v>
      </c>
      <c r="S275" t="s">
        <v>639</v>
      </c>
      <c r="T275" s="1">
        <v>45203</v>
      </c>
      <c r="U275" s="2">
        <v>4073</v>
      </c>
      <c r="V275" s="2">
        <v>4073</v>
      </c>
    </row>
    <row r="276" spans="1:22" x14ac:dyDescent="0.3">
      <c r="A276" t="s">
        <v>601</v>
      </c>
      <c r="B276" t="s">
        <v>602</v>
      </c>
      <c r="C276" t="s">
        <v>13</v>
      </c>
      <c r="D276" t="s">
        <v>603</v>
      </c>
      <c r="E276" t="s">
        <v>15</v>
      </c>
      <c r="J276" s="1">
        <v>45387</v>
      </c>
      <c r="K276">
        <v>697</v>
      </c>
      <c r="L276" t="s">
        <v>640</v>
      </c>
      <c r="M276">
        <v>8</v>
      </c>
      <c r="N276" t="str">
        <f>VLOOKUP(M276,[1]LOJA!$A:$B,2,0)</f>
        <v>LUZIÂNIA</v>
      </c>
      <c r="O276">
        <v>20</v>
      </c>
      <c r="P276" t="str">
        <f>VLOOKUP(O276,[1]OPERADORES!$A:$B,2,0)</f>
        <v>MAYARA</v>
      </c>
      <c r="Q276">
        <v>22</v>
      </c>
      <c r="R276">
        <v>1000011532</v>
      </c>
      <c r="S276" t="s">
        <v>641</v>
      </c>
      <c r="T276" s="1">
        <v>45295</v>
      </c>
      <c r="U276" s="2">
        <v>3006</v>
      </c>
      <c r="V276" s="2">
        <v>3006</v>
      </c>
    </row>
    <row r="277" spans="1:22" x14ac:dyDescent="0.3">
      <c r="A277" t="s">
        <v>601</v>
      </c>
      <c r="B277" t="s">
        <v>602</v>
      </c>
      <c r="C277" t="s">
        <v>13</v>
      </c>
      <c r="D277" t="s">
        <v>603</v>
      </c>
      <c r="E277" t="s">
        <v>15</v>
      </c>
      <c r="J277" s="1">
        <v>45389</v>
      </c>
      <c r="K277">
        <v>695</v>
      </c>
      <c r="L277" t="s">
        <v>642</v>
      </c>
      <c r="M277">
        <v>8</v>
      </c>
      <c r="N277" t="str">
        <f>VLOOKUP(M277,[1]LOJA!$A:$B,2,0)</f>
        <v>LUZIÂNIA</v>
      </c>
      <c r="O277">
        <v>20</v>
      </c>
      <c r="P277" t="str">
        <f>VLOOKUP(O277,[1]OPERADORES!$A:$B,2,0)</f>
        <v>MAYARA</v>
      </c>
      <c r="Q277">
        <v>22</v>
      </c>
      <c r="R277">
        <v>1000011312</v>
      </c>
      <c r="S277" t="s">
        <v>643</v>
      </c>
      <c r="T277" s="1">
        <v>45267</v>
      </c>
      <c r="U277" s="2">
        <v>1110</v>
      </c>
      <c r="V277" s="2">
        <v>1110</v>
      </c>
    </row>
    <row r="278" spans="1:22" x14ac:dyDescent="0.3">
      <c r="A278" t="s">
        <v>601</v>
      </c>
      <c r="B278" t="s">
        <v>602</v>
      </c>
      <c r="C278" t="s">
        <v>13</v>
      </c>
      <c r="D278" t="s">
        <v>603</v>
      </c>
      <c r="E278" t="s">
        <v>15</v>
      </c>
      <c r="J278" s="1">
        <v>45395</v>
      </c>
      <c r="K278">
        <v>689</v>
      </c>
      <c r="L278" t="s">
        <v>644</v>
      </c>
      <c r="M278">
        <v>8</v>
      </c>
      <c r="N278" t="str">
        <f>VLOOKUP(M278,[1]LOJA!$A:$B,2,0)</f>
        <v>LUZIÂNIA</v>
      </c>
      <c r="O278">
        <v>84</v>
      </c>
      <c r="P278" t="str">
        <f>VLOOKUP(O278,[1]OPERADORES!$A:$B,2,0)</f>
        <v>JEICY AZEVEDO</v>
      </c>
      <c r="Q278">
        <v>4</v>
      </c>
      <c r="S278" t="s">
        <v>645</v>
      </c>
      <c r="T278" s="1">
        <v>45236</v>
      </c>
      <c r="U278" s="2">
        <v>4288</v>
      </c>
      <c r="V278" s="2">
        <v>4288</v>
      </c>
    </row>
    <row r="279" spans="1:22" x14ac:dyDescent="0.3">
      <c r="A279" t="s">
        <v>601</v>
      </c>
      <c r="B279" t="s">
        <v>602</v>
      </c>
      <c r="C279" t="s">
        <v>13</v>
      </c>
      <c r="D279" t="s">
        <v>603</v>
      </c>
      <c r="E279" t="s">
        <v>15</v>
      </c>
      <c r="J279" s="1">
        <v>45398</v>
      </c>
      <c r="K279">
        <v>686</v>
      </c>
      <c r="L279" t="s">
        <v>646</v>
      </c>
      <c r="M279">
        <v>8</v>
      </c>
      <c r="N279" t="str">
        <f>VLOOKUP(M279,[1]LOJA!$A:$B,2,0)</f>
        <v>LUZIÂNIA</v>
      </c>
      <c r="O279">
        <v>20</v>
      </c>
      <c r="P279" t="str">
        <f>VLOOKUP(O279,[1]OPERADORES!$A:$B,2,0)</f>
        <v>MAYARA</v>
      </c>
      <c r="Q279">
        <v>22</v>
      </c>
      <c r="R279">
        <v>1000011331</v>
      </c>
      <c r="S279" t="s">
        <v>647</v>
      </c>
      <c r="T279" s="1">
        <v>45268</v>
      </c>
      <c r="U279" s="2">
        <v>3120</v>
      </c>
      <c r="V279" s="2">
        <v>3120</v>
      </c>
    </row>
    <row r="280" spans="1:22" x14ac:dyDescent="0.3">
      <c r="A280" t="s">
        <v>601</v>
      </c>
      <c r="B280" t="s">
        <v>602</v>
      </c>
      <c r="C280" t="s">
        <v>13</v>
      </c>
      <c r="D280" t="s">
        <v>603</v>
      </c>
      <c r="E280" t="s">
        <v>15</v>
      </c>
      <c r="J280" s="1">
        <v>45417</v>
      </c>
      <c r="K280">
        <v>667</v>
      </c>
      <c r="L280" t="s">
        <v>648</v>
      </c>
      <c r="M280">
        <v>8</v>
      </c>
      <c r="N280" t="str">
        <f>VLOOKUP(M280,[1]LOJA!$A:$B,2,0)</f>
        <v>LUZIÂNIA</v>
      </c>
      <c r="O280">
        <v>20</v>
      </c>
      <c r="P280" t="str">
        <f>VLOOKUP(O280,[1]OPERADORES!$A:$B,2,0)</f>
        <v>MAYARA</v>
      </c>
      <c r="Q280">
        <v>22</v>
      </c>
      <c r="R280">
        <v>1000011533</v>
      </c>
      <c r="S280" t="s">
        <v>649</v>
      </c>
      <c r="T280" s="1">
        <v>45295</v>
      </c>
      <c r="U280" s="2">
        <v>3006</v>
      </c>
      <c r="V280" s="2">
        <v>3006</v>
      </c>
    </row>
    <row r="281" spans="1:22" x14ac:dyDescent="0.3">
      <c r="A281" t="s">
        <v>601</v>
      </c>
      <c r="B281" t="s">
        <v>602</v>
      </c>
      <c r="C281" t="s">
        <v>13</v>
      </c>
      <c r="D281" t="s">
        <v>603</v>
      </c>
      <c r="E281" t="s">
        <v>15</v>
      </c>
      <c r="J281" s="1">
        <v>45419</v>
      </c>
      <c r="K281">
        <v>665</v>
      </c>
      <c r="L281" t="s">
        <v>650</v>
      </c>
      <c r="M281">
        <v>8</v>
      </c>
      <c r="N281" t="str">
        <f>VLOOKUP(M281,[1]LOJA!$A:$B,2,0)</f>
        <v>LUZIÂNIA</v>
      </c>
      <c r="O281">
        <v>20</v>
      </c>
      <c r="P281" t="str">
        <f>VLOOKUP(O281,[1]OPERADORES!$A:$B,2,0)</f>
        <v>MAYARA</v>
      </c>
      <c r="Q281">
        <v>22</v>
      </c>
      <c r="R281">
        <v>1000011313</v>
      </c>
      <c r="S281" t="s">
        <v>651</v>
      </c>
      <c r="T281" s="1">
        <v>45267</v>
      </c>
      <c r="U281" s="2">
        <v>5110</v>
      </c>
      <c r="V281" s="2">
        <v>5110</v>
      </c>
    </row>
    <row r="282" spans="1:22" x14ac:dyDescent="0.3">
      <c r="A282" t="s">
        <v>601</v>
      </c>
      <c r="B282" t="s">
        <v>602</v>
      </c>
      <c r="C282" t="s">
        <v>13</v>
      </c>
      <c r="D282" t="s">
        <v>603</v>
      </c>
      <c r="E282" t="s">
        <v>15</v>
      </c>
      <c r="J282" s="1">
        <v>45428</v>
      </c>
      <c r="K282">
        <v>656</v>
      </c>
      <c r="L282" t="s">
        <v>652</v>
      </c>
      <c r="M282">
        <v>8</v>
      </c>
      <c r="N282" t="str">
        <f>VLOOKUP(M282,[1]LOJA!$A:$B,2,0)</f>
        <v>LUZIÂNIA</v>
      </c>
      <c r="O282">
        <v>20</v>
      </c>
      <c r="P282" t="str">
        <f>VLOOKUP(O282,[1]OPERADORES!$A:$B,2,0)</f>
        <v>MAYARA</v>
      </c>
      <c r="Q282">
        <v>22</v>
      </c>
      <c r="R282">
        <v>1000011332</v>
      </c>
      <c r="S282" t="s">
        <v>653</v>
      </c>
      <c r="T282" s="1">
        <v>45268</v>
      </c>
      <c r="U282" s="2">
        <v>3120</v>
      </c>
      <c r="V282" s="2">
        <v>3120</v>
      </c>
    </row>
    <row r="283" spans="1:22" x14ac:dyDescent="0.3">
      <c r="A283" t="s">
        <v>601</v>
      </c>
      <c r="B283" t="s">
        <v>602</v>
      </c>
      <c r="C283" t="s">
        <v>13</v>
      </c>
      <c r="D283" t="s">
        <v>603</v>
      </c>
      <c r="E283" t="s">
        <v>15</v>
      </c>
      <c r="J283" s="1">
        <v>45448</v>
      </c>
      <c r="K283">
        <v>636</v>
      </c>
      <c r="L283" t="s">
        <v>654</v>
      </c>
      <c r="M283">
        <v>8</v>
      </c>
      <c r="N283" t="str">
        <f>VLOOKUP(M283,[1]LOJA!$A:$B,2,0)</f>
        <v>LUZIÂNIA</v>
      </c>
      <c r="O283">
        <v>20</v>
      </c>
      <c r="P283" t="str">
        <f>VLOOKUP(O283,[1]OPERADORES!$A:$B,2,0)</f>
        <v>MAYARA</v>
      </c>
      <c r="Q283">
        <v>22</v>
      </c>
      <c r="R283">
        <v>1000011534</v>
      </c>
      <c r="S283" t="s">
        <v>655</v>
      </c>
      <c r="T283" s="1">
        <v>45295</v>
      </c>
      <c r="U283" s="2">
        <v>3006</v>
      </c>
      <c r="V283" s="2">
        <v>3006</v>
      </c>
    </row>
    <row r="284" spans="1:22" x14ac:dyDescent="0.3">
      <c r="A284" t="s">
        <v>601</v>
      </c>
      <c r="B284" t="s">
        <v>602</v>
      </c>
      <c r="C284" t="s">
        <v>13</v>
      </c>
      <c r="D284" t="s">
        <v>603</v>
      </c>
      <c r="E284" t="s">
        <v>15</v>
      </c>
      <c r="J284" s="1">
        <v>45450</v>
      </c>
      <c r="K284">
        <v>634</v>
      </c>
      <c r="L284" t="s">
        <v>656</v>
      </c>
      <c r="M284">
        <v>8</v>
      </c>
      <c r="N284" t="str">
        <f>VLOOKUP(M284,[1]LOJA!$A:$B,2,0)</f>
        <v>LUZIÂNIA</v>
      </c>
      <c r="O284">
        <v>20</v>
      </c>
      <c r="P284" t="str">
        <f>VLOOKUP(O284,[1]OPERADORES!$A:$B,2,0)</f>
        <v>MAYARA</v>
      </c>
      <c r="Q284">
        <v>22</v>
      </c>
      <c r="R284">
        <v>1000011314</v>
      </c>
      <c r="S284" t="s">
        <v>657</v>
      </c>
      <c r="T284" s="1">
        <v>45267</v>
      </c>
      <c r="U284" s="2">
        <v>5110</v>
      </c>
      <c r="V284" s="2">
        <v>5110</v>
      </c>
    </row>
    <row r="285" spans="1:22" x14ac:dyDescent="0.3">
      <c r="A285" t="s">
        <v>601</v>
      </c>
      <c r="B285" t="s">
        <v>602</v>
      </c>
      <c r="C285" t="s">
        <v>13</v>
      </c>
      <c r="D285" t="s">
        <v>603</v>
      </c>
      <c r="E285" t="s">
        <v>15</v>
      </c>
      <c r="J285" s="1">
        <v>45459</v>
      </c>
      <c r="K285">
        <v>625</v>
      </c>
      <c r="L285" t="s">
        <v>658</v>
      </c>
      <c r="M285">
        <v>8</v>
      </c>
      <c r="N285" t="str">
        <f>VLOOKUP(M285,[1]LOJA!$A:$B,2,0)</f>
        <v>LUZIÂNIA</v>
      </c>
      <c r="O285">
        <v>20</v>
      </c>
      <c r="P285" t="str">
        <f>VLOOKUP(O285,[1]OPERADORES!$A:$B,2,0)</f>
        <v>MAYARA</v>
      </c>
      <c r="Q285">
        <v>22</v>
      </c>
      <c r="R285">
        <v>1000011333</v>
      </c>
      <c r="S285" t="s">
        <v>659</v>
      </c>
      <c r="T285" s="1">
        <v>45268</v>
      </c>
      <c r="U285" s="2">
        <v>3120</v>
      </c>
      <c r="V285" s="2">
        <v>3120</v>
      </c>
    </row>
    <row r="286" spans="1:22" x14ac:dyDescent="0.3">
      <c r="A286" t="s">
        <v>601</v>
      </c>
      <c r="B286" t="s">
        <v>602</v>
      </c>
      <c r="C286" t="s">
        <v>13</v>
      </c>
      <c r="D286" t="s">
        <v>603</v>
      </c>
      <c r="E286" t="s">
        <v>15</v>
      </c>
      <c r="J286" s="1">
        <v>45478</v>
      </c>
      <c r="K286">
        <v>606</v>
      </c>
      <c r="L286" t="s">
        <v>660</v>
      </c>
      <c r="M286">
        <v>8</v>
      </c>
      <c r="N286" t="str">
        <f>VLOOKUP(M286,[1]LOJA!$A:$B,2,0)</f>
        <v>LUZIÂNIA</v>
      </c>
      <c r="O286">
        <v>20</v>
      </c>
      <c r="P286" t="str">
        <f>VLOOKUP(O286,[1]OPERADORES!$A:$B,2,0)</f>
        <v>MAYARA</v>
      </c>
      <c r="Q286">
        <v>22</v>
      </c>
      <c r="R286">
        <v>1000011535</v>
      </c>
      <c r="S286" t="s">
        <v>661</v>
      </c>
      <c r="T286" s="1">
        <v>45295</v>
      </c>
      <c r="U286" s="2">
        <v>3006</v>
      </c>
      <c r="V286" s="2">
        <v>3006</v>
      </c>
    </row>
    <row r="287" spans="1:22" x14ac:dyDescent="0.3">
      <c r="A287" t="s">
        <v>601</v>
      </c>
      <c r="B287" t="s">
        <v>602</v>
      </c>
      <c r="C287" t="s">
        <v>13</v>
      </c>
      <c r="D287" t="s">
        <v>603</v>
      </c>
      <c r="E287" t="s">
        <v>15</v>
      </c>
      <c r="J287" s="1">
        <v>45861</v>
      </c>
      <c r="K287">
        <v>223</v>
      </c>
      <c r="L287" t="s">
        <v>662</v>
      </c>
      <c r="M287">
        <v>24</v>
      </c>
      <c r="N287" t="str">
        <f>VLOOKUP(M287,[1]LOJA!$A:$B,2,0)</f>
        <v>LUZIÂNIA</v>
      </c>
      <c r="O287">
        <v>170</v>
      </c>
      <c r="P287" t="str">
        <f>VLOOKUP(O287,[1]OPERADORES!$A:$B,2,0)</f>
        <v>MARIA LUISA</v>
      </c>
      <c r="Q287">
        <v>4</v>
      </c>
      <c r="S287" t="s">
        <v>663</v>
      </c>
      <c r="T287" s="1">
        <v>45861</v>
      </c>
      <c r="U287">
        <v>-10</v>
      </c>
      <c r="V287">
        <v>-10</v>
      </c>
    </row>
    <row r="288" spans="1:22" x14ac:dyDescent="0.3">
      <c r="A288" t="s">
        <v>601</v>
      </c>
      <c r="B288" t="s">
        <v>602</v>
      </c>
      <c r="C288" t="s">
        <v>13</v>
      </c>
      <c r="D288" t="s">
        <v>603</v>
      </c>
      <c r="E288" t="s">
        <v>15</v>
      </c>
      <c r="J288" s="1">
        <v>45870</v>
      </c>
      <c r="K288">
        <v>214</v>
      </c>
      <c r="L288" t="s">
        <v>664</v>
      </c>
      <c r="M288">
        <v>24</v>
      </c>
      <c r="N288" t="str">
        <f>VLOOKUP(M288,[1]LOJA!$A:$B,2,0)</f>
        <v>LUZIÂNIA</v>
      </c>
      <c r="O288">
        <v>170</v>
      </c>
      <c r="P288" t="str">
        <f>VLOOKUP(O288,[1]OPERADORES!$A:$B,2,0)</f>
        <v>MARIA LUISA</v>
      </c>
      <c r="Q288">
        <v>4</v>
      </c>
      <c r="S288" t="s">
        <v>665</v>
      </c>
      <c r="T288" s="1">
        <v>45868</v>
      </c>
      <c r="U288">
        <v>-0.5</v>
      </c>
      <c r="V288">
        <v>-0.5</v>
      </c>
    </row>
    <row r="289" spans="1:22" x14ac:dyDescent="0.3">
      <c r="A289" t="s">
        <v>601</v>
      </c>
      <c r="B289" t="s">
        <v>602</v>
      </c>
      <c r="C289" t="s">
        <v>13</v>
      </c>
      <c r="D289" t="s">
        <v>603</v>
      </c>
      <c r="E289" t="s">
        <v>15</v>
      </c>
      <c r="J289" s="1">
        <v>45898</v>
      </c>
      <c r="K289">
        <v>186</v>
      </c>
      <c r="L289" t="s">
        <v>666</v>
      </c>
      <c r="M289">
        <v>24</v>
      </c>
      <c r="N289" t="str">
        <f>VLOOKUP(M289,[1]LOJA!$A:$B,2,0)</f>
        <v>LUZIÂNIA</v>
      </c>
      <c r="O289">
        <v>98</v>
      </c>
      <c r="P289" t="str">
        <f>VLOOKUP(O289,[1]OPERADORES!$A:$B,2,0)</f>
        <v xml:space="preserve">ARIGLEICE </v>
      </c>
      <c r="Q289">
        <v>4</v>
      </c>
      <c r="S289" t="s">
        <v>667</v>
      </c>
      <c r="T289" s="1">
        <v>45898</v>
      </c>
      <c r="U289">
        <v>-0.1</v>
      </c>
      <c r="V289">
        <v>-0.1</v>
      </c>
    </row>
    <row r="290" spans="1:22" x14ac:dyDescent="0.3">
      <c r="A290" t="s">
        <v>601</v>
      </c>
      <c r="B290" t="s">
        <v>602</v>
      </c>
      <c r="C290" t="s">
        <v>13</v>
      </c>
      <c r="D290" t="s">
        <v>603</v>
      </c>
      <c r="E290" t="s">
        <v>15</v>
      </c>
      <c r="J290" s="1">
        <v>45916</v>
      </c>
      <c r="K290">
        <v>168</v>
      </c>
      <c r="L290" t="s">
        <v>668</v>
      </c>
      <c r="M290">
        <v>24</v>
      </c>
      <c r="N290" t="str">
        <f>VLOOKUP(M290,[1]LOJA!$A:$B,2,0)</f>
        <v>LUZIÂNIA</v>
      </c>
      <c r="O290">
        <v>98</v>
      </c>
      <c r="P290" t="str">
        <f>VLOOKUP(O290,[1]OPERADORES!$A:$B,2,0)</f>
        <v xml:space="preserve">ARIGLEICE </v>
      </c>
      <c r="Q290">
        <v>4</v>
      </c>
      <c r="S290" t="s">
        <v>635</v>
      </c>
      <c r="T290" s="1">
        <v>45916</v>
      </c>
      <c r="U290">
        <v>-0.4</v>
      </c>
      <c r="V290">
        <v>-0.4</v>
      </c>
    </row>
    <row r="291" spans="1:22" x14ac:dyDescent="0.3">
      <c r="A291" t="s">
        <v>601</v>
      </c>
      <c r="B291" t="s">
        <v>602</v>
      </c>
      <c r="C291" t="s">
        <v>13</v>
      </c>
      <c r="D291" t="s">
        <v>603</v>
      </c>
      <c r="E291" t="s">
        <v>15</v>
      </c>
      <c r="J291" s="1">
        <v>45919</v>
      </c>
      <c r="K291">
        <v>165</v>
      </c>
      <c r="L291" t="s">
        <v>669</v>
      </c>
      <c r="M291">
        <v>24</v>
      </c>
      <c r="N291" t="str">
        <f>VLOOKUP(M291,[1]LOJA!$A:$B,2,0)</f>
        <v>LUZIÂNIA</v>
      </c>
      <c r="O291">
        <v>98</v>
      </c>
      <c r="P291" t="str">
        <f>VLOOKUP(O291,[1]OPERADORES!$A:$B,2,0)</f>
        <v xml:space="preserve">ARIGLEICE </v>
      </c>
      <c r="Q291">
        <v>4</v>
      </c>
      <c r="S291" t="s">
        <v>635</v>
      </c>
      <c r="T291" s="1">
        <v>45919</v>
      </c>
      <c r="U291">
        <v>-0.3</v>
      </c>
      <c r="V291">
        <v>-0.3</v>
      </c>
    </row>
    <row r="292" spans="1:22" x14ac:dyDescent="0.3">
      <c r="A292" t="s">
        <v>671</v>
      </c>
      <c r="B292" t="s">
        <v>672</v>
      </c>
      <c r="C292" t="s">
        <v>207</v>
      </c>
      <c r="D292" t="s">
        <v>5429</v>
      </c>
      <c r="E292" t="s">
        <v>15</v>
      </c>
      <c r="J292" s="1">
        <v>46061</v>
      </c>
      <c r="K292">
        <v>23</v>
      </c>
      <c r="L292" t="s">
        <v>674</v>
      </c>
      <c r="M292">
        <v>22</v>
      </c>
      <c r="N292" t="str">
        <f>VLOOKUP(M292,[1]LOJA!$A:$B,2,0)</f>
        <v>GUARÁ</v>
      </c>
      <c r="O292">
        <v>20</v>
      </c>
      <c r="P292" t="str">
        <f>VLOOKUP(O292,[1]OPERADORES!$A:$B,2,0)</f>
        <v>MAYARA</v>
      </c>
      <c r="Q292">
        <v>27</v>
      </c>
      <c r="R292">
        <v>1000019349</v>
      </c>
      <c r="S292" t="s">
        <v>5430</v>
      </c>
      <c r="T292" s="1">
        <v>45994</v>
      </c>
      <c r="U292">
        <v>79.25</v>
      </c>
      <c r="V292">
        <v>79.25</v>
      </c>
    </row>
    <row r="293" spans="1:22" x14ac:dyDescent="0.3">
      <c r="A293" t="s">
        <v>671</v>
      </c>
      <c r="B293" t="s">
        <v>672</v>
      </c>
      <c r="C293" t="s">
        <v>207</v>
      </c>
      <c r="D293" t="s">
        <v>5429</v>
      </c>
      <c r="E293" t="s">
        <v>15</v>
      </c>
      <c r="J293" s="1">
        <v>46083</v>
      </c>
      <c r="K293">
        <v>1</v>
      </c>
      <c r="L293" t="s">
        <v>5431</v>
      </c>
      <c r="M293">
        <v>22</v>
      </c>
      <c r="N293" t="str">
        <f>VLOOKUP(M293,[1]LOJA!$A:$B,2,0)</f>
        <v>GUARÁ</v>
      </c>
      <c r="O293">
        <v>93</v>
      </c>
      <c r="P293" t="str">
        <f>VLOOKUP(O293,[1]OPERADORES!$A:$B,2,0)</f>
        <v>PATRICIA</v>
      </c>
      <c r="Q293">
        <v>7</v>
      </c>
      <c r="S293" t="s">
        <v>87</v>
      </c>
      <c r="T293" s="1">
        <v>46053</v>
      </c>
      <c r="U293" s="2">
        <v>2429.94</v>
      </c>
      <c r="V293" s="2">
        <v>2429.94</v>
      </c>
    </row>
    <row r="294" spans="1:22" x14ac:dyDescent="0.3">
      <c r="A294" t="s">
        <v>671</v>
      </c>
      <c r="B294" t="s">
        <v>672</v>
      </c>
      <c r="C294" t="s">
        <v>207</v>
      </c>
      <c r="D294" t="s">
        <v>5429</v>
      </c>
      <c r="E294" t="s">
        <v>15</v>
      </c>
      <c r="J294" s="1">
        <v>46084</v>
      </c>
      <c r="K294">
        <v>0</v>
      </c>
      <c r="L294" t="s">
        <v>5432</v>
      </c>
      <c r="M294">
        <v>22</v>
      </c>
      <c r="N294" t="str">
        <f>VLOOKUP(M294,[1]LOJA!$A:$B,2,0)</f>
        <v>GUARÁ</v>
      </c>
      <c r="O294">
        <v>20</v>
      </c>
      <c r="P294" t="str">
        <f>VLOOKUP(O294,[1]OPERADORES!$A:$B,2,0)</f>
        <v>MAYARA</v>
      </c>
      <c r="Q294">
        <v>27</v>
      </c>
      <c r="R294">
        <v>1000019323</v>
      </c>
      <c r="S294" t="s">
        <v>5433</v>
      </c>
      <c r="T294" s="1">
        <v>45994</v>
      </c>
      <c r="U294" s="2">
        <v>1447</v>
      </c>
      <c r="V294" s="2">
        <v>1447</v>
      </c>
    </row>
    <row r="295" spans="1:22" x14ac:dyDescent="0.3">
      <c r="A295" t="s">
        <v>675</v>
      </c>
      <c r="B295" t="s">
        <v>676</v>
      </c>
      <c r="C295" t="s">
        <v>677</v>
      </c>
      <c r="D295" t="s">
        <v>678</v>
      </c>
      <c r="E295" t="s">
        <v>15</v>
      </c>
      <c r="J295" s="1">
        <v>45309</v>
      </c>
      <c r="K295">
        <v>775</v>
      </c>
      <c r="L295" t="s">
        <v>679</v>
      </c>
      <c r="M295">
        <v>4</v>
      </c>
      <c r="N295" t="str">
        <f>VLOOKUP(M295,[1]LOJA!$A:$B,2,0)</f>
        <v>ADE</v>
      </c>
      <c r="O295">
        <v>132</v>
      </c>
      <c r="P295" t="str">
        <f>VLOOKUP(O295,[1]OPERADORES!$A:$B,2,0)</f>
        <v>PAMELA GONÇALVES ROSA</v>
      </c>
      <c r="Q295">
        <v>4</v>
      </c>
      <c r="S295" t="s">
        <v>680</v>
      </c>
      <c r="T295" s="1">
        <v>45309</v>
      </c>
      <c r="U295">
        <v>-0.9</v>
      </c>
      <c r="V295">
        <v>-0.9</v>
      </c>
    </row>
    <row r="296" spans="1:22" x14ac:dyDescent="0.3">
      <c r="A296" t="s">
        <v>681</v>
      </c>
      <c r="B296" t="s">
        <v>232</v>
      </c>
      <c r="C296" t="s">
        <v>682</v>
      </c>
      <c r="D296" t="s">
        <v>683</v>
      </c>
      <c r="E296" t="s">
        <v>15</v>
      </c>
      <c r="J296" s="1">
        <v>45408</v>
      </c>
      <c r="K296">
        <v>676</v>
      </c>
      <c r="L296" t="s">
        <v>684</v>
      </c>
      <c r="M296">
        <v>13</v>
      </c>
      <c r="N296" t="str">
        <f>VLOOKUP(M296,[1]LOJA!$A:$B,2,0)</f>
        <v>CEILÂNDIA</v>
      </c>
      <c r="O296">
        <v>67</v>
      </c>
      <c r="P296" t="str">
        <f>VLOOKUP(O296,[1]OPERADORES!$A:$B,2,0)</f>
        <v>ERIKA</v>
      </c>
      <c r="Q296">
        <v>10</v>
      </c>
      <c r="S296" t="s">
        <v>685</v>
      </c>
      <c r="T296" s="1">
        <v>45408</v>
      </c>
      <c r="U296">
        <v>-0.86</v>
      </c>
      <c r="V296">
        <v>-0.86</v>
      </c>
    </row>
    <row r="297" spans="1:22" x14ac:dyDescent="0.3">
      <c r="A297" t="s">
        <v>686</v>
      </c>
      <c r="B297" t="s">
        <v>32</v>
      </c>
      <c r="C297" t="s">
        <v>319</v>
      </c>
      <c r="D297" t="s">
        <v>687</v>
      </c>
      <c r="E297" t="s">
        <v>15</v>
      </c>
      <c r="J297" s="1">
        <v>45215</v>
      </c>
      <c r="K297">
        <v>869</v>
      </c>
      <c r="L297" t="s">
        <v>688</v>
      </c>
      <c r="M297">
        <v>9</v>
      </c>
      <c r="N297" t="str">
        <f>VLOOKUP(M297,[1]LOJA!$A:$B,2,0)</f>
        <v>ÚNICA</v>
      </c>
      <c r="O297">
        <v>84</v>
      </c>
      <c r="P297" t="str">
        <f>VLOOKUP(O297,[1]OPERADORES!$A:$B,2,0)</f>
        <v>JEICY AZEVEDO</v>
      </c>
      <c r="Q297">
        <v>4</v>
      </c>
      <c r="S297" t="s">
        <v>689</v>
      </c>
      <c r="T297" s="1">
        <v>45215</v>
      </c>
      <c r="U297">
        <v>-3.36</v>
      </c>
      <c r="V297">
        <v>-3.36</v>
      </c>
    </row>
    <row r="298" spans="1:22" x14ac:dyDescent="0.3">
      <c r="A298" t="s">
        <v>690</v>
      </c>
      <c r="B298" t="s">
        <v>32</v>
      </c>
      <c r="C298" t="s">
        <v>691</v>
      </c>
      <c r="D298" t="s">
        <v>5434</v>
      </c>
      <c r="E298" t="s">
        <v>15</v>
      </c>
      <c r="J298" s="1">
        <v>46027</v>
      </c>
      <c r="K298">
        <v>57</v>
      </c>
      <c r="L298" t="s">
        <v>692</v>
      </c>
      <c r="M298">
        <v>9</v>
      </c>
      <c r="N298" t="str">
        <f>VLOOKUP(M298,[1]LOJA!$A:$B,2,0)</f>
        <v>ÚNICA</v>
      </c>
      <c r="O298">
        <v>144</v>
      </c>
      <c r="P298" t="str">
        <f>VLOOKUP(O298,[1]OPERADORES!$A:$B,2,0)</f>
        <v>CINTIA DA SILVA CARLOS</v>
      </c>
      <c r="Q298">
        <v>4</v>
      </c>
      <c r="S298" t="s">
        <v>693</v>
      </c>
      <c r="T298" s="1">
        <v>46027</v>
      </c>
      <c r="U298">
        <v>-53.58</v>
      </c>
      <c r="V298">
        <v>-53.58</v>
      </c>
    </row>
    <row r="299" spans="1:22" x14ac:dyDescent="0.3">
      <c r="A299" t="s">
        <v>694</v>
      </c>
      <c r="B299" t="s">
        <v>695</v>
      </c>
      <c r="C299" t="s">
        <v>43</v>
      </c>
      <c r="D299" t="s">
        <v>670</v>
      </c>
      <c r="E299" t="s">
        <v>15</v>
      </c>
      <c r="J299" s="1">
        <v>44399</v>
      </c>
      <c r="K299">
        <v>1685</v>
      </c>
      <c r="L299" t="s">
        <v>696</v>
      </c>
      <c r="M299">
        <v>13</v>
      </c>
      <c r="N299" t="str">
        <f>VLOOKUP(M299,[1]LOJA!$A:$B,2,0)</f>
        <v>CEILÂNDIA</v>
      </c>
      <c r="O299">
        <v>126</v>
      </c>
      <c r="P299" t="str">
        <f>VLOOKUP(O299,[1]OPERADORES!$A:$B,2,0)</f>
        <v>CESAR OLIVIEIRA DE ARAUJO</v>
      </c>
      <c r="Q299">
        <v>4</v>
      </c>
      <c r="S299" t="s">
        <v>697</v>
      </c>
      <c r="T299" s="1">
        <v>44399</v>
      </c>
      <c r="U299">
        <v>-7.0000000000000007E-2</v>
      </c>
      <c r="V299">
        <v>-7.0000000000000007E-2</v>
      </c>
    </row>
    <row r="300" spans="1:22" x14ac:dyDescent="0.3">
      <c r="A300" t="s">
        <v>698</v>
      </c>
      <c r="B300" t="s">
        <v>699</v>
      </c>
      <c r="C300" t="s">
        <v>700</v>
      </c>
      <c r="D300" t="s">
        <v>5435</v>
      </c>
      <c r="E300" t="s">
        <v>15</v>
      </c>
      <c r="J300" s="1">
        <v>44506</v>
      </c>
      <c r="K300">
        <v>1578</v>
      </c>
      <c r="L300" t="s">
        <v>701</v>
      </c>
      <c r="M300">
        <v>14</v>
      </c>
      <c r="N300" t="str">
        <f>VLOOKUP(M300,[1]LOJA!$A:$B,2,0)</f>
        <v>S IA</v>
      </c>
      <c r="O300">
        <v>60</v>
      </c>
      <c r="P300" t="str">
        <f>VLOOKUP(O300,[1]OPERADORES!$A:$B,2,0)</f>
        <v>ALEXANDRA</v>
      </c>
      <c r="Q300">
        <v>4</v>
      </c>
      <c r="S300" t="s">
        <v>702</v>
      </c>
      <c r="T300" s="1">
        <v>44506</v>
      </c>
      <c r="U300">
        <v>-5.0999999999999996</v>
      </c>
      <c r="V300">
        <v>-5.0999999999999996</v>
      </c>
    </row>
    <row r="301" spans="1:22" x14ac:dyDescent="0.3">
      <c r="A301" t="s">
        <v>703</v>
      </c>
      <c r="B301" t="s">
        <v>704</v>
      </c>
      <c r="C301" t="s">
        <v>43</v>
      </c>
      <c r="D301" t="s">
        <v>705</v>
      </c>
      <c r="E301" t="s">
        <v>15</v>
      </c>
      <c r="J301" s="1">
        <v>45811</v>
      </c>
      <c r="K301">
        <v>273</v>
      </c>
      <c r="L301" t="s">
        <v>706</v>
      </c>
      <c r="M301">
        <v>14</v>
      </c>
      <c r="N301" t="str">
        <f>VLOOKUP(M301,[1]LOJA!$A:$B,2,0)</f>
        <v>S IA</v>
      </c>
      <c r="O301">
        <v>54</v>
      </c>
      <c r="P301" t="str">
        <f>VLOOKUP(O301,[1]OPERADORES!$A:$B,2,0)</f>
        <v>ROBSON</v>
      </c>
      <c r="Q301">
        <v>4</v>
      </c>
      <c r="S301" t="s">
        <v>707</v>
      </c>
      <c r="T301" s="1">
        <v>45811</v>
      </c>
      <c r="U301">
        <v>-95.63</v>
      </c>
      <c r="V301">
        <v>-95.63</v>
      </c>
    </row>
    <row r="302" spans="1:22" x14ac:dyDescent="0.3">
      <c r="A302" t="s">
        <v>708</v>
      </c>
      <c r="B302" t="s">
        <v>709</v>
      </c>
      <c r="C302" t="s">
        <v>13</v>
      </c>
      <c r="D302" t="s">
        <v>710</v>
      </c>
      <c r="E302" t="s">
        <v>15</v>
      </c>
      <c r="J302" s="1">
        <v>45188</v>
      </c>
      <c r="K302">
        <v>896</v>
      </c>
      <c r="L302" t="s">
        <v>711</v>
      </c>
      <c r="M302">
        <v>13</v>
      </c>
      <c r="N302" t="str">
        <f>VLOOKUP(M302,[1]LOJA!$A:$B,2,0)</f>
        <v>CEILÂNDIA</v>
      </c>
      <c r="O302">
        <v>67</v>
      </c>
      <c r="P302" t="str">
        <f>VLOOKUP(O302,[1]OPERADORES!$A:$B,2,0)</f>
        <v>ERIKA</v>
      </c>
      <c r="Q302">
        <v>10</v>
      </c>
      <c r="S302" t="s">
        <v>712</v>
      </c>
      <c r="T302" s="1">
        <v>45188</v>
      </c>
      <c r="U302">
        <v>-0.08</v>
      </c>
      <c r="V302">
        <v>-0.08</v>
      </c>
    </row>
    <row r="303" spans="1:22" x14ac:dyDescent="0.3">
      <c r="A303" t="s">
        <v>713</v>
      </c>
      <c r="B303" t="s">
        <v>714</v>
      </c>
      <c r="C303" t="s">
        <v>13</v>
      </c>
      <c r="D303" t="s">
        <v>715</v>
      </c>
      <c r="E303" t="s">
        <v>15</v>
      </c>
      <c r="J303" s="1">
        <v>44319</v>
      </c>
      <c r="K303">
        <v>1765</v>
      </c>
      <c r="L303" t="s">
        <v>716</v>
      </c>
      <c r="M303">
        <v>3</v>
      </c>
      <c r="N303" t="e">
        <f>VLOOKUP(M303,[1]LOJA!$A:$B,2,0)</f>
        <v>#N/A</v>
      </c>
      <c r="O303">
        <v>20</v>
      </c>
      <c r="P303" t="str">
        <f>VLOOKUP(O303,[1]OPERADORES!$A:$B,2,0)</f>
        <v>MAYARA</v>
      </c>
      <c r="Q303">
        <v>11</v>
      </c>
      <c r="R303">
        <v>1000003029</v>
      </c>
      <c r="S303" t="s">
        <v>717</v>
      </c>
      <c r="T303" s="1">
        <v>44229</v>
      </c>
      <c r="U303" s="2">
        <v>2383</v>
      </c>
      <c r="V303" s="2">
        <v>2383</v>
      </c>
    </row>
    <row r="304" spans="1:22" x14ac:dyDescent="0.3">
      <c r="A304" t="s">
        <v>713</v>
      </c>
      <c r="B304" t="s">
        <v>714</v>
      </c>
      <c r="C304" t="s">
        <v>13</v>
      </c>
      <c r="D304" t="s">
        <v>715</v>
      </c>
      <c r="E304" t="s">
        <v>15</v>
      </c>
      <c r="J304" s="1">
        <v>44348</v>
      </c>
      <c r="K304">
        <v>1736</v>
      </c>
      <c r="L304" t="s">
        <v>718</v>
      </c>
      <c r="M304">
        <v>3</v>
      </c>
      <c r="N304" t="e">
        <f>VLOOKUP(M304,[1]LOJA!$A:$B,2,0)</f>
        <v>#N/A</v>
      </c>
      <c r="O304">
        <v>20</v>
      </c>
      <c r="P304" t="str">
        <f>VLOOKUP(O304,[1]OPERADORES!$A:$B,2,0)</f>
        <v>MAYARA</v>
      </c>
      <c r="Q304">
        <v>11</v>
      </c>
      <c r="R304">
        <v>1000003223</v>
      </c>
      <c r="S304" t="s">
        <v>719</v>
      </c>
      <c r="T304" s="1">
        <v>44258</v>
      </c>
      <c r="U304" s="2">
        <v>1478</v>
      </c>
      <c r="V304" s="2">
        <v>1478</v>
      </c>
    </row>
    <row r="305" spans="1:22" x14ac:dyDescent="0.3">
      <c r="A305" t="s">
        <v>713</v>
      </c>
      <c r="B305" t="s">
        <v>714</v>
      </c>
      <c r="C305" t="s">
        <v>13</v>
      </c>
      <c r="D305" t="s">
        <v>715</v>
      </c>
      <c r="E305" t="s">
        <v>15</v>
      </c>
      <c r="J305" s="1">
        <v>44349</v>
      </c>
      <c r="K305">
        <v>1735</v>
      </c>
      <c r="L305" t="s">
        <v>720</v>
      </c>
      <c r="M305">
        <v>3</v>
      </c>
      <c r="N305" t="e">
        <f>VLOOKUP(M305,[1]LOJA!$A:$B,2,0)</f>
        <v>#N/A</v>
      </c>
      <c r="O305">
        <v>20</v>
      </c>
      <c r="P305" t="str">
        <f>VLOOKUP(O305,[1]OPERADORES!$A:$B,2,0)</f>
        <v>MAYARA</v>
      </c>
      <c r="Q305">
        <v>11</v>
      </c>
      <c r="R305">
        <v>1000003030</v>
      </c>
      <c r="S305" t="s">
        <v>721</v>
      </c>
      <c r="T305" s="1">
        <v>44229</v>
      </c>
      <c r="U305" s="2">
        <v>2383</v>
      </c>
      <c r="V305" s="2">
        <v>2383</v>
      </c>
    </row>
    <row r="306" spans="1:22" x14ac:dyDescent="0.3">
      <c r="A306" t="s">
        <v>713</v>
      </c>
      <c r="B306" t="s">
        <v>714</v>
      </c>
      <c r="C306" t="s">
        <v>13</v>
      </c>
      <c r="D306" t="s">
        <v>715</v>
      </c>
      <c r="E306" t="s">
        <v>15</v>
      </c>
      <c r="J306" s="1">
        <v>44378</v>
      </c>
      <c r="K306">
        <v>1706</v>
      </c>
      <c r="L306" t="s">
        <v>722</v>
      </c>
      <c r="M306">
        <v>3</v>
      </c>
      <c r="N306" t="e">
        <f>VLOOKUP(M306,[1]LOJA!$A:$B,2,0)</f>
        <v>#N/A</v>
      </c>
      <c r="O306">
        <v>20</v>
      </c>
      <c r="P306" t="str">
        <f>VLOOKUP(O306,[1]OPERADORES!$A:$B,2,0)</f>
        <v>MAYARA</v>
      </c>
      <c r="Q306">
        <v>11</v>
      </c>
      <c r="R306">
        <v>1000003224</v>
      </c>
      <c r="S306" t="s">
        <v>723</v>
      </c>
      <c r="T306" s="1">
        <v>44258</v>
      </c>
      <c r="U306" s="2">
        <v>1478</v>
      </c>
      <c r="V306" s="2">
        <v>1478</v>
      </c>
    </row>
    <row r="307" spans="1:22" x14ac:dyDescent="0.3">
      <c r="A307" t="s">
        <v>713</v>
      </c>
      <c r="B307" t="s">
        <v>714</v>
      </c>
      <c r="C307" t="s">
        <v>13</v>
      </c>
      <c r="D307" t="s">
        <v>715</v>
      </c>
      <c r="E307" t="s">
        <v>15</v>
      </c>
      <c r="J307" s="1">
        <v>44379</v>
      </c>
      <c r="K307">
        <v>1705</v>
      </c>
      <c r="L307" t="s">
        <v>724</v>
      </c>
      <c r="M307">
        <v>3</v>
      </c>
      <c r="N307" t="e">
        <f>VLOOKUP(M307,[1]LOJA!$A:$B,2,0)</f>
        <v>#N/A</v>
      </c>
      <c r="O307">
        <v>20</v>
      </c>
      <c r="P307" t="str">
        <f>VLOOKUP(O307,[1]OPERADORES!$A:$B,2,0)</f>
        <v>MAYARA</v>
      </c>
      <c r="Q307">
        <v>11</v>
      </c>
      <c r="R307">
        <v>1000003031</v>
      </c>
      <c r="S307" t="s">
        <v>725</v>
      </c>
      <c r="T307" s="1">
        <v>44229</v>
      </c>
      <c r="U307" s="2">
        <v>2383</v>
      </c>
      <c r="V307" s="2">
        <v>2383</v>
      </c>
    </row>
    <row r="308" spans="1:22" x14ac:dyDescent="0.3">
      <c r="A308" t="s">
        <v>726</v>
      </c>
      <c r="B308" t="s">
        <v>727</v>
      </c>
      <c r="C308" t="s">
        <v>207</v>
      </c>
      <c r="D308" t="s">
        <v>728</v>
      </c>
      <c r="E308" t="s">
        <v>15</v>
      </c>
      <c r="J308" s="1">
        <v>45862</v>
      </c>
      <c r="K308">
        <v>222</v>
      </c>
      <c r="L308" t="s">
        <v>729</v>
      </c>
      <c r="M308">
        <v>24</v>
      </c>
      <c r="N308" t="str">
        <f>VLOOKUP(M308,[1]LOJA!$A:$B,2,0)</f>
        <v>LUZIÂNIA</v>
      </c>
      <c r="O308">
        <v>170</v>
      </c>
      <c r="P308" t="str">
        <f>VLOOKUP(O308,[1]OPERADORES!$A:$B,2,0)</f>
        <v>MARIA LUISA</v>
      </c>
      <c r="Q308">
        <v>4</v>
      </c>
      <c r="S308" t="s">
        <v>730</v>
      </c>
      <c r="T308" s="1">
        <v>45862</v>
      </c>
      <c r="U308">
        <v>-2.72</v>
      </c>
      <c r="V308">
        <v>-2.72</v>
      </c>
    </row>
    <row r="309" spans="1:22" x14ac:dyDescent="0.3">
      <c r="A309" t="s">
        <v>5436</v>
      </c>
      <c r="B309" t="s">
        <v>5437</v>
      </c>
      <c r="C309" t="s">
        <v>2984</v>
      </c>
      <c r="D309" t="s">
        <v>5438</v>
      </c>
      <c r="E309" t="s">
        <v>15</v>
      </c>
      <c r="J309" s="1">
        <v>46084</v>
      </c>
      <c r="K309">
        <v>0</v>
      </c>
      <c r="L309" t="s">
        <v>5439</v>
      </c>
      <c r="M309">
        <v>4</v>
      </c>
      <c r="N309" t="str">
        <f>VLOOKUP(M309,[1]LOJA!$A:$B,2,0)</f>
        <v>ADE</v>
      </c>
      <c r="O309">
        <v>20</v>
      </c>
      <c r="P309" t="str">
        <f>VLOOKUP(O309,[1]OPERADORES!$A:$B,2,0)</f>
        <v>MAYARA</v>
      </c>
      <c r="Q309">
        <v>20</v>
      </c>
      <c r="R309">
        <v>1000019317</v>
      </c>
      <c r="S309" t="s">
        <v>5440</v>
      </c>
      <c r="T309" s="1">
        <v>45994</v>
      </c>
      <c r="U309" s="2">
        <v>1739</v>
      </c>
      <c r="V309" s="2">
        <v>1739</v>
      </c>
    </row>
    <row r="310" spans="1:22" x14ac:dyDescent="0.3">
      <c r="A310" t="s">
        <v>731</v>
      </c>
      <c r="B310" t="s">
        <v>32</v>
      </c>
      <c r="C310" t="s">
        <v>13</v>
      </c>
      <c r="D310" t="s">
        <v>732</v>
      </c>
      <c r="E310" t="s">
        <v>15</v>
      </c>
      <c r="J310" s="1">
        <v>45880</v>
      </c>
      <c r="K310">
        <v>204</v>
      </c>
      <c r="L310" t="s">
        <v>733</v>
      </c>
      <c r="M310">
        <v>12</v>
      </c>
      <c r="N310" t="str">
        <f>VLOOKUP(M310,[1]LOJA!$A:$B,2,0)</f>
        <v>SOFNORTE</v>
      </c>
      <c r="O310">
        <v>239</v>
      </c>
      <c r="P310" t="str">
        <f>VLOOKUP(O310,[1]OPERADORES!$A:$B,2,0)</f>
        <v>BRUNO</v>
      </c>
      <c r="Q310">
        <v>4</v>
      </c>
      <c r="S310" t="s">
        <v>734</v>
      </c>
      <c r="T310" s="1">
        <v>45880</v>
      </c>
      <c r="U310">
        <v>-319.36</v>
      </c>
      <c r="V310">
        <v>-319.36</v>
      </c>
    </row>
    <row r="311" spans="1:22" x14ac:dyDescent="0.3">
      <c r="A311" t="s">
        <v>735</v>
      </c>
      <c r="B311" t="s">
        <v>736</v>
      </c>
      <c r="C311" t="s">
        <v>13</v>
      </c>
      <c r="D311" t="s">
        <v>737</v>
      </c>
      <c r="E311" t="s">
        <v>15</v>
      </c>
      <c r="J311" s="1">
        <v>45388</v>
      </c>
      <c r="K311">
        <v>696</v>
      </c>
      <c r="L311" t="s">
        <v>738</v>
      </c>
      <c r="M311">
        <v>14</v>
      </c>
      <c r="N311" t="str">
        <f>VLOOKUP(M311,[1]LOJA!$A:$B,2,0)</f>
        <v>S IA</v>
      </c>
      <c r="O311">
        <v>224</v>
      </c>
      <c r="P311" t="str">
        <f>VLOOKUP(O311,[1]OPERADORES!$A:$B,2,0)</f>
        <v>GUSTAVO MOURA DE OLIVEIRA</v>
      </c>
      <c r="Q311">
        <v>7</v>
      </c>
      <c r="S311" t="s">
        <v>739</v>
      </c>
      <c r="T311" s="1">
        <v>45387</v>
      </c>
      <c r="U311">
        <v>25.83</v>
      </c>
      <c r="V311">
        <v>25.83</v>
      </c>
    </row>
    <row r="312" spans="1:22" x14ac:dyDescent="0.3">
      <c r="A312" t="s">
        <v>740</v>
      </c>
      <c r="B312" t="s">
        <v>741</v>
      </c>
      <c r="C312" t="s">
        <v>13</v>
      </c>
      <c r="D312" t="s">
        <v>38</v>
      </c>
      <c r="E312" t="s">
        <v>15</v>
      </c>
      <c r="J312" s="1">
        <v>44865</v>
      </c>
      <c r="K312">
        <v>1219</v>
      </c>
      <c r="L312" t="s">
        <v>742</v>
      </c>
      <c r="M312">
        <v>4</v>
      </c>
      <c r="N312" t="str">
        <f>VLOOKUP(M312,[1]LOJA!$A:$B,2,0)</f>
        <v>ADE</v>
      </c>
      <c r="O312">
        <v>107</v>
      </c>
      <c r="P312" t="str">
        <f>VLOOKUP(O312,[1]OPERADORES!$A:$B,2,0)</f>
        <v>DAIANA PORTELA</v>
      </c>
      <c r="Q312">
        <v>7</v>
      </c>
      <c r="S312" t="s">
        <v>743</v>
      </c>
      <c r="T312" s="1">
        <v>44865</v>
      </c>
      <c r="U312">
        <v>-0.42</v>
      </c>
      <c r="V312">
        <v>-0.42</v>
      </c>
    </row>
    <row r="313" spans="1:22" x14ac:dyDescent="0.3">
      <c r="A313" t="s">
        <v>744</v>
      </c>
      <c r="B313" t="s">
        <v>745</v>
      </c>
      <c r="C313" t="s">
        <v>13</v>
      </c>
      <c r="D313" t="s">
        <v>746</v>
      </c>
      <c r="E313" t="s">
        <v>15</v>
      </c>
      <c r="J313" s="1">
        <v>45581</v>
      </c>
      <c r="K313">
        <v>503</v>
      </c>
      <c r="L313" t="s">
        <v>747</v>
      </c>
      <c r="M313">
        <v>12</v>
      </c>
      <c r="N313" t="str">
        <f>VLOOKUP(M313,[1]LOJA!$A:$B,2,0)</f>
        <v>SOFNORTE</v>
      </c>
      <c r="O313">
        <v>209</v>
      </c>
      <c r="P313" t="str">
        <f>VLOOKUP(O313,[1]OPERADORES!$A:$B,2,0)</f>
        <v>MARIA WITHALINA CUNHA DE SOUZA</v>
      </c>
      <c r="Q313">
        <v>4</v>
      </c>
      <c r="S313" t="s">
        <v>748</v>
      </c>
      <c r="T313" s="1">
        <v>45581</v>
      </c>
      <c r="U313">
        <v>-0.9</v>
      </c>
      <c r="V313">
        <v>-0.9</v>
      </c>
    </row>
    <row r="314" spans="1:22" x14ac:dyDescent="0.3">
      <c r="A314" t="s">
        <v>744</v>
      </c>
      <c r="B314" t="s">
        <v>745</v>
      </c>
      <c r="C314" t="s">
        <v>13</v>
      </c>
      <c r="D314" t="s">
        <v>746</v>
      </c>
      <c r="E314" t="s">
        <v>15</v>
      </c>
      <c r="J314" s="1">
        <v>45582</v>
      </c>
      <c r="K314">
        <v>502</v>
      </c>
      <c r="L314" t="s">
        <v>749</v>
      </c>
      <c r="M314">
        <v>12</v>
      </c>
      <c r="N314" t="str">
        <f>VLOOKUP(M314,[1]LOJA!$A:$B,2,0)</f>
        <v>SOFNORTE</v>
      </c>
      <c r="O314">
        <v>209</v>
      </c>
      <c r="P314" t="str">
        <f>VLOOKUP(O314,[1]OPERADORES!$A:$B,2,0)</f>
        <v>MARIA WITHALINA CUNHA DE SOUZA</v>
      </c>
      <c r="Q314">
        <v>4</v>
      </c>
      <c r="S314" t="s">
        <v>750</v>
      </c>
      <c r="T314" s="1">
        <v>45582</v>
      </c>
      <c r="U314">
        <v>-5.59</v>
      </c>
      <c r="V314">
        <v>-5.59</v>
      </c>
    </row>
    <row r="315" spans="1:22" x14ac:dyDescent="0.3">
      <c r="A315" t="s">
        <v>744</v>
      </c>
      <c r="B315" t="s">
        <v>745</v>
      </c>
      <c r="C315" t="s">
        <v>13</v>
      </c>
      <c r="D315" t="s">
        <v>746</v>
      </c>
      <c r="E315" t="s">
        <v>15</v>
      </c>
      <c r="J315" s="1">
        <v>45590</v>
      </c>
      <c r="K315">
        <v>494</v>
      </c>
      <c r="L315" t="s">
        <v>751</v>
      </c>
      <c r="M315">
        <v>12</v>
      </c>
      <c r="N315" t="str">
        <f>VLOOKUP(M315,[1]LOJA!$A:$B,2,0)</f>
        <v>SOFNORTE</v>
      </c>
      <c r="O315">
        <v>209</v>
      </c>
      <c r="P315" t="str">
        <f>VLOOKUP(O315,[1]OPERADORES!$A:$B,2,0)</f>
        <v>MARIA WITHALINA CUNHA DE SOUZA</v>
      </c>
      <c r="Q315">
        <v>4</v>
      </c>
      <c r="S315" t="s">
        <v>752</v>
      </c>
      <c r="T315" s="1">
        <v>45590</v>
      </c>
      <c r="U315">
        <v>-15</v>
      </c>
      <c r="V315">
        <v>-15</v>
      </c>
    </row>
    <row r="316" spans="1:22" x14ac:dyDescent="0.3">
      <c r="A316" t="s">
        <v>753</v>
      </c>
      <c r="B316" t="s">
        <v>754</v>
      </c>
      <c r="C316" t="s">
        <v>755</v>
      </c>
      <c r="D316" t="s">
        <v>756</v>
      </c>
      <c r="E316" t="s">
        <v>15</v>
      </c>
      <c r="J316" s="1">
        <v>45654</v>
      </c>
      <c r="K316">
        <v>430</v>
      </c>
      <c r="L316" t="s">
        <v>757</v>
      </c>
      <c r="M316">
        <v>14</v>
      </c>
      <c r="N316" t="str">
        <f>VLOOKUP(M316,[1]LOJA!$A:$B,2,0)</f>
        <v>S IA</v>
      </c>
      <c r="O316">
        <v>54</v>
      </c>
      <c r="P316" t="str">
        <f>VLOOKUP(O316,[1]OPERADORES!$A:$B,2,0)</f>
        <v>ROBSON</v>
      </c>
      <c r="Q316">
        <v>27</v>
      </c>
      <c r="R316">
        <v>2000007992</v>
      </c>
      <c r="S316" t="s">
        <v>87</v>
      </c>
      <c r="T316" s="1">
        <v>45624</v>
      </c>
      <c r="U316">
        <v>493.68</v>
      </c>
      <c r="V316">
        <v>493.68</v>
      </c>
    </row>
    <row r="317" spans="1:22" x14ac:dyDescent="0.3">
      <c r="A317" t="s">
        <v>758</v>
      </c>
      <c r="B317" t="s">
        <v>759</v>
      </c>
      <c r="C317" t="s">
        <v>13</v>
      </c>
      <c r="D317" t="s">
        <v>760</v>
      </c>
      <c r="E317" t="s">
        <v>15</v>
      </c>
      <c r="J317" s="1">
        <v>45544</v>
      </c>
      <c r="K317">
        <v>540</v>
      </c>
      <c r="L317" t="s">
        <v>761</v>
      </c>
      <c r="M317">
        <v>8</v>
      </c>
      <c r="N317" t="str">
        <f>VLOOKUP(M317,[1]LOJA!$A:$B,2,0)</f>
        <v>LUZIÂNIA</v>
      </c>
      <c r="O317">
        <v>170</v>
      </c>
      <c r="P317" t="str">
        <f>VLOOKUP(O317,[1]OPERADORES!$A:$B,2,0)</f>
        <v>MARIA LUISA</v>
      </c>
      <c r="Q317">
        <v>4</v>
      </c>
      <c r="S317" t="s">
        <v>762</v>
      </c>
      <c r="T317" s="1">
        <v>45544</v>
      </c>
      <c r="U317">
        <v>-0.02</v>
      </c>
      <c r="V317">
        <v>-0.02</v>
      </c>
    </row>
    <row r="318" spans="1:22" x14ac:dyDescent="0.3">
      <c r="A318" t="s">
        <v>763</v>
      </c>
      <c r="B318" t="s">
        <v>764</v>
      </c>
      <c r="C318" t="s">
        <v>43</v>
      </c>
      <c r="D318" t="s">
        <v>243</v>
      </c>
      <c r="E318" t="s">
        <v>15</v>
      </c>
      <c r="J318" s="1">
        <v>45467</v>
      </c>
      <c r="K318">
        <v>617</v>
      </c>
      <c r="L318" t="s">
        <v>765</v>
      </c>
      <c r="M318">
        <v>14</v>
      </c>
      <c r="N318" t="str">
        <f>VLOOKUP(M318,[1]LOJA!$A:$B,2,0)</f>
        <v>S IA</v>
      </c>
      <c r="O318">
        <v>207</v>
      </c>
      <c r="P318" t="str">
        <f>VLOOKUP(O318,[1]OPERADORES!$A:$B,2,0)</f>
        <v>KETILE SABRINE</v>
      </c>
      <c r="Q318">
        <v>4</v>
      </c>
      <c r="S318" t="s">
        <v>766</v>
      </c>
      <c r="T318" s="1">
        <v>45467</v>
      </c>
      <c r="U318">
        <v>-0.2</v>
      </c>
      <c r="V318">
        <v>-0.2</v>
      </c>
    </row>
    <row r="319" spans="1:22" x14ac:dyDescent="0.3">
      <c r="A319" t="s">
        <v>767</v>
      </c>
      <c r="B319" t="s">
        <v>768</v>
      </c>
      <c r="C319" t="s">
        <v>13</v>
      </c>
      <c r="D319" t="s">
        <v>769</v>
      </c>
      <c r="E319" t="s">
        <v>15</v>
      </c>
      <c r="J319" s="1">
        <v>44550</v>
      </c>
      <c r="K319">
        <v>1534</v>
      </c>
      <c r="L319" t="s">
        <v>770</v>
      </c>
      <c r="M319">
        <v>6</v>
      </c>
      <c r="N319" t="str">
        <f>VLOOKUP(M319,[1]LOJA!$A:$B,2,0)</f>
        <v>GAMA</v>
      </c>
      <c r="O319">
        <v>143</v>
      </c>
      <c r="P319" t="str">
        <f>VLOOKUP(O319,[1]OPERADORES!$A:$B,2,0)</f>
        <v>MARIA THAINARA L. DA SILVA</v>
      </c>
      <c r="Q319">
        <v>20</v>
      </c>
      <c r="S319" t="s">
        <v>771</v>
      </c>
      <c r="T319" s="1">
        <v>44550</v>
      </c>
      <c r="U319">
        <v>325.77999999999997</v>
      </c>
      <c r="V319">
        <v>325.77999999999997</v>
      </c>
    </row>
    <row r="320" spans="1:22" x14ac:dyDescent="0.3">
      <c r="A320" t="s">
        <v>772</v>
      </c>
      <c r="B320" t="s">
        <v>773</v>
      </c>
      <c r="C320" t="s">
        <v>13</v>
      </c>
      <c r="D320" t="s">
        <v>774</v>
      </c>
      <c r="E320" t="s">
        <v>15</v>
      </c>
      <c r="J320" s="1">
        <v>45196</v>
      </c>
      <c r="K320">
        <v>888</v>
      </c>
      <c r="L320" t="s">
        <v>775</v>
      </c>
      <c r="M320">
        <v>1</v>
      </c>
      <c r="N320" t="str">
        <f>VLOOKUP(M320,[1]LOJA!$A:$B,2,0)</f>
        <v>GUARÁ</v>
      </c>
      <c r="O320">
        <v>93</v>
      </c>
      <c r="P320" t="str">
        <f>VLOOKUP(O320,[1]OPERADORES!$A:$B,2,0)</f>
        <v>PATRICIA</v>
      </c>
      <c r="Q320">
        <v>4</v>
      </c>
      <c r="S320" t="s">
        <v>776</v>
      </c>
      <c r="T320" s="1">
        <v>45196</v>
      </c>
      <c r="U320">
        <v>-8.3000000000000007</v>
      </c>
      <c r="V320">
        <v>-8.3000000000000007</v>
      </c>
    </row>
    <row r="321" spans="1:22" x14ac:dyDescent="0.3">
      <c r="A321" t="s">
        <v>5441</v>
      </c>
      <c r="B321" t="s">
        <v>5442</v>
      </c>
      <c r="C321" t="s">
        <v>13</v>
      </c>
      <c r="D321" t="s">
        <v>5443</v>
      </c>
      <c r="E321" t="s">
        <v>15</v>
      </c>
      <c r="J321" s="1">
        <v>46084</v>
      </c>
      <c r="K321">
        <v>0</v>
      </c>
      <c r="L321" t="s">
        <v>5444</v>
      </c>
      <c r="M321">
        <v>9</v>
      </c>
      <c r="N321" t="str">
        <f>VLOOKUP(M321,[1]LOJA!$A:$B,2,0)</f>
        <v>ÚNICA</v>
      </c>
      <c r="O321">
        <v>197</v>
      </c>
      <c r="P321" t="str">
        <f>VLOOKUP(O321,[1]OPERADORES!$A:$B,2,0)</f>
        <v xml:space="preserve">POLIANA LORRANE DE AMORIM </v>
      </c>
      <c r="Q321">
        <v>7</v>
      </c>
      <c r="S321" t="s">
        <v>87</v>
      </c>
      <c r="T321" s="1">
        <v>46083</v>
      </c>
      <c r="U321">
        <v>542.55999999999995</v>
      </c>
      <c r="V321">
        <v>542.55999999999995</v>
      </c>
    </row>
    <row r="322" spans="1:22" x14ac:dyDescent="0.3">
      <c r="A322" t="s">
        <v>777</v>
      </c>
      <c r="B322" t="s">
        <v>32</v>
      </c>
      <c r="C322" t="s">
        <v>691</v>
      </c>
      <c r="D322" t="s">
        <v>778</v>
      </c>
      <c r="E322" t="s">
        <v>15</v>
      </c>
      <c r="J322" s="1">
        <v>46038</v>
      </c>
      <c r="K322">
        <v>46</v>
      </c>
      <c r="L322" t="s">
        <v>779</v>
      </c>
      <c r="M322">
        <v>9</v>
      </c>
      <c r="N322" t="str">
        <f>VLOOKUP(M322,[1]LOJA!$A:$B,2,0)</f>
        <v>ÚNICA</v>
      </c>
      <c r="O322">
        <v>230</v>
      </c>
      <c r="P322" t="str">
        <f>VLOOKUP(O322,[1]OPERADORES!$A:$B,2,0)</f>
        <v>SÔNIA</v>
      </c>
      <c r="Q322">
        <v>23</v>
      </c>
      <c r="R322">
        <v>189120</v>
      </c>
      <c r="S322" t="s">
        <v>780</v>
      </c>
      <c r="T322" s="1">
        <v>45918</v>
      </c>
      <c r="U322" s="2">
        <v>1098.77</v>
      </c>
      <c r="V322" s="2">
        <v>1098.77</v>
      </c>
    </row>
    <row r="323" spans="1:22" x14ac:dyDescent="0.3">
      <c r="A323" t="s">
        <v>781</v>
      </c>
      <c r="B323" t="s">
        <v>782</v>
      </c>
      <c r="C323" t="s">
        <v>13</v>
      </c>
      <c r="D323" t="s">
        <v>783</v>
      </c>
      <c r="E323" t="s">
        <v>15</v>
      </c>
      <c r="J323" s="1">
        <v>45597</v>
      </c>
      <c r="K323">
        <v>487</v>
      </c>
      <c r="L323" t="s">
        <v>784</v>
      </c>
      <c r="M323">
        <v>4</v>
      </c>
      <c r="N323" t="str">
        <f>VLOOKUP(M323,[1]LOJA!$A:$B,2,0)</f>
        <v>ADE</v>
      </c>
      <c r="O323">
        <v>226</v>
      </c>
      <c r="P323" t="str">
        <f>VLOOKUP(O323,[1]OPERADORES!$A:$B,2,0)</f>
        <v>MARIA FÉLIX</v>
      </c>
      <c r="Q323">
        <v>4</v>
      </c>
      <c r="S323" t="s">
        <v>785</v>
      </c>
      <c r="T323" s="1">
        <v>45597</v>
      </c>
      <c r="U323">
        <v>-13.5</v>
      </c>
      <c r="V323">
        <v>-13.5</v>
      </c>
    </row>
    <row r="324" spans="1:22" x14ac:dyDescent="0.3">
      <c r="A324" t="s">
        <v>781</v>
      </c>
      <c r="B324" t="s">
        <v>782</v>
      </c>
      <c r="C324" t="s">
        <v>13</v>
      </c>
      <c r="D324" t="s">
        <v>783</v>
      </c>
      <c r="E324" t="s">
        <v>15</v>
      </c>
      <c r="J324" s="1">
        <v>45952</v>
      </c>
      <c r="K324">
        <v>132</v>
      </c>
      <c r="L324" t="s">
        <v>786</v>
      </c>
      <c r="M324">
        <v>4</v>
      </c>
      <c r="N324" t="str">
        <f>VLOOKUP(M324,[1]LOJA!$A:$B,2,0)</f>
        <v>ADE</v>
      </c>
      <c r="O324">
        <v>226</v>
      </c>
      <c r="P324" t="str">
        <f>VLOOKUP(O324,[1]OPERADORES!$A:$B,2,0)</f>
        <v>MARIA FÉLIX</v>
      </c>
      <c r="Q324">
        <v>4</v>
      </c>
      <c r="S324" t="s">
        <v>785</v>
      </c>
      <c r="T324" s="1">
        <v>45952</v>
      </c>
      <c r="U324">
        <v>-5.5</v>
      </c>
      <c r="V324">
        <v>-5.5</v>
      </c>
    </row>
    <row r="325" spans="1:22" x14ac:dyDescent="0.3">
      <c r="A325" t="s">
        <v>787</v>
      </c>
      <c r="B325" t="s">
        <v>32</v>
      </c>
      <c r="C325" t="s">
        <v>324</v>
      </c>
      <c r="D325" t="s">
        <v>5445</v>
      </c>
      <c r="E325" t="s">
        <v>15</v>
      </c>
      <c r="J325" s="1">
        <v>45769</v>
      </c>
      <c r="K325">
        <v>315</v>
      </c>
      <c r="L325" t="s">
        <v>788</v>
      </c>
      <c r="M325">
        <v>9</v>
      </c>
      <c r="N325" t="str">
        <f>VLOOKUP(M325,[1]LOJA!$A:$B,2,0)</f>
        <v>ÚNICA</v>
      </c>
      <c r="O325">
        <v>234</v>
      </c>
      <c r="P325" t="str">
        <f>VLOOKUP(O325,[1]OPERADORES!$A:$B,2,0)</f>
        <v>MARCOS AURÉLIO</v>
      </c>
      <c r="Q325">
        <v>4</v>
      </c>
      <c r="S325" t="s">
        <v>789</v>
      </c>
      <c r="T325" s="1">
        <v>45769</v>
      </c>
      <c r="U325">
        <v>-68.61</v>
      </c>
      <c r="V325">
        <v>-68.61</v>
      </c>
    </row>
    <row r="326" spans="1:22" x14ac:dyDescent="0.3">
      <c r="A326" t="s">
        <v>787</v>
      </c>
      <c r="B326" t="s">
        <v>32</v>
      </c>
      <c r="C326" t="s">
        <v>324</v>
      </c>
      <c r="D326" t="s">
        <v>5445</v>
      </c>
      <c r="E326" t="s">
        <v>15</v>
      </c>
      <c r="J326" s="1">
        <v>45905</v>
      </c>
      <c r="K326">
        <v>179</v>
      </c>
      <c r="L326" t="s">
        <v>790</v>
      </c>
      <c r="M326">
        <v>9</v>
      </c>
      <c r="N326" t="str">
        <f>VLOOKUP(M326,[1]LOJA!$A:$B,2,0)</f>
        <v>ÚNICA</v>
      </c>
      <c r="O326">
        <v>197</v>
      </c>
      <c r="P326" t="str">
        <f>VLOOKUP(O326,[1]OPERADORES!$A:$B,2,0)</f>
        <v xml:space="preserve">POLIANA LORRANE DE AMORIM </v>
      </c>
      <c r="Q326">
        <v>4</v>
      </c>
      <c r="S326" t="s">
        <v>791</v>
      </c>
      <c r="T326" s="1">
        <v>45905</v>
      </c>
      <c r="U326">
        <v>-59.55</v>
      </c>
      <c r="V326">
        <v>-59.55</v>
      </c>
    </row>
    <row r="327" spans="1:22" x14ac:dyDescent="0.3">
      <c r="A327" t="s">
        <v>792</v>
      </c>
      <c r="B327" t="s">
        <v>793</v>
      </c>
      <c r="C327" t="s">
        <v>13</v>
      </c>
      <c r="D327" t="s">
        <v>137</v>
      </c>
      <c r="E327" t="s">
        <v>15</v>
      </c>
      <c r="J327" s="1">
        <v>45100</v>
      </c>
      <c r="K327">
        <v>984</v>
      </c>
      <c r="L327" t="s">
        <v>794</v>
      </c>
      <c r="M327">
        <v>16</v>
      </c>
      <c r="N327" t="str">
        <f>VLOOKUP(M327,[1]LOJA!$A:$B,2,0)</f>
        <v>AG LINDAS</v>
      </c>
      <c r="O327">
        <v>174</v>
      </c>
      <c r="P327" t="str">
        <f>VLOOKUP(O327,[1]OPERADORES!$A:$B,2,0)</f>
        <v>MIRIÃ LOBATO RODRIGUES</v>
      </c>
      <c r="Q327">
        <v>4</v>
      </c>
      <c r="S327" t="s">
        <v>795</v>
      </c>
      <c r="T327" s="1">
        <v>45100</v>
      </c>
      <c r="U327">
        <v>-0.1</v>
      </c>
      <c r="V327">
        <v>-0.1</v>
      </c>
    </row>
    <row r="328" spans="1:22" x14ac:dyDescent="0.3">
      <c r="A328" t="s">
        <v>796</v>
      </c>
      <c r="B328" t="s">
        <v>797</v>
      </c>
      <c r="C328" t="s">
        <v>13</v>
      </c>
      <c r="D328" t="s">
        <v>798</v>
      </c>
      <c r="E328" t="s">
        <v>15</v>
      </c>
      <c r="J328" s="1">
        <v>45352</v>
      </c>
      <c r="K328">
        <v>732</v>
      </c>
      <c r="L328" t="s">
        <v>799</v>
      </c>
      <c r="M328">
        <v>14</v>
      </c>
      <c r="N328" t="str">
        <f>VLOOKUP(M328,[1]LOJA!$A:$B,2,0)</f>
        <v>S IA</v>
      </c>
      <c r="O328">
        <v>86</v>
      </c>
      <c r="P328" t="str">
        <f>VLOOKUP(O328,[1]OPERADORES!$A:$B,2,0)</f>
        <v>AMANDA</v>
      </c>
      <c r="Q328">
        <v>27</v>
      </c>
      <c r="S328" t="s">
        <v>142</v>
      </c>
      <c r="T328" s="1">
        <v>45349</v>
      </c>
      <c r="U328">
        <v>-3.4</v>
      </c>
      <c r="V328">
        <v>-3.4</v>
      </c>
    </row>
    <row r="329" spans="1:22" x14ac:dyDescent="0.3">
      <c r="A329" t="s">
        <v>796</v>
      </c>
      <c r="B329" t="s">
        <v>797</v>
      </c>
      <c r="C329" t="s">
        <v>13</v>
      </c>
      <c r="D329" t="s">
        <v>798</v>
      </c>
      <c r="E329" t="s">
        <v>15</v>
      </c>
      <c r="J329" s="1">
        <v>45353</v>
      </c>
      <c r="K329">
        <v>731</v>
      </c>
      <c r="L329" t="s">
        <v>800</v>
      </c>
      <c r="M329">
        <v>14</v>
      </c>
      <c r="N329" t="str">
        <f>VLOOKUP(M329,[1]LOJA!$A:$B,2,0)</f>
        <v>S IA</v>
      </c>
      <c r="O329">
        <v>16</v>
      </c>
      <c r="P329" t="str">
        <f>VLOOKUP(O329,[1]OPERADORES!$A:$B,2,0)</f>
        <v>AYSLAN</v>
      </c>
      <c r="Q329">
        <v>27</v>
      </c>
      <c r="R329">
        <v>2000006428</v>
      </c>
      <c r="S329" t="s">
        <v>780</v>
      </c>
      <c r="T329" s="1">
        <v>45233</v>
      </c>
      <c r="U329">
        <v>232.69</v>
      </c>
      <c r="V329">
        <v>232.69</v>
      </c>
    </row>
    <row r="330" spans="1:22" x14ac:dyDescent="0.3">
      <c r="A330" t="s">
        <v>796</v>
      </c>
      <c r="B330" t="s">
        <v>797</v>
      </c>
      <c r="C330" t="s">
        <v>13</v>
      </c>
      <c r="D330" t="s">
        <v>798</v>
      </c>
      <c r="E330" t="s">
        <v>15</v>
      </c>
      <c r="J330" s="1">
        <v>45353</v>
      </c>
      <c r="K330">
        <v>731</v>
      </c>
      <c r="L330" t="s">
        <v>801</v>
      </c>
      <c r="M330">
        <v>14</v>
      </c>
      <c r="N330" t="str">
        <f>VLOOKUP(M330,[1]LOJA!$A:$B,2,0)</f>
        <v>S IA</v>
      </c>
      <c r="O330">
        <v>16</v>
      </c>
      <c r="P330" t="str">
        <f>VLOOKUP(O330,[1]OPERADORES!$A:$B,2,0)</f>
        <v>AYSLAN</v>
      </c>
      <c r="Q330">
        <v>27</v>
      </c>
      <c r="R330">
        <v>2000006716</v>
      </c>
      <c r="S330" t="s">
        <v>53</v>
      </c>
      <c r="T330" s="1">
        <v>45293</v>
      </c>
      <c r="U330">
        <v>182.73</v>
      </c>
      <c r="V330">
        <v>182.73</v>
      </c>
    </row>
    <row r="331" spans="1:22" x14ac:dyDescent="0.3">
      <c r="A331" t="s">
        <v>796</v>
      </c>
      <c r="B331" t="s">
        <v>797</v>
      </c>
      <c r="C331" t="s">
        <v>13</v>
      </c>
      <c r="D331" t="s">
        <v>798</v>
      </c>
      <c r="E331" t="s">
        <v>15</v>
      </c>
      <c r="J331" s="1">
        <v>45354</v>
      </c>
      <c r="K331">
        <v>730</v>
      </c>
      <c r="L331" t="s">
        <v>802</v>
      </c>
      <c r="M331">
        <v>13</v>
      </c>
      <c r="N331" t="str">
        <f>VLOOKUP(M331,[1]LOJA!$A:$B,2,0)</f>
        <v>CEILÂNDIA</v>
      </c>
      <c r="O331">
        <v>86</v>
      </c>
      <c r="P331" t="str">
        <f>VLOOKUP(O331,[1]OPERADORES!$A:$B,2,0)</f>
        <v>AMANDA</v>
      </c>
      <c r="Q331">
        <v>27</v>
      </c>
      <c r="R331">
        <v>5000001285</v>
      </c>
      <c r="S331" t="s">
        <v>55</v>
      </c>
      <c r="T331" s="1">
        <v>45264</v>
      </c>
      <c r="U331">
        <v>164.95</v>
      </c>
      <c r="V331">
        <v>164.95</v>
      </c>
    </row>
    <row r="332" spans="1:22" x14ac:dyDescent="0.3">
      <c r="A332" t="s">
        <v>796</v>
      </c>
      <c r="B332" t="s">
        <v>797</v>
      </c>
      <c r="C332" t="s">
        <v>13</v>
      </c>
      <c r="D332" t="s">
        <v>798</v>
      </c>
      <c r="E332" t="s">
        <v>15</v>
      </c>
      <c r="J332" s="1">
        <v>45354</v>
      </c>
      <c r="K332">
        <v>730</v>
      </c>
      <c r="L332" t="s">
        <v>803</v>
      </c>
      <c r="M332">
        <v>13</v>
      </c>
      <c r="N332" t="str">
        <f>VLOOKUP(M332,[1]LOJA!$A:$B,2,0)</f>
        <v>CEILÂNDIA</v>
      </c>
      <c r="O332">
        <v>86</v>
      </c>
      <c r="P332" t="str">
        <f>VLOOKUP(O332,[1]OPERADORES!$A:$B,2,0)</f>
        <v>AMANDA</v>
      </c>
      <c r="Q332">
        <v>27</v>
      </c>
      <c r="R332">
        <v>5000001311</v>
      </c>
      <c r="S332" t="s">
        <v>53</v>
      </c>
      <c r="T332" s="1">
        <v>45294</v>
      </c>
      <c r="U332">
        <v>290.64999999999998</v>
      </c>
      <c r="V332">
        <v>290.64999999999998</v>
      </c>
    </row>
    <row r="333" spans="1:22" x14ac:dyDescent="0.3">
      <c r="A333" t="s">
        <v>796</v>
      </c>
      <c r="B333" t="s">
        <v>797</v>
      </c>
      <c r="C333" t="s">
        <v>13</v>
      </c>
      <c r="D333" t="s">
        <v>798</v>
      </c>
      <c r="E333" t="s">
        <v>15</v>
      </c>
      <c r="J333" s="1">
        <v>45356</v>
      </c>
      <c r="K333">
        <v>728</v>
      </c>
      <c r="L333" t="s">
        <v>804</v>
      </c>
      <c r="M333">
        <v>13</v>
      </c>
      <c r="N333" t="str">
        <f>VLOOKUP(M333,[1]LOJA!$A:$B,2,0)</f>
        <v>CEILÂNDIA</v>
      </c>
      <c r="O333">
        <v>86</v>
      </c>
      <c r="P333" t="str">
        <f>VLOOKUP(O333,[1]OPERADORES!$A:$B,2,0)</f>
        <v>AMANDA</v>
      </c>
      <c r="Q333">
        <v>27</v>
      </c>
      <c r="R333">
        <v>5000001291</v>
      </c>
      <c r="S333" t="s">
        <v>55</v>
      </c>
      <c r="T333" s="1">
        <v>45266</v>
      </c>
      <c r="U333">
        <v>135.36000000000001</v>
      </c>
      <c r="V333">
        <v>135.36000000000001</v>
      </c>
    </row>
    <row r="334" spans="1:22" x14ac:dyDescent="0.3">
      <c r="A334" t="s">
        <v>796</v>
      </c>
      <c r="B334" t="s">
        <v>797</v>
      </c>
      <c r="C334" t="s">
        <v>13</v>
      </c>
      <c r="D334" t="s">
        <v>798</v>
      </c>
      <c r="E334" t="s">
        <v>15</v>
      </c>
      <c r="J334" s="1">
        <v>45357</v>
      </c>
      <c r="K334">
        <v>727</v>
      </c>
      <c r="L334" t="s">
        <v>805</v>
      </c>
      <c r="M334">
        <v>14</v>
      </c>
      <c r="N334" t="str">
        <f>VLOOKUP(M334,[1]LOJA!$A:$B,2,0)</f>
        <v>S IA</v>
      </c>
      <c r="O334">
        <v>16</v>
      </c>
      <c r="P334" t="str">
        <f>VLOOKUP(O334,[1]OPERADORES!$A:$B,2,0)</f>
        <v>AYSLAN</v>
      </c>
      <c r="Q334">
        <v>27</v>
      </c>
      <c r="R334">
        <v>2000006604</v>
      </c>
      <c r="S334" t="s">
        <v>55</v>
      </c>
      <c r="T334" s="1">
        <v>45267</v>
      </c>
      <c r="U334">
        <v>196.32</v>
      </c>
      <c r="V334">
        <v>196.32</v>
      </c>
    </row>
    <row r="335" spans="1:22" x14ac:dyDescent="0.3">
      <c r="A335" t="s">
        <v>796</v>
      </c>
      <c r="B335" t="s">
        <v>797</v>
      </c>
      <c r="C335" t="s">
        <v>13</v>
      </c>
      <c r="D335" t="s">
        <v>798</v>
      </c>
      <c r="E335" t="s">
        <v>15</v>
      </c>
      <c r="J335" s="1">
        <v>45358</v>
      </c>
      <c r="K335">
        <v>726</v>
      </c>
      <c r="L335" t="s">
        <v>806</v>
      </c>
      <c r="M335">
        <v>13</v>
      </c>
      <c r="N335" t="str">
        <f>VLOOKUP(M335,[1]LOJA!$A:$B,2,0)</f>
        <v>CEILÂNDIA</v>
      </c>
      <c r="O335">
        <v>86</v>
      </c>
      <c r="P335" t="str">
        <f>VLOOKUP(O335,[1]OPERADORES!$A:$B,2,0)</f>
        <v>AMANDA</v>
      </c>
      <c r="Q335">
        <v>27</v>
      </c>
      <c r="R335">
        <v>5000001294</v>
      </c>
      <c r="S335" t="s">
        <v>55</v>
      </c>
      <c r="T335" s="1">
        <v>45268</v>
      </c>
      <c r="U335">
        <v>223.19</v>
      </c>
      <c r="V335">
        <v>223.19</v>
      </c>
    </row>
    <row r="336" spans="1:22" x14ac:dyDescent="0.3">
      <c r="A336" t="s">
        <v>796</v>
      </c>
      <c r="B336" t="s">
        <v>797</v>
      </c>
      <c r="C336" t="s">
        <v>13</v>
      </c>
      <c r="D336" t="s">
        <v>798</v>
      </c>
      <c r="E336" t="s">
        <v>15</v>
      </c>
      <c r="J336" s="1">
        <v>45358</v>
      </c>
      <c r="K336">
        <v>726</v>
      </c>
      <c r="L336" t="s">
        <v>807</v>
      </c>
      <c r="M336">
        <v>14</v>
      </c>
      <c r="N336" t="str">
        <f>VLOOKUP(M336,[1]LOJA!$A:$B,2,0)</f>
        <v>S IA</v>
      </c>
      <c r="O336">
        <v>16</v>
      </c>
      <c r="P336" t="str">
        <f>VLOOKUP(O336,[1]OPERADORES!$A:$B,2,0)</f>
        <v>AYSLAN</v>
      </c>
      <c r="Q336">
        <v>27</v>
      </c>
      <c r="R336">
        <v>2000006443</v>
      </c>
      <c r="S336" t="s">
        <v>780</v>
      </c>
      <c r="T336" s="1">
        <v>45238</v>
      </c>
      <c r="U336">
        <v>194.16</v>
      </c>
      <c r="V336">
        <v>194.16</v>
      </c>
    </row>
    <row r="337" spans="1:22" x14ac:dyDescent="0.3">
      <c r="A337" t="s">
        <v>796</v>
      </c>
      <c r="B337" t="s">
        <v>797</v>
      </c>
      <c r="C337" t="s">
        <v>13</v>
      </c>
      <c r="D337" t="s">
        <v>798</v>
      </c>
      <c r="E337" t="s">
        <v>15</v>
      </c>
      <c r="J337" s="1">
        <v>45383</v>
      </c>
      <c r="K337">
        <v>701</v>
      </c>
      <c r="L337" t="s">
        <v>808</v>
      </c>
      <c r="M337">
        <v>14</v>
      </c>
      <c r="N337" t="str">
        <f>VLOOKUP(M337,[1]LOJA!$A:$B,2,0)</f>
        <v>S IA</v>
      </c>
      <c r="O337">
        <v>16</v>
      </c>
      <c r="P337" t="str">
        <f>VLOOKUP(O337,[1]OPERADORES!$A:$B,2,0)</f>
        <v>AYSLAN</v>
      </c>
      <c r="Q337">
        <v>27</v>
      </c>
      <c r="R337">
        <v>2000006717</v>
      </c>
      <c r="S337" t="s">
        <v>55</v>
      </c>
      <c r="T337" s="1">
        <v>45293</v>
      </c>
      <c r="U337">
        <v>182.73</v>
      </c>
      <c r="V337">
        <v>182.73</v>
      </c>
    </row>
    <row r="338" spans="1:22" x14ac:dyDescent="0.3">
      <c r="A338" t="s">
        <v>796</v>
      </c>
      <c r="B338" t="s">
        <v>797</v>
      </c>
      <c r="C338" t="s">
        <v>13</v>
      </c>
      <c r="D338" t="s">
        <v>798</v>
      </c>
      <c r="E338" t="s">
        <v>15</v>
      </c>
      <c r="J338" s="1">
        <v>45384</v>
      </c>
      <c r="K338">
        <v>700</v>
      </c>
      <c r="L338" t="s">
        <v>809</v>
      </c>
      <c r="M338">
        <v>13</v>
      </c>
      <c r="N338" t="str">
        <f>VLOOKUP(M338,[1]LOJA!$A:$B,2,0)</f>
        <v>CEILÂNDIA</v>
      </c>
      <c r="O338">
        <v>86</v>
      </c>
      <c r="P338" t="str">
        <f>VLOOKUP(O338,[1]OPERADORES!$A:$B,2,0)</f>
        <v>AMANDA</v>
      </c>
      <c r="Q338">
        <v>27</v>
      </c>
      <c r="R338">
        <v>5000001312</v>
      </c>
      <c r="S338" t="s">
        <v>55</v>
      </c>
      <c r="T338" s="1">
        <v>45294</v>
      </c>
      <c r="U338">
        <v>290.64999999999998</v>
      </c>
      <c r="V338">
        <v>290.64999999999998</v>
      </c>
    </row>
    <row r="339" spans="1:22" x14ac:dyDescent="0.3">
      <c r="A339" t="s">
        <v>796</v>
      </c>
      <c r="B339" t="s">
        <v>797</v>
      </c>
      <c r="C339" t="s">
        <v>13</v>
      </c>
      <c r="D339" t="s">
        <v>798</v>
      </c>
      <c r="E339" t="s">
        <v>15</v>
      </c>
      <c r="J339" s="1">
        <v>45394</v>
      </c>
      <c r="K339">
        <v>690</v>
      </c>
      <c r="L339" t="s">
        <v>810</v>
      </c>
      <c r="M339">
        <v>14</v>
      </c>
      <c r="N339" t="str">
        <f>VLOOKUP(M339,[1]LOJA!$A:$B,2,0)</f>
        <v>S IA</v>
      </c>
      <c r="O339">
        <v>86</v>
      </c>
      <c r="P339" t="str">
        <f>VLOOKUP(O339,[1]OPERADORES!$A:$B,2,0)</f>
        <v>AMANDA</v>
      </c>
      <c r="Q339">
        <v>27</v>
      </c>
      <c r="S339" t="s">
        <v>142</v>
      </c>
      <c r="T339" s="1">
        <v>45394</v>
      </c>
      <c r="U339">
        <v>-121.02</v>
      </c>
      <c r="V339">
        <v>-121.02</v>
      </c>
    </row>
    <row r="340" spans="1:22" x14ac:dyDescent="0.3">
      <c r="A340" t="s">
        <v>796</v>
      </c>
      <c r="B340" t="s">
        <v>797</v>
      </c>
      <c r="C340" t="s">
        <v>13</v>
      </c>
      <c r="D340" t="s">
        <v>798</v>
      </c>
      <c r="E340" t="s">
        <v>15</v>
      </c>
      <c r="J340" s="1">
        <v>45400</v>
      </c>
      <c r="K340">
        <v>684</v>
      </c>
      <c r="L340" t="s">
        <v>811</v>
      </c>
      <c r="M340">
        <v>13</v>
      </c>
      <c r="N340" t="str">
        <f>VLOOKUP(M340,[1]LOJA!$A:$B,2,0)</f>
        <v>CEILÂNDIA</v>
      </c>
      <c r="O340">
        <v>86</v>
      </c>
      <c r="P340" t="str">
        <f>VLOOKUP(O340,[1]OPERADORES!$A:$B,2,0)</f>
        <v>AMANDA</v>
      </c>
      <c r="Q340">
        <v>27</v>
      </c>
      <c r="R340">
        <v>5000001299</v>
      </c>
      <c r="S340" t="s">
        <v>780</v>
      </c>
      <c r="T340" s="1">
        <v>45280</v>
      </c>
      <c r="U340">
        <v>295.36</v>
      </c>
      <c r="V340">
        <v>295.36</v>
      </c>
    </row>
    <row r="341" spans="1:22" x14ac:dyDescent="0.3">
      <c r="A341" t="s">
        <v>796</v>
      </c>
      <c r="B341" t="s">
        <v>797</v>
      </c>
      <c r="C341" t="s">
        <v>13</v>
      </c>
      <c r="D341" t="s">
        <v>798</v>
      </c>
      <c r="E341" t="s">
        <v>15</v>
      </c>
      <c r="J341" s="1">
        <v>45401</v>
      </c>
      <c r="K341">
        <v>683</v>
      </c>
      <c r="L341" t="s">
        <v>812</v>
      </c>
      <c r="M341">
        <v>14</v>
      </c>
      <c r="N341" t="str">
        <f>VLOOKUP(M341,[1]LOJA!$A:$B,2,0)</f>
        <v>S IA</v>
      </c>
      <c r="O341">
        <v>16</v>
      </c>
      <c r="P341" t="str">
        <f>VLOOKUP(O341,[1]OPERADORES!$A:$B,2,0)</f>
        <v>AYSLAN</v>
      </c>
      <c r="Q341">
        <v>27</v>
      </c>
      <c r="R341">
        <v>2000006675</v>
      </c>
      <c r="S341" t="s">
        <v>780</v>
      </c>
      <c r="T341" s="1">
        <v>45281</v>
      </c>
      <c r="U341">
        <v>258.88</v>
      </c>
      <c r="V341">
        <v>258.88</v>
      </c>
    </row>
    <row r="342" spans="1:22" x14ac:dyDescent="0.3">
      <c r="A342" t="s">
        <v>796</v>
      </c>
      <c r="B342" t="s">
        <v>797</v>
      </c>
      <c r="C342" t="s">
        <v>13</v>
      </c>
      <c r="D342" t="s">
        <v>798</v>
      </c>
      <c r="E342" t="s">
        <v>15</v>
      </c>
      <c r="J342" s="1">
        <v>45402</v>
      </c>
      <c r="K342">
        <v>682</v>
      </c>
      <c r="L342" t="s">
        <v>813</v>
      </c>
      <c r="M342">
        <v>14</v>
      </c>
      <c r="N342" t="str">
        <f>VLOOKUP(M342,[1]LOJA!$A:$B,2,0)</f>
        <v>S IA</v>
      </c>
      <c r="O342">
        <v>16</v>
      </c>
      <c r="P342" t="str">
        <f>VLOOKUP(O342,[1]OPERADORES!$A:$B,2,0)</f>
        <v>AYSLAN</v>
      </c>
      <c r="Q342">
        <v>27</v>
      </c>
      <c r="R342">
        <v>2000006683</v>
      </c>
      <c r="S342" t="s">
        <v>780</v>
      </c>
      <c r="T342" s="1">
        <v>45282</v>
      </c>
      <c r="U342">
        <v>253.59</v>
      </c>
      <c r="V342">
        <v>253.59</v>
      </c>
    </row>
    <row r="343" spans="1:22" x14ac:dyDescent="0.3">
      <c r="A343" t="s">
        <v>796</v>
      </c>
      <c r="B343" t="s">
        <v>797</v>
      </c>
      <c r="C343" t="s">
        <v>13</v>
      </c>
      <c r="D343" t="s">
        <v>798</v>
      </c>
      <c r="E343" t="s">
        <v>15</v>
      </c>
      <c r="J343" s="1">
        <v>45482</v>
      </c>
      <c r="K343">
        <v>602</v>
      </c>
      <c r="L343" t="s">
        <v>814</v>
      </c>
      <c r="M343">
        <v>13</v>
      </c>
      <c r="N343" t="str">
        <f>VLOOKUP(M343,[1]LOJA!$A:$B,2,0)</f>
        <v>CEILÂNDIA</v>
      </c>
      <c r="O343">
        <v>67</v>
      </c>
      <c r="P343" t="str">
        <f>VLOOKUP(O343,[1]OPERADORES!$A:$B,2,0)</f>
        <v>ERIKA</v>
      </c>
      <c r="Q343">
        <v>10</v>
      </c>
      <c r="S343" t="s">
        <v>815</v>
      </c>
      <c r="T343" s="1">
        <v>45482</v>
      </c>
      <c r="U343">
        <v>-0.1</v>
      </c>
      <c r="V343">
        <v>-0.1</v>
      </c>
    </row>
    <row r="344" spans="1:22" x14ac:dyDescent="0.3">
      <c r="A344" t="s">
        <v>816</v>
      </c>
      <c r="B344" t="s">
        <v>328</v>
      </c>
      <c r="C344" t="s">
        <v>13</v>
      </c>
      <c r="D344" t="s">
        <v>817</v>
      </c>
      <c r="E344" t="s">
        <v>15</v>
      </c>
      <c r="J344" s="1">
        <v>46041</v>
      </c>
      <c r="K344">
        <v>43</v>
      </c>
      <c r="L344" t="s">
        <v>818</v>
      </c>
      <c r="M344">
        <v>24</v>
      </c>
      <c r="N344" t="str">
        <f>VLOOKUP(M344,[1]LOJA!$A:$B,2,0)</f>
        <v>LUZIÂNIA</v>
      </c>
      <c r="O344">
        <v>244</v>
      </c>
      <c r="P344" t="str">
        <f>VLOOKUP(O344,[1]OPERADORES!$A:$B,2,0)</f>
        <v>NATHALIA PEREIRA DA SILVA</v>
      </c>
      <c r="Q344">
        <v>4</v>
      </c>
      <c r="S344" t="s">
        <v>819</v>
      </c>
      <c r="T344" s="1">
        <v>46041</v>
      </c>
      <c r="U344">
        <v>-4</v>
      </c>
      <c r="V344">
        <v>-4</v>
      </c>
    </row>
    <row r="345" spans="1:22" x14ac:dyDescent="0.3">
      <c r="A345" t="s">
        <v>816</v>
      </c>
      <c r="B345" t="s">
        <v>328</v>
      </c>
      <c r="C345" t="s">
        <v>13</v>
      </c>
      <c r="D345" t="s">
        <v>817</v>
      </c>
      <c r="E345" t="s">
        <v>15</v>
      </c>
      <c r="J345" s="1">
        <v>46042</v>
      </c>
      <c r="K345">
        <v>42</v>
      </c>
      <c r="L345" t="s">
        <v>820</v>
      </c>
      <c r="M345">
        <v>24</v>
      </c>
      <c r="N345" t="str">
        <f>VLOOKUP(M345,[1]LOJA!$A:$B,2,0)</f>
        <v>LUZIÂNIA</v>
      </c>
      <c r="O345">
        <v>244</v>
      </c>
      <c r="P345" t="str">
        <f>VLOOKUP(O345,[1]OPERADORES!$A:$B,2,0)</f>
        <v>NATHALIA PEREIRA DA SILVA</v>
      </c>
      <c r="Q345">
        <v>4</v>
      </c>
      <c r="S345" t="s">
        <v>110</v>
      </c>
      <c r="T345" s="1">
        <v>46042</v>
      </c>
      <c r="U345">
        <v>-60</v>
      </c>
      <c r="V345">
        <v>-60</v>
      </c>
    </row>
    <row r="346" spans="1:22" x14ac:dyDescent="0.3">
      <c r="A346" t="s">
        <v>816</v>
      </c>
      <c r="B346" t="s">
        <v>328</v>
      </c>
      <c r="C346" t="s">
        <v>13</v>
      </c>
      <c r="D346" t="s">
        <v>817</v>
      </c>
      <c r="E346" t="s">
        <v>15</v>
      </c>
      <c r="J346" s="1">
        <v>46064</v>
      </c>
      <c r="K346">
        <v>20</v>
      </c>
      <c r="L346" t="s">
        <v>821</v>
      </c>
      <c r="M346">
        <v>24</v>
      </c>
      <c r="N346" t="str">
        <f>VLOOKUP(M346,[1]LOJA!$A:$B,2,0)</f>
        <v>LUZIÂNIA</v>
      </c>
      <c r="O346">
        <v>244</v>
      </c>
      <c r="P346" t="str">
        <f>VLOOKUP(O346,[1]OPERADORES!$A:$B,2,0)</f>
        <v>NATHALIA PEREIRA DA SILVA</v>
      </c>
      <c r="Q346">
        <v>4</v>
      </c>
      <c r="S346" t="s">
        <v>822</v>
      </c>
      <c r="T346" s="1">
        <v>46064</v>
      </c>
      <c r="U346">
        <v>-11.1</v>
      </c>
      <c r="V346">
        <v>-11.1</v>
      </c>
    </row>
    <row r="347" spans="1:22" x14ac:dyDescent="0.3">
      <c r="A347" t="s">
        <v>5446</v>
      </c>
      <c r="B347" t="s">
        <v>5447</v>
      </c>
      <c r="C347" t="s">
        <v>30</v>
      </c>
      <c r="D347" t="s">
        <v>5448</v>
      </c>
      <c r="E347" t="s">
        <v>15</v>
      </c>
      <c r="J347" s="1">
        <v>46083</v>
      </c>
      <c r="K347">
        <v>1</v>
      </c>
      <c r="L347" t="s">
        <v>5449</v>
      </c>
      <c r="M347">
        <v>9</v>
      </c>
      <c r="N347" t="str">
        <f>VLOOKUP(M347,[1]LOJA!$A:$B,2,0)</f>
        <v>ÚNICA</v>
      </c>
      <c r="O347">
        <v>236</v>
      </c>
      <c r="P347" t="str">
        <f>VLOOKUP(O347,[1]OPERADORES!$A:$B,2,0)</f>
        <v>DANIEL</v>
      </c>
      <c r="Q347">
        <v>4</v>
      </c>
      <c r="S347" t="s">
        <v>5450</v>
      </c>
      <c r="T347" s="1">
        <v>46083</v>
      </c>
      <c r="U347">
        <v>-988.01</v>
      </c>
      <c r="V347">
        <v>-988.01</v>
      </c>
    </row>
    <row r="348" spans="1:22" x14ac:dyDescent="0.3">
      <c r="A348" t="s">
        <v>823</v>
      </c>
      <c r="B348" t="s">
        <v>824</v>
      </c>
      <c r="C348" t="s">
        <v>30</v>
      </c>
      <c r="D348" t="s">
        <v>825</v>
      </c>
      <c r="E348" t="s">
        <v>15</v>
      </c>
      <c r="J348" s="1">
        <v>45411</v>
      </c>
      <c r="K348">
        <v>673</v>
      </c>
      <c r="L348" t="s">
        <v>826</v>
      </c>
      <c r="M348">
        <v>22</v>
      </c>
      <c r="N348" t="str">
        <f>VLOOKUP(M348,[1]LOJA!$A:$B,2,0)</f>
        <v>GUARÁ</v>
      </c>
      <c r="O348">
        <v>93</v>
      </c>
      <c r="P348" t="str">
        <f>VLOOKUP(O348,[1]OPERADORES!$A:$B,2,0)</f>
        <v>PATRICIA</v>
      </c>
      <c r="Q348">
        <v>4</v>
      </c>
      <c r="S348" t="s">
        <v>827</v>
      </c>
      <c r="T348" s="1">
        <v>45411</v>
      </c>
      <c r="U348">
        <v>-13.37</v>
      </c>
      <c r="V348">
        <v>-13.37</v>
      </c>
    </row>
    <row r="349" spans="1:22" x14ac:dyDescent="0.3">
      <c r="A349" t="s">
        <v>823</v>
      </c>
      <c r="B349" t="s">
        <v>824</v>
      </c>
      <c r="C349" t="s">
        <v>30</v>
      </c>
      <c r="D349" t="s">
        <v>825</v>
      </c>
      <c r="E349" t="s">
        <v>15</v>
      </c>
      <c r="J349" s="1">
        <v>45715</v>
      </c>
      <c r="K349">
        <v>369</v>
      </c>
      <c r="L349" t="s">
        <v>828</v>
      </c>
      <c r="M349">
        <v>22</v>
      </c>
      <c r="N349" t="str">
        <f>VLOOKUP(M349,[1]LOJA!$A:$B,2,0)</f>
        <v>GUARÁ</v>
      </c>
      <c r="O349">
        <v>16</v>
      </c>
      <c r="P349" t="str">
        <f>VLOOKUP(O349,[1]OPERADORES!$A:$B,2,0)</f>
        <v>AYSLAN</v>
      </c>
      <c r="Q349">
        <v>27</v>
      </c>
      <c r="R349">
        <v>1000014467</v>
      </c>
      <c r="S349" t="s">
        <v>780</v>
      </c>
      <c r="T349" s="1">
        <v>45595</v>
      </c>
      <c r="U349">
        <v>401.5</v>
      </c>
      <c r="V349">
        <v>401.5</v>
      </c>
    </row>
    <row r="350" spans="1:22" x14ac:dyDescent="0.3">
      <c r="A350" t="s">
        <v>829</v>
      </c>
      <c r="B350" t="s">
        <v>830</v>
      </c>
      <c r="C350" t="s">
        <v>13</v>
      </c>
      <c r="D350" t="s">
        <v>98</v>
      </c>
      <c r="E350" t="s">
        <v>15</v>
      </c>
      <c r="J350" s="1">
        <v>45993</v>
      </c>
      <c r="K350">
        <v>91</v>
      </c>
      <c r="L350" t="s">
        <v>831</v>
      </c>
      <c r="M350">
        <v>14</v>
      </c>
      <c r="N350" t="str">
        <f>VLOOKUP(M350,[1]LOJA!$A:$B,2,0)</f>
        <v>S IA</v>
      </c>
      <c r="O350">
        <v>54</v>
      </c>
      <c r="P350" t="str">
        <f>VLOOKUP(O350,[1]OPERADORES!$A:$B,2,0)</f>
        <v>ROBSON</v>
      </c>
      <c r="Q350">
        <v>4</v>
      </c>
      <c r="S350" t="s">
        <v>832</v>
      </c>
      <c r="T350" s="1">
        <v>45993</v>
      </c>
      <c r="U350">
        <v>-2</v>
      </c>
      <c r="V350">
        <v>-2</v>
      </c>
    </row>
    <row r="351" spans="1:22" x14ac:dyDescent="0.3">
      <c r="A351" t="s">
        <v>833</v>
      </c>
      <c r="B351" t="s">
        <v>834</v>
      </c>
      <c r="C351" t="s">
        <v>13</v>
      </c>
      <c r="D351" t="s">
        <v>5451</v>
      </c>
      <c r="E351" t="s">
        <v>15</v>
      </c>
      <c r="J351" s="1">
        <v>46081</v>
      </c>
      <c r="K351">
        <v>3</v>
      </c>
      <c r="L351" t="s">
        <v>5452</v>
      </c>
      <c r="M351">
        <v>14</v>
      </c>
      <c r="N351" t="str">
        <f>VLOOKUP(M351,[1]LOJA!$A:$B,2,0)</f>
        <v>S IA</v>
      </c>
      <c r="O351">
        <v>212</v>
      </c>
      <c r="P351" t="str">
        <f>VLOOKUP(O351,[1]OPERADORES!$A:$B,2,0)</f>
        <v>YASMIN</v>
      </c>
      <c r="Q351">
        <v>7</v>
      </c>
      <c r="S351" t="s">
        <v>87</v>
      </c>
      <c r="T351" s="1">
        <v>46080</v>
      </c>
      <c r="U351">
        <v>146.82</v>
      </c>
      <c r="V351">
        <v>146.82</v>
      </c>
    </row>
    <row r="352" spans="1:22" x14ac:dyDescent="0.3">
      <c r="A352" t="s">
        <v>836</v>
      </c>
      <c r="B352" t="s">
        <v>837</v>
      </c>
      <c r="C352" t="s">
        <v>140</v>
      </c>
      <c r="D352" t="s">
        <v>5453</v>
      </c>
      <c r="E352" t="s">
        <v>15</v>
      </c>
      <c r="J352" s="1">
        <v>46056</v>
      </c>
      <c r="K352">
        <v>28</v>
      </c>
      <c r="L352" t="s">
        <v>838</v>
      </c>
      <c r="M352">
        <v>9</v>
      </c>
      <c r="N352" t="str">
        <f>VLOOKUP(M352,[1]LOJA!$A:$B,2,0)</f>
        <v>ÚNICA</v>
      </c>
      <c r="O352">
        <v>84</v>
      </c>
      <c r="P352" t="str">
        <f>VLOOKUP(O352,[1]OPERADORES!$A:$B,2,0)</f>
        <v>JEICY AZEVEDO</v>
      </c>
      <c r="Q352">
        <v>5</v>
      </c>
      <c r="S352" t="s">
        <v>142</v>
      </c>
      <c r="T352" s="1">
        <v>46056</v>
      </c>
      <c r="U352">
        <v>-1</v>
      </c>
      <c r="V352">
        <v>-1</v>
      </c>
    </row>
    <row r="353" spans="1:22" x14ac:dyDescent="0.3">
      <c r="A353" t="s">
        <v>839</v>
      </c>
      <c r="B353" t="s">
        <v>840</v>
      </c>
      <c r="C353" t="s">
        <v>43</v>
      </c>
      <c r="D353" t="s">
        <v>841</v>
      </c>
      <c r="E353" t="s">
        <v>15</v>
      </c>
      <c r="J353" s="1">
        <v>44972</v>
      </c>
      <c r="K353">
        <v>1112</v>
      </c>
      <c r="L353" t="s">
        <v>842</v>
      </c>
      <c r="M353">
        <v>6</v>
      </c>
      <c r="N353" t="str">
        <f>VLOOKUP(M353,[1]LOJA!$A:$B,2,0)</f>
        <v>GAMA</v>
      </c>
      <c r="O353">
        <v>20</v>
      </c>
      <c r="P353" t="str">
        <f>VLOOKUP(O353,[1]OPERADORES!$A:$B,2,0)</f>
        <v>MAYARA</v>
      </c>
      <c r="Q353">
        <v>12</v>
      </c>
      <c r="S353" t="s">
        <v>843</v>
      </c>
      <c r="T353" s="1">
        <v>44959</v>
      </c>
      <c r="U353" s="2">
        <v>1923.61</v>
      </c>
      <c r="V353" s="2">
        <v>1923.61</v>
      </c>
    </row>
    <row r="354" spans="1:22" x14ac:dyDescent="0.3">
      <c r="A354" t="s">
        <v>839</v>
      </c>
      <c r="B354" t="s">
        <v>840</v>
      </c>
      <c r="C354" t="s">
        <v>43</v>
      </c>
      <c r="D354" t="s">
        <v>841</v>
      </c>
      <c r="E354" t="s">
        <v>15</v>
      </c>
      <c r="J354" s="1">
        <v>45000</v>
      </c>
      <c r="K354">
        <v>1084</v>
      </c>
      <c r="L354" t="s">
        <v>844</v>
      </c>
      <c r="M354">
        <v>6</v>
      </c>
      <c r="N354" t="str">
        <f>VLOOKUP(M354,[1]LOJA!$A:$B,2,0)</f>
        <v>GAMA</v>
      </c>
      <c r="O354">
        <v>20</v>
      </c>
      <c r="P354" t="str">
        <f>VLOOKUP(O354,[1]OPERADORES!$A:$B,2,0)</f>
        <v>MAYARA</v>
      </c>
      <c r="Q354">
        <v>12</v>
      </c>
      <c r="S354" t="s">
        <v>845</v>
      </c>
      <c r="T354" s="1">
        <v>44990</v>
      </c>
      <c r="U354" s="2">
        <v>1421.32</v>
      </c>
      <c r="V354" s="2">
        <v>1421.32</v>
      </c>
    </row>
    <row r="355" spans="1:22" x14ac:dyDescent="0.3">
      <c r="A355" t="s">
        <v>846</v>
      </c>
      <c r="B355" t="s">
        <v>847</v>
      </c>
      <c r="C355" t="s">
        <v>848</v>
      </c>
      <c r="D355" t="s">
        <v>849</v>
      </c>
      <c r="E355" t="s">
        <v>15</v>
      </c>
      <c r="J355" s="1">
        <v>44993</v>
      </c>
      <c r="K355">
        <v>1091</v>
      </c>
      <c r="L355" t="s">
        <v>850</v>
      </c>
      <c r="M355">
        <v>13</v>
      </c>
      <c r="N355" t="str">
        <f>VLOOKUP(M355,[1]LOJA!$A:$B,2,0)</f>
        <v>CEILÂNDIA</v>
      </c>
      <c r="O355">
        <v>67</v>
      </c>
      <c r="P355" t="str">
        <f>VLOOKUP(O355,[1]OPERADORES!$A:$B,2,0)</f>
        <v>ERIKA</v>
      </c>
      <c r="Q355">
        <v>4</v>
      </c>
      <c r="S355" t="s">
        <v>851</v>
      </c>
      <c r="T355" s="1">
        <v>44993</v>
      </c>
      <c r="U355">
        <v>-100.25</v>
      </c>
      <c r="V355">
        <v>-100.25</v>
      </c>
    </row>
    <row r="356" spans="1:22" x14ac:dyDescent="0.3">
      <c r="A356" t="s">
        <v>852</v>
      </c>
      <c r="B356" t="s">
        <v>853</v>
      </c>
      <c r="C356" t="s">
        <v>13</v>
      </c>
      <c r="D356" t="s">
        <v>854</v>
      </c>
      <c r="E356" t="s">
        <v>15</v>
      </c>
      <c r="J356" s="1">
        <v>45913</v>
      </c>
      <c r="K356">
        <v>171</v>
      </c>
      <c r="L356" t="s">
        <v>855</v>
      </c>
      <c r="M356">
        <v>6</v>
      </c>
      <c r="N356" t="str">
        <f>VLOOKUP(M356,[1]LOJA!$A:$B,2,0)</f>
        <v>GAMA</v>
      </c>
      <c r="O356">
        <v>20</v>
      </c>
      <c r="P356" t="str">
        <f>VLOOKUP(O356,[1]OPERADORES!$A:$B,2,0)</f>
        <v>MAYARA</v>
      </c>
      <c r="Q356">
        <v>20</v>
      </c>
      <c r="S356" t="s">
        <v>856</v>
      </c>
      <c r="T356" s="1">
        <v>45911</v>
      </c>
      <c r="U356">
        <v>-250</v>
      </c>
      <c r="V356">
        <v>-250</v>
      </c>
    </row>
    <row r="357" spans="1:22" x14ac:dyDescent="0.3">
      <c r="A357" t="s">
        <v>857</v>
      </c>
      <c r="B357" t="s">
        <v>858</v>
      </c>
      <c r="C357" t="s">
        <v>700</v>
      </c>
      <c r="D357" t="s">
        <v>5454</v>
      </c>
      <c r="E357" t="s">
        <v>15</v>
      </c>
      <c r="J357" s="1">
        <v>45960</v>
      </c>
      <c r="K357">
        <v>124</v>
      </c>
      <c r="L357" t="s">
        <v>859</v>
      </c>
      <c r="M357">
        <v>12</v>
      </c>
      <c r="N357" t="str">
        <f>VLOOKUP(M357,[1]LOJA!$A:$B,2,0)</f>
        <v>SOFNORTE</v>
      </c>
      <c r="O357">
        <v>60</v>
      </c>
      <c r="P357" t="str">
        <f>VLOOKUP(O357,[1]OPERADORES!$A:$B,2,0)</f>
        <v>ALEXANDRA</v>
      </c>
      <c r="Q357">
        <v>4</v>
      </c>
      <c r="S357" t="s">
        <v>860</v>
      </c>
      <c r="T357" s="1">
        <v>45960</v>
      </c>
      <c r="U357">
        <v>-0.79</v>
      </c>
      <c r="V357">
        <v>-0.79</v>
      </c>
    </row>
    <row r="358" spans="1:22" x14ac:dyDescent="0.3">
      <c r="A358" t="s">
        <v>861</v>
      </c>
      <c r="B358" t="s">
        <v>862</v>
      </c>
      <c r="C358" t="s">
        <v>13</v>
      </c>
      <c r="D358" t="s">
        <v>863</v>
      </c>
      <c r="E358" t="s">
        <v>15</v>
      </c>
      <c r="J358" s="1">
        <v>45194</v>
      </c>
      <c r="K358">
        <v>890</v>
      </c>
      <c r="L358" t="s">
        <v>864</v>
      </c>
      <c r="M358">
        <v>12</v>
      </c>
      <c r="N358" t="str">
        <f>VLOOKUP(M358,[1]LOJA!$A:$B,2,0)</f>
        <v>SOFNORTE</v>
      </c>
      <c r="O358">
        <v>60</v>
      </c>
      <c r="P358" t="str">
        <f>VLOOKUP(O358,[1]OPERADORES!$A:$B,2,0)</f>
        <v>ALEXANDRA</v>
      </c>
      <c r="Q358">
        <v>4</v>
      </c>
      <c r="S358" t="s">
        <v>865</v>
      </c>
      <c r="T358" s="1">
        <v>45133</v>
      </c>
      <c r="U358">
        <v>-3.85</v>
      </c>
      <c r="V358">
        <v>-3.85</v>
      </c>
    </row>
    <row r="359" spans="1:22" x14ac:dyDescent="0.3">
      <c r="A359" t="s">
        <v>866</v>
      </c>
      <c r="B359" t="s">
        <v>867</v>
      </c>
      <c r="C359" t="s">
        <v>868</v>
      </c>
      <c r="D359" t="s">
        <v>243</v>
      </c>
      <c r="E359" t="s">
        <v>15</v>
      </c>
      <c r="J359" s="1">
        <v>45404</v>
      </c>
      <c r="K359">
        <v>680</v>
      </c>
      <c r="L359" t="s">
        <v>869</v>
      </c>
      <c r="M359">
        <v>13</v>
      </c>
      <c r="N359" t="str">
        <f>VLOOKUP(M359,[1]LOJA!$A:$B,2,0)</f>
        <v>CEILÂNDIA</v>
      </c>
      <c r="O359">
        <v>67</v>
      </c>
      <c r="P359" t="str">
        <f>VLOOKUP(O359,[1]OPERADORES!$A:$B,2,0)</f>
        <v>ERIKA</v>
      </c>
      <c r="Q359">
        <v>4</v>
      </c>
      <c r="S359" t="s">
        <v>870</v>
      </c>
      <c r="T359" s="1">
        <v>45404</v>
      </c>
      <c r="U359">
        <v>-0.2</v>
      </c>
      <c r="V359">
        <v>-0.2</v>
      </c>
    </row>
    <row r="360" spans="1:22" x14ac:dyDescent="0.3">
      <c r="A360" t="s">
        <v>871</v>
      </c>
      <c r="B360" t="s">
        <v>872</v>
      </c>
      <c r="C360" t="s">
        <v>13</v>
      </c>
      <c r="D360" t="s">
        <v>873</v>
      </c>
      <c r="E360" t="s">
        <v>15</v>
      </c>
      <c r="J360" s="1">
        <v>45381</v>
      </c>
      <c r="K360">
        <v>703</v>
      </c>
      <c r="L360" t="s">
        <v>874</v>
      </c>
      <c r="M360">
        <v>4</v>
      </c>
      <c r="N360" t="str">
        <f>VLOOKUP(M360,[1]LOJA!$A:$B,2,0)</f>
        <v>ADE</v>
      </c>
      <c r="O360">
        <v>132</v>
      </c>
      <c r="P360" t="str">
        <f>VLOOKUP(O360,[1]OPERADORES!$A:$B,2,0)</f>
        <v>PAMELA GONÇALVES ROSA</v>
      </c>
      <c r="Q360">
        <v>4</v>
      </c>
      <c r="S360" t="s">
        <v>875</v>
      </c>
      <c r="T360" s="1">
        <v>45381</v>
      </c>
      <c r="U360">
        <v>-2.8</v>
      </c>
      <c r="V360">
        <v>-2.8</v>
      </c>
    </row>
    <row r="361" spans="1:22" x14ac:dyDescent="0.3">
      <c r="A361" t="s">
        <v>871</v>
      </c>
      <c r="B361" t="s">
        <v>872</v>
      </c>
      <c r="C361" t="s">
        <v>13</v>
      </c>
      <c r="D361" t="s">
        <v>873</v>
      </c>
      <c r="E361" t="s">
        <v>15</v>
      </c>
      <c r="J361" s="1">
        <v>45456</v>
      </c>
      <c r="K361">
        <v>628</v>
      </c>
      <c r="L361" t="s">
        <v>876</v>
      </c>
      <c r="M361">
        <v>4</v>
      </c>
      <c r="N361" t="str">
        <f>VLOOKUP(M361,[1]LOJA!$A:$B,2,0)</f>
        <v>ADE</v>
      </c>
      <c r="O361">
        <v>226</v>
      </c>
      <c r="P361" t="str">
        <f>VLOOKUP(O361,[1]OPERADORES!$A:$B,2,0)</f>
        <v>MARIA FÉLIX</v>
      </c>
      <c r="Q361">
        <v>4</v>
      </c>
      <c r="S361" t="s">
        <v>877</v>
      </c>
      <c r="T361" s="1">
        <v>45456</v>
      </c>
      <c r="U361">
        <v>-10</v>
      </c>
      <c r="V361">
        <v>-10</v>
      </c>
    </row>
    <row r="362" spans="1:22" x14ac:dyDescent="0.3">
      <c r="A362" t="s">
        <v>878</v>
      </c>
      <c r="B362" t="s">
        <v>879</v>
      </c>
      <c r="C362" t="s">
        <v>13</v>
      </c>
      <c r="D362" t="s">
        <v>880</v>
      </c>
      <c r="E362" t="s">
        <v>15</v>
      </c>
      <c r="J362" s="1">
        <v>45915</v>
      </c>
      <c r="K362">
        <v>169</v>
      </c>
      <c r="L362" t="s">
        <v>881</v>
      </c>
      <c r="M362">
        <v>9</v>
      </c>
      <c r="N362" t="str">
        <f>VLOOKUP(M362,[1]LOJA!$A:$B,2,0)</f>
        <v>ÚNICA</v>
      </c>
      <c r="O362">
        <v>144</v>
      </c>
      <c r="P362" t="str">
        <f>VLOOKUP(O362,[1]OPERADORES!$A:$B,2,0)</f>
        <v>CINTIA DA SILVA CARLOS</v>
      </c>
      <c r="Q362">
        <v>4</v>
      </c>
      <c r="S362" t="s">
        <v>882</v>
      </c>
      <c r="T362" s="1">
        <v>45915</v>
      </c>
      <c r="U362">
        <v>-20.51</v>
      </c>
      <c r="V362">
        <v>-20.51</v>
      </c>
    </row>
    <row r="363" spans="1:22" x14ac:dyDescent="0.3">
      <c r="A363" t="s">
        <v>883</v>
      </c>
      <c r="B363" t="s">
        <v>884</v>
      </c>
      <c r="C363" t="s">
        <v>755</v>
      </c>
      <c r="D363" t="s">
        <v>885</v>
      </c>
      <c r="E363" t="s">
        <v>15</v>
      </c>
      <c r="J363" s="1">
        <v>45874</v>
      </c>
      <c r="K363">
        <v>210</v>
      </c>
      <c r="L363" t="s">
        <v>886</v>
      </c>
      <c r="M363">
        <v>4</v>
      </c>
      <c r="N363" t="str">
        <f>VLOOKUP(M363,[1]LOJA!$A:$B,2,0)</f>
        <v>ADE</v>
      </c>
      <c r="O363">
        <v>132</v>
      </c>
      <c r="P363" t="str">
        <f>VLOOKUP(O363,[1]OPERADORES!$A:$B,2,0)</f>
        <v>PAMELA GONÇALVES ROSA</v>
      </c>
      <c r="Q363">
        <v>4</v>
      </c>
      <c r="S363" t="s">
        <v>887</v>
      </c>
      <c r="T363" s="1">
        <v>45874</v>
      </c>
      <c r="U363">
        <v>-6.36</v>
      </c>
      <c r="V363">
        <v>-6.36</v>
      </c>
    </row>
    <row r="364" spans="1:22" x14ac:dyDescent="0.3">
      <c r="A364" t="s">
        <v>888</v>
      </c>
      <c r="B364" t="s">
        <v>889</v>
      </c>
      <c r="C364" t="s">
        <v>13</v>
      </c>
      <c r="D364" t="s">
        <v>890</v>
      </c>
      <c r="E364" t="s">
        <v>15</v>
      </c>
      <c r="J364" s="1">
        <v>45224</v>
      </c>
      <c r="K364">
        <v>860</v>
      </c>
      <c r="L364" t="s">
        <v>891</v>
      </c>
      <c r="M364">
        <v>1</v>
      </c>
      <c r="N364" t="str">
        <f>VLOOKUP(M364,[1]LOJA!$A:$B,2,0)</f>
        <v>GUARÁ</v>
      </c>
      <c r="O364">
        <v>26</v>
      </c>
      <c r="P364" t="str">
        <f>VLOOKUP(O364,[1]OPERADORES!$A:$B,2,0)</f>
        <v>JANUARIO</v>
      </c>
      <c r="Q364">
        <v>4</v>
      </c>
      <c r="S364" t="s">
        <v>892</v>
      </c>
      <c r="T364" s="1">
        <v>45224</v>
      </c>
      <c r="U364">
        <v>-13</v>
      </c>
      <c r="V364">
        <v>-13</v>
      </c>
    </row>
    <row r="365" spans="1:22" x14ac:dyDescent="0.3">
      <c r="A365" t="s">
        <v>5455</v>
      </c>
      <c r="B365" t="s">
        <v>5456</v>
      </c>
      <c r="C365" t="s">
        <v>13</v>
      </c>
      <c r="D365" t="s">
        <v>5457</v>
      </c>
      <c r="E365" t="s">
        <v>15</v>
      </c>
      <c r="J365" s="1">
        <v>46080</v>
      </c>
      <c r="K365">
        <v>4</v>
      </c>
      <c r="L365" t="s">
        <v>5458</v>
      </c>
      <c r="M365">
        <v>14</v>
      </c>
      <c r="N365" t="str">
        <f>VLOOKUP(M365,[1]LOJA!$A:$B,2,0)</f>
        <v>S IA</v>
      </c>
      <c r="O365">
        <v>54</v>
      </c>
      <c r="P365" t="str">
        <f>VLOOKUP(O365,[1]OPERADORES!$A:$B,2,0)</f>
        <v>ROBSON</v>
      </c>
      <c r="Q365">
        <v>7</v>
      </c>
      <c r="S365" t="s">
        <v>87</v>
      </c>
      <c r="T365" s="1">
        <v>46079</v>
      </c>
      <c r="U365">
        <v>143.53</v>
      </c>
      <c r="V365">
        <v>143.53</v>
      </c>
    </row>
    <row r="366" spans="1:22" x14ac:dyDescent="0.3">
      <c r="A366" t="s">
        <v>893</v>
      </c>
      <c r="B366" t="s">
        <v>894</v>
      </c>
      <c r="C366" t="s">
        <v>226</v>
      </c>
      <c r="D366" t="s">
        <v>895</v>
      </c>
      <c r="E366" t="s">
        <v>15</v>
      </c>
      <c r="J366" s="1">
        <v>46029</v>
      </c>
      <c r="K366">
        <v>55</v>
      </c>
      <c r="L366" t="s">
        <v>896</v>
      </c>
      <c r="M366">
        <v>14</v>
      </c>
      <c r="N366" t="str">
        <f>VLOOKUP(M366,[1]LOJA!$A:$B,2,0)</f>
        <v>S IA</v>
      </c>
      <c r="O366">
        <v>20</v>
      </c>
      <c r="P366" t="str">
        <f>VLOOKUP(O366,[1]OPERADORES!$A:$B,2,0)</f>
        <v>MAYARA</v>
      </c>
      <c r="Q366">
        <v>27</v>
      </c>
      <c r="R366">
        <v>1000019420</v>
      </c>
      <c r="S366" t="s">
        <v>897</v>
      </c>
      <c r="T366" s="1">
        <v>45999</v>
      </c>
      <c r="U366">
        <v>98.8</v>
      </c>
      <c r="V366">
        <v>98.8</v>
      </c>
    </row>
    <row r="367" spans="1:22" x14ac:dyDescent="0.3">
      <c r="A367" t="s">
        <v>898</v>
      </c>
      <c r="B367" t="s">
        <v>899</v>
      </c>
      <c r="C367" t="s">
        <v>30</v>
      </c>
      <c r="D367" t="s">
        <v>900</v>
      </c>
      <c r="E367" t="s">
        <v>15</v>
      </c>
      <c r="J367" s="1">
        <v>45781</v>
      </c>
      <c r="K367">
        <v>303</v>
      </c>
      <c r="L367" t="s">
        <v>901</v>
      </c>
      <c r="M367">
        <v>4</v>
      </c>
      <c r="N367" t="str">
        <f>VLOOKUP(M367,[1]LOJA!$A:$B,2,0)</f>
        <v>ADE</v>
      </c>
      <c r="O367">
        <v>20</v>
      </c>
      <c r="P367" t="str">
        <f>VLOOKUP(O367,[1]OPERADORES!$A:$B,2,0)</f>
        <v>MAYARA</v>
      </c>
      <c r="Q367">
        <v>20</v>
      </c>
      <c r="R367">
        <v>1000016156</v>
      </c>
      <c r="S367" t="s">
        <v>902</v>
      </c>
      <c r="T367" s="1">
        <v>45751</v>
      </c>
      <c r="U367" s="2">
        <v>1456.52</v>
      </c>
      <c r="V367" s="2">
        <v>1456.52</v>
      </c>
    </row>
    <row r="368" spans="1:22" x14ac:dyDescent="0.3">
      <c r="A368" t="s">
        <v>903</v>
      </c>
      <c r="B368" t="s">
        <v>904</v>
      </c>
      <c r="C368" t="s">
        <v>324</v>
      </c>
      <c r="D368" t="s">
        <v>905</v>
      </c>
      <c r="E368" t="s">
        <v>15</v>
      </c>
      <c r="J368" s="1">
        <v>44529</v>
      </c>
      <c r="K368">
        <v>1555</v>
      </c>
      <c r="L368" t="s">
        <v>906</v>
      </c>
      <c r="M368">
        <v>14</v>
      </c>
      <c r="N368" t="str">
        <f>VLOOKUP(M368,[1]LOJA!$A:$B,2,0)</f>
        <v>S IA</v>
      </c>
      <c r="O368">
        <v>60</v>
      </c>
      <c r="P368" t="str">
        <f>VLOOKUP(O368,[1]OPERADORES!$A:$B,2,0)</f>
        <v>ALEXANDRA</v>
      </c>
      <c r="Q368">
        <v>4</v>
      </c>
      <c r="S368" t="s">
        <v>907</v>
      </c>
      <c r="T368" s="1">
        <v>44529</v>
      </c>
      <c r="U368">
        <v>-115.02</v>
      </c>
      <c r="V368">
        <v>-115.02</v>
      </c>
    </row>
    <row r="369" spans="1:22" x14ac:dyDescent="0.3">
      <c r="A369" t="s">
        <v>908</v>
      </c>
      <c r="B369" t="s">
        <v>32</v>
      </c>
      <c r="C369" t="s">
        <v>909</v>
      </c>
      <c r="D369" t="s">
        <v>5459</v>
      </c>
      <c r="E369" t="s">
        <v>15</v>
      </c>
      <c r="J369" s="1">
        <v>45667</v>
      </c>
      <c r="K369">
        <v>417</v>
      </c>
      <c r="L369" t="s">
        <v>910</v>
      </c>
      <c r="M369">
        <v>9</v>
      </c>
      <c r="N369" t="str">
        <f>VLOOKUP(M369,[1]LOJA!$A:$B,2,0)</f>
        <v>ÚNICA</v>
      </c>
      <c r="O369">
        <v>84</v>
      </c>
      <c r="P369" t="str">
        <f>VLOOKUP(O369,[1]OPERADORES!$A:$B,2,0)</f>
        <v>JEICY AZEVEDO</v>
      </c>
      <c r="Q369">
        <v>4</v>
      </c>
      <c r="S369" t="s">
        <v>911</v>
      </c>
      <c r="T369" s="1">
        <v>45667</v>
      </c>
      <c r="U369">
        <v>-4</v>
      </c>
      <c r="V369">
        <v>-4</v>
      </c>
    </row>
    <row r="370" spans="1:22" x14ac:dyDescent="0.3">
      <c r="A370" t="s">
        <v>912</v>
      </c>
      <c r="B370" t="s">
        <v>913</v>
      </c>
      <c r="C370" t="s">
        <v>13</v>
      </c>
      <c r="D370" t="s">
        <v>914</v>
      </c>
      <c r="E370" t="s">
        <v>15</v>
      </c>
      <c r="J370" s="1">
        <v>45306</v>
      </c>
      <c r="K370">
        <v>778</v>
      </c>
      <c r="L370" t="s">
        <v>915</v>
      </c>
      <c r="M370">
        <v>15</v>
      </c>
      <c r="N370" t="str">
        <f>VLOOKUP(M370,[1]LOJA!$A:$B,2,0)</f>
        <v>UNAÍ</v>
      </c>
      <c r="O370">
        <v>140</v>
      </c>
      <c r="P370" t="str">
        <f>VLOOKUP(O370,[1]OPERADORES!$A:$B,2,0)</f>
        <v>KAREN NAYARA BORGES</v>
      </c>
      <c r="Q370">
        <v>7</v>
      </c>
      <c r="S370" t="s">
        <v>916</v>
      </c>
      <c r="T370" s="1">
        <v>45290</v>
      </c>
      <c r="U370">
        <v>920.3</v>
      </c>
      <c r="V370">
        <v>920.3</v>
      </c>
    </row>
    <row r="371" spans="1:22" x14ac:dyDescent="0.3">
      <c r="A371" t="s">
        <v>917</v>
      </c>
      <c r="B371" t="s">
        <v>918</v>
      </c>
      <c r="C371" t="s">
        <v>13</v>
      </c>
      <c r="D371" t="s">
        <v>919</v>
      </c>
      <c r="E371" t="s">
        <v>15</v>
      </c>
      <c r="J371" s="1">
        <v>45393</v>
      </c>
      <c r="K371">
        <v>691</v>
      </c>
      <c r="L371" t="s">
        <v>920</v>
      </c>
      <c r="M371">
        <v>9</v>
      </c>
      <c r="N371" t="str">
        <f>VLOOKUP(M371,[1]LOJA!$A:$B,2,0)</f>
        <v>ÚNICA</v>
      </c>
      <c r="O371">
        <v>20</v>
      </c>
      <c r="P371" t="str">
        <f>VLOOKUP(O371,[1]OPERADORES!$A:$B,2,0)</f>
        <v>MAYARA</v>
      </c>
      <c r="Q371">
        <v>23</v>
      </c>
      <c r="R371">
        <v>79552</v>
      </c>
      <c r="S371" t="s">
        <v>921</v>
      </c>
      <c r="T371" s="1">
        <v>45365</v>
      </c>
      <c r="U371">
        <v>315</v>
      </c>
      <c r="V371">
        <v>315</v>
      </c>
    </row>
    <row r="372" spans="1:22" x14ac:dyDescent="0.3">
      <c r="A372" t="s">
        <v>917</v>
      </c>
      <c r="B372" t="s">
        <v>918</v>
      </c>
      <c r="C372" t="s">
        <v>13</v>
      </c>
      <c r="D372" t="s">
        <v>919</v>
      </c>
      <c r="E372" t="s">
        <v>15</v>
      </c>
      <c r="J372" s="1">
        <v>45407</v>
      </c>
      <c r="K372">
        <v>677</v>
      </c>
      <c r="L372" t="s">
        <v>922</v>
      </c>
      <c r="M372">
        <v>9</v>
      </c>
      <c r="N372" t="str">
        <f>VLOOKUP(M372,[1]LOJA!$A:$B,2,0)</f>
        <v>ÚNICA</v>
      </c>
      <c r="O372">
        <v>20</v>
      </c>
      <c r="P372" t="str">
        <f>VLOOKUP(O372,[1]OPERADORES!$A:$B,2,0)</f>
        <v>MAYARA</v>
      </c>
      <c r="Q372">
        <v>23</v>
      </c>
      <c r="R372">
        <v>79560</v>
      </c>
      <c r="S372" t="s">
        <v>923</v>
      </c>
      <c r="T372" s="1">
        <v>45365</v>
      </c>
      <c r="U372" s="2">
        <v>1685</v>
      </c>
      <c r="V372" s="2">
        <v>1685</v>
      </c>
    </row>
    <row r="373" spans="1:22" x14ac:dyDescent="0.3">
      <c r="A373" t="s">
        <v>924</v>
      </c>
      <c r="B373" t="s">
        <v>925</v>
      </c>
      <c r="C373" t="s">
        <v>293</v>
      </c>
      <c r="D373" t="s">
        <v>926</v>
      </c>
      <c r="E373" t="s">
        <v>15</v>
      </c>
      <c r="J373" s="1">
        <v>45417</v>
      </c>
      <c r="K373">
        <v>667</v>
      </c>
      <c r="L373" t="s">
        <v>927</v>
      </c>
      <c r="M373">
        <v>6</v>
      </c>
      <c r="N373" t="str">
        <f>VLOOKUP(M373,[1]LOJA!$A:$B,2,0)</f>
        <v>GAMA</v>
      </c>
      <c r="O373">
        <v>20</v>
      </c>
      <c r="P373" t="str">
        <f>VLOOKUP(O373,[1]OPERADORES!$A:$B,2,0)</f>
        <v>MAYARA</v>
      </c>
      <c r="Q373">
        <v>20</v>
      </c>
      <c r="R373">
        <v>1000012113</v>
      </c>
      <c r="S373" t="s">
        <v>928</v>
      </c>
      <c r="T373" s="1">
        <v>45357</v>
      </c>
      <c r="U373">
        <v>107.84</v>
      </c>
      <c r="V373">
        <v>107.84</v>
      </c>
    </row>
    <row r="374" spans="1:22" x14ac:dyDescent="0.3">
      <c r="A374" t="s">
        <v>924</v>
      </c>
      <c r="B374" t="s">
        <v>925</v>
      </c>
      <c r="C374" t="s">
        <v>293</v>
      </c>
      <c r="D374" t="s">
        <v>926</v>
      </c>
      <c r="E374" t="s">
        <v>15</v>
      </c>
      <c r="J374" s="1">
        <v>45418</v>
      </c>
      <c r="K374">
        <v>666</v>
      </c>
      <c r="L374" t="s">
        <v>929</v>
      </c>
      <c r="M374">
        <v>6</v>
      </c>
      <c r="N374" t="str">
        <f>VLOOKUP(M374,[1]LOJA!$A:$B,2,0)</f>
        <v>GAMA</v>
      </c>
      <c r="O374">
        <v>20</v>
      </c>
      <c r="P374" t="str">
        <f>VLOOKUP(O374,[1]OPERADORES!$A:$B,2,0)</f>
        <v>MAYARA</v>
      </c>
      <c r="Q374">
        <v>20</v>
      </c>
      <c r="R374">
        <v>1000011889</v>
      </c>
      <c r="S374" t="s">
        <v>930</v>
      </c>
      <c r="T374" s="1">
        <v>45328</v>
      </c>
      <c r="U374">
        <v>767</v>
      </c>
      <c r="V374">
        <v>767</v>
      </c>
    </row>
    <row r="375" spans="1:22" x14ac:dyDescent="0.3">
      <c r="A375" t="s">
        <v>924</v>
      </c>
      <c r="B375" t="s">
        <v>925</v>
      </c>
      <c r="C375" t="s">
        <v>293</v>
      </c>
      <c r="D375" t="s">
        <v>926</v>
      </c>
      <c r="E375" t="s">
        <v>15</v>
      </c>
      <c r="J375" s="1">
        <v>45446</v>
      </c>
      <c r="K375">
        <v>638</v>
      </c>
      <c r="L375" t="s">
        <v>931</v>
      </c>
      <c r="M375">
        <v>6</v>
      </c>
      <c r="N375" t="str">
        <f>VLOOKUP(M375,[1]LOJA!$A:$B,2,0)</f>
        <v>GAMA</v>
      </c>
      <c r="O375">
        <v>20</v>
      </c>
      <c r="P375" t="str">
        <f>VLOOKUP(O375,[1]OPERADORES!$A:$B,2,0)</f>
        <v>MAYARA</v>
      </c>
      <c r="Q375">
        <v>20</v>
      </c>
      <c r="R375">
        <v>1000012349</v>
      </c>
      <c r="S375" t="s">
        <v>932</v>
      </c>
      <c r="T375" s="1">
        <v>45386</v>
      </c>
      <c r="U375">
        <v>681</v>
      </c>
      <c r="V375">
        <v>681</v>
      </c>
    </row>
    <row r="376" spans="1:22" x14ac:dyDescent="0.3">
      <c r="A376" t="s">
        <v>924</v>
      </c>
      <c r="B376" t="s">
        <v>925</v>
      </c>
      <c r="C376" t="s">
        <v>293</v>
      </c>
      <c r="D376" t="s">
        <v>926</v>
      </c>
      <c r="E376" t="s">
        <v>15</v>
      </c>
      <c r="J376" s="1">
        <v>45447</v>
      </c>
      <c r="K376">
        <v>637</v>
      </c>
      <c r="L376" t="s">
        <v>933</v>
      </c>
      <c r="M376">
        <v>6</v>
      </c>
      <c r="N376" t="str">
        <f>VLOOKUP(M376,[1]LOJA!$A:$B,2,0)</f>
        <v>GAMA</v>
      </c>
      <c r="O376">
        <v>20</v>
      </c>
      <c r="P376" t="str">
        <f>VLOOKUP(O376,[1]OPERADORES!$A:$B,2,0)</f>
        <v>MAYARA</v>
      </c>
      <c r="Q376">
        <v>20</v>
      </c>
      <c r="R376">
        <v>1000012114</v>
      </c>
      <c r="S376" t="s">
        <v>934</v>
      </c>
      <c r="T376" s="1">
        <v>45357</v>
      </c>
      <c r="U376" s="2">
        <v>1896</v>
      </c>
      <c r="V376" s="2">
        <v>1896</v>
      </c>
    </row>
    <row r="377" spans="1:22" x14ac:dyDescent="0.3">
      <c r="A377" t="s">
        <v>924</v>
      </c>
      <c r="B377" t="s">
        <v>925</v>
      </c>
      <c r="C377" t="s">
        <v>293</v>
      </c>
      <c r="D377" t="s">
        <v>926</v>
      </c>
      <c r="E377" t="s">
        <v>15</v>
      </c>
      <c r="J377" s="1">
        <v>45448</v>
      </c>
      <c r="K377">
        <v>636</v>
      </c>
      <c r="L377" t="s">
        <v>935</v>
      </c>
      <c r="M377">
        <v>6</v>
      </c>
      <c r="N377" t="str">
        <f>VLOOKUP(M377,[1]LOJA!$A:$B,2,0)</f>
        <v>GAMA</v>
      </c>
      <c r="O377">
        <v>20</v>
      </c>
      <c r="P377" t="str">
        <f>VLOOKUP(O377,[1]OPERADORES!$A:$B,2,0)</f>
        <v>MAYARA</v>
      </c>
      <c r="Q377">
        <v>20</v>
      </c>
      <c r="R377">
        <v>1000012711</v>
      </c>
      <c r="S377" t="s">
        <v>936</v>
      </c>
      <c r="T377" s="1">
        <v>45418</v>
      </c>
      <c r="U377">
        <v>407.63</v>
      </c>
      <c r="V377">
        <v>407.63</v>
      </c>
    </row>
    <row r="378" spans="1:22" x14ac:dyDescent="0.3">
      <c r="A378" t="s">
        <v>924</v>
      </c>
      <c r="B378" t="s">
        <v>925</v>
      </c>
      <c r="C378" t="s">
        <v>293</v>
      </c>
      <c r="D378" t="s">
        <v>926</v>
      </c>
      <c r="E378" t="s">
        <v>15</v>
      </c>
      <c r="J378" s="1">
        <v>45476</v>
      </c>
      <c r="K378">
        <v>608</v>
      </c>
      <c r="L378" t="s">
        <v>937</v>
      </c>
      <c r="M378">
        <v>6</v>
      </c>
      <c r="N378" t="str">
        <f>VLOOKUP(M378,[1]LOJA!$A:$B,2,0)</f>
        <v>GAMA</v>
      </c>
      <c r="O378">
        <v>20</v>
      </c>
      <c r="P378" t="str">
        <f>VLOOKUP(O378,[1]OPERADORES!$A:$B,2,0)</f>
        <v>MAYARA</v>
      </c>
      <c r="Q378">
        <v>20</v>
      </c>
      <c r="R378">
        <v>1000012350</v>
      </c>
      <c r="S378" t="s">
        <v>938</v>
      </c>
      <c r="T378" s="1">
        <v>45386</v>
      </c>
      <c r="U378">
        <v>681</v>
      </c>
      <c r="V378">
        <v>681</v>
      </c>
    </row>
    <row r="379" spans="1:22" x14ac:dyDescent="0.3">
      <c r="A379" t="s">
        <v>939</v>
      </c>
      <c r="B379" t="s">
        <v>940</v>
      </c>
      <c r="C379" t="s">
        <v>13</v>
      </c>
      <c r="D379" t="s">
        <v>941</v>
      </c>
      <c r="E379" t="s">
        <v>15</v>
      </c>
      <c r="J379" s="1">
        <v>44833</v>
      </c>
      <c r="K379">
        <v>1251</v>
      </c>
      <c r="L379" t="s">
        <v>942</v>
      </c>
      <c r="M379">
        <v>13</v>
      </c>
      <c r="N379" t="str">
        <f>VLOOKUP(M379,[1]LOJA!$A:$B,2,0)</f>
        <v>CEILÂNDIA</v>
      </c>
      <c r="O379">
        <v>185</v>
      </c>
      <c r="P379" t="str">
        <f>VLOOKUP(O379,[1]OPERADORES!$A:$B,2,0)</f>
        <v>FELIPE OLIVEIRA PONTE</v>
      </c>
      <c r="Q379">
        <v>4</v>
      </c>
      <c r="S379" t="s">
        <v>943</v>
      </c>
      <c r="T379" s="1">
        <v>44833</v>
      </c>
      <c r="U379">
        <v>-0.35</v>
      </c>
      <c r="V379">
        <v>-0.35</v>
      </c>
    </row>
    <row r="380" spans="1:22" x14ac:dyDescent="0.3">
      <c r="A380" t="s">
        <v>5460</v>
      </c>
      <c r="B380" t="s">
        <v>5461</v>
      </c>
      <c r="C380" t="s">
        <v>691</v>
      </c>
      <c r="D380" t="s">
        <v>5462</v>
      </c>
      <c r="E380" t="s">
        <v>15</v>
      </c>
      <c r="J380" s="1">
        <v>46083</v>
      </c>
      <c r="K380">
        <v>1</v>
      </c>
      <c r="L380" t="s">
        <v>5463</v>
      </c>
      <c r="M380">
        <v>14</v>
      </c>
      <c r="N380" t="str">
        <f>VLOOKUP(M380,[1]LOJA!$A:$B,2,0)</f>
        <v>S IA</v>
      </c>
      <c r="O380">
        <v>212</v>
      </c>
      <c r="P380" t="str">
        <f>VLOOKUP(O380,[1]OPERADORES!$A:$B,2,0)</f>
        <v>YASMIN</v>
      </c>
      <c r="Q380">
        <v>27</v>
      </c>
      <c r="R380">
        <v>2000008854</v>
      </c>
      <c r="S380" t="s">
        <v>5464</v>
      </c>
      <c r="T380" s="1">
        <v>45988</v>
      </c>
      <c r="U380" s="2">
        <v>1481.67</v>
      </c>
      <c r="V380" s="2">
        <v>1481.67</v>
      </c>
    </row>
    <row r="381" spans="1:22" x14ac:dyDescent="0.3">
      <c r="A381" t="s">
        <v>944</v>
      </c>
      <c r="B381" t="s">
        <v>945</v>
      </c>
      <c r="C381" t="s">
        <v>13</v>
      </c>
      <c r="D381" t="s">
        <v>946</v>
      </c>
      <c r="E381" t="s">
        <v>15</v>
      </c>
      <c r="J381" s="1">
        <v>44383</v>
      </c>
      <c r="K381">
        <v>1701</v>
      </c>
      <c r="L381" t="s">
        <v>947</v>
      </c>
      <c r="M381">
        <v>13</v>
      </c>
      <c r="N381" t="str">
        <f>VLOOKUP(M381,[1]LOJA!$A:$B,2,0)</f>
        <v>CEILÂNDIA</v>
      </c>
      <c r="O381">
        <v>67</v>
      </c>
      <c r="P381" t="str">
        <f>VLOOKUP(O381,[1]OPERADORES!$A:$B,2,0)</f>
        <v>ERIKA</v>
      </c>
      <c r="Q381">
        <v>10</v>
      </c>
      <c r="S381" t="s">
        <v>948</v>
      </c>
      <c r="T381" s="1">
        <v>44383</v>
      </c>
      <c r="U381">
        <v>-25</v>
      </c>
      <c r="V381">
        <v>-25</v>
      </c>
    </row>
    <row r="382" spans="1:22" x14ac:dyDescent="0.3">
      <c r="A382" t="s">
        <v>949</v>
      </c>
      <c r="B382" t="s">
        <v>950</v>
      </c>
      <c r="C382" t="s">
        <v>13</v>
      </c>
      <c r="D382" t="s">
        <v>951</v>
      </c>
      <c r="E382" t="s">
        <v>15</v>
      </c>
      <c r="J382" s="1">
        <v>45306</v>
      </c>
      <c r="K382">
        <v>778</v>
      </c>
      <c r="L382" t="s">
        <v>952</v>
      </c>
      <c r="M382">
        <v>14</v>
      </c>
      <c r="N382" t="str">
        <f>VLOOKUP(M382,[1]LOJA!$A:$B,2,0)</f>
        <v>S IA</v>
      </c>
      <c r="O382">
        <v>20</v>
      </c>
      <c r="P382" t="str">
        <f>VLOOKUP(O382,[1]OPERADORES!$A:$B,2,0)</f>
        <v>MAYARA</v>
      </c>
      <c r="Q382">
        <v>12</v>
      </c>
      <c r="S382" t="s">
        <v>953</v>
      </c>
      <c r="T382" s="1">
        <v>45294</v>
      </c>
      <c r="U382">
        <v>110.02</v>
      </c>
      <c r="V382">
        <v>110.02</v>
      </c>
    </row>
    <row r="383" spans="1:22" x14ac:dyDescent="0.3">
      <c r="A383" t="s">
        <v>954</v>
      </c>
      <c r="B383" t="s">
        <v>955</v>
      </c>
      <c r="C383" t="s">
        <v>13</v>
      </c>
      <c r="D383" t="s">
        <v>956</v>
      </c>
      <c r="E383" t="s">
        <v>15</v>
      </c>
      <c r="J383" s="1">
        <v>44482</v>
      </c>
      <c r="K383">
        <v>1602</v>
      </c>
      <c r="L383" t="s">
        <v>957</v>
      </c>
      <c r="M383">
        <v>1</v>
      </c>
      <c r="N383" t="str">
        <f>VLOOKUP(M383,[1]LOJA!$A:$B,2,0)</f>
        <v>GUARÁ</v>
      </c>
      <c r="O383">
        <v>132</v>
      </c>
      <c r="P383" t="str">
        <f>VLOOKUP(O383,[1]OPERADORES!$A:$B,2,0)</f>
        <v>PAMELA GONÇALVES ROSA</v>
      </c>
      <c r="Q383">
        <v>4</v>
      </c>
      <c r="S383" t="s">
        <v>958</v>
      </c>
      <c r="T383" s="1">
        <v>44482</v>
      </c>
      <c r="U383">
        <v>-9</v>
      </c>
      <c r="V383">
        <v>-9</v>
      </c>
    </row>
    <row r="384" spans="1:22" x14ac:dyDescent="0.3">
      <c r="A384" t="s">
        <v>959</v>
      </c>
      <c r="B384" t="s">
        <v>960</v>
      </c>
      <c r="C384" t="s">
        <v>43</v>
      </c>
      <c r="D384" t="s">
        <v>961</v>
      </c>
      <c r="E384" t="s">
        <v>15</v>
      </c>
      <c r="J384" s="1">
        <v>45545</v>
      </c>
      <c r="K384">
        <v>539</v>
      </c>
      <c r="L384" t="s">
        <v>962</v>
      </c>
      <c r="M384">
        <v>4</v>
      </c>
      <c r="N384" t="str">
        <f>VLOOKUP(M384,[1]LOJA!$A:$B,2,0)</f>
        <v>ADE</v>
      </c>
      <c r="O384">
        <v>226</v>
      </c>
      <c r="P384" t="str">
        <f>VLOOKUP(O384,[1]OPERADORES!$A:$B,2,0)</f>
        <v>MARIA FÉLIX</v>
      </c>
      <c r="Q384">
        <v>4</v>
      </c>
      <c r="S384" t="s">
        <v>963</v>
      </c>
      <c r="T384" s="1">
        <v>45545</v>
      </c>
      <c r="U384">
        <v>-7.0000000000000007E-2</v>
      </c>
      <c r="V384">
        <v>-7.0000000000000007E-2</v>
      </c>
    </row>
    <row r="385" spans="1:22" x14ac:dyDescent="0.3">
      <c r="A385" t="s">
        <v>959</v>
      </c>
      <c r="B385" t="s">
        <v>960</v>
      </c>
      <c r="C385" t="s">
        <v>43</v>
      </c>
      <c r="D385" t="s">
        <v>961</v>
      </c>
      <c r="E385" t="s">
        <v>15</v>
      </c>
      <c r="J385" s="1">
        <v>45639</v>
      </c>
      <c r="K385">
        <v>445</v>
      </c>
      <c r="L385" t="s">
        <v>964</v>
      </c>
      <c r="M385">
        <v>4</v>
      </c>
      <c r="N385" t="str">
        <f>VLOOKUP(M385,[1]LOJA!$A:$B,2,0)</f>
        <v>ADE</v>
      </c>
      <c r="O385">
        <v>226</v>
      </c>
      <c r="P385" t="str">
        <f>VLOOKUP(O385,[1]OPERADORES!$A:$B,2,0)</f>
        <v>MARIA FÉLIX</v>
      </c>
      <c r="Q385">
        <v>4</v>
      </c>
      <c r="S385" t="s">
        <v>963</v>
      </c>
      <c r="T385" s="1">
        <v>45639</v>
      </c>
      <c r="U385">
        <v>-7.0000000000000007E-2</v>
      </c>
      <c r="V385">
        <v>-7.0000000000000007E-2</v>
      </c>
    </row>
    <row r="386" spans="1:22" x14ac:dyDescent="0.3">
      <c r="A386" t="s">
        <v>965</v>
      </c>
      <c r="B386" t="s">
        <v>966</v>
      </c>
      <c r="C386" t="s">
        <v>13</v>
      </c>
      <c r="D386" t="s">
        <v>967</v>
      </c>
      <c r="E386" t="s">
        <v>15</v>
      </c>
      <c r="J386" s="1">
        <v>45155</v>
      </c>
      <c r="K386">
        <v>929</v>
      </c>
      <c r="L386" t="s">
        <v>968</v>
      </c>
      <c r="M386">
        <v>4</v>
      </c>
      <c r="N386" t="str">
        <f>VLOOKUP(M386,[1]LOJA!$A:$B,2,0)</f>
        <v>ADE</v>
      </c>
      <c r="O386">
        <v>189</v>
      </c>
      <c r="P386" t="str">
        <f>VLOOKUP(O386,[1]OPERADORES!$A:$B,2,0)</f>
        <v>CAMILA WILLIANE</v>
      </c>
      <c r="Q386">
        <v>7</v>
      </c>
      <c r="S386" t="s">
        <v>87</v>
      </c>
      <c r="T386" s="1">
        <v>45125</v>
      </c>
      <c r="U386" s="2">
        <v>8414.11</v>
      </c>
      <c r="V386" s="2">
        <v>8414.11</v>
      </c>
    </row>
    <row r="387" spans="1:22" x14ac:dyDescent="0.3">
      <c r="A387" t="s">
        <v>965</v>
      </c>
      <c r="B387" t="s">
        <v>966</v>
      </c>
      <c r="C387" t="s">
        <v>13</v>
      </c>
      <c r="D387" t="s">
        <v>967</v>
      </c>
      <c r="E387" t="s">
        <v>15</v>
      </c>
      <c r="J387" s="1">
        <v>45158</v>
      </c>
      <c r="K387">
        <v>926</v>
      </c>
      <c r="L387" t="s">
        <v>969</v>
      </c>
      <c r="M387">
        <v>4</v>
      </c>
      <c r="N387" t="str">
        <f>VLOOKUP(M387,[1]LOJA!$A:$B,2,0)</f>
        <v>ADE</v>
      </c>
      <c r="O387">
        <v>20</v>
      </c>
      <c r="P387" t="str">
        <f>VLOOKUP(O387,[1]OPERADORES!$A:$B,2,0)</f>
        <v>MAYARA</v>
      </c>
      <c r="Q387">
        <v>12</v>
      </c>
      <c r="S387" t="s">
        <v>970</v>
      </c>
      <c r="T387" s="1">
        <v>45145</v>
      </c>
      <c r="U387" s="2">
        <v>7716.89</v>
      </c>
      <c r="V387" s="2">
        <v>7716.89</v>
      </c>
    </row>
    <row r="388" spans="1:22" x14ac:dyDescent="0.3">
      <c r="A388" t="s">
        <v>965</v>
      </c>
      <c r="B388" t="s">
        <v>966</v>
      </c>
      <c r="C388" t="s">
        <v>13</v>
      </c>
      <c r="D388" t="s">
        <v>967</v>
      </c>
      <c r="E388" t="s">
        <v>15</v>
      </c>
      <c r="J388" s="1">
        <v>45188</v>
      </c>
      <c r="K388">
        <v>896</v>
      </c>
      <c r="L388" t="s">
        <v>971</v>
      </c>
      <c r="M388">
        <v>4</v>
      </c>
      <c r="N388" t="str">
        <f>VLOOKUP(M388,[1]LOJA!$A:$B,2,0)</f>
        <v>ADE</v>
      </c>
      <c r="O388">
        <v>132</v>
      </c>
      <c r="P388" t="str">
        <f>VLOOKUP(O388,[1]OPERADORES!$A:$B,2,0)</f>
        <v>PAMELA GONÇALVES ROSA</v>
      </c>
      <c r="Q388">
        <v>11</v>
      </c>
      <c r="R388">
        <v>4000001074</v>
      </c>
      <c r="S388" t="s">
        <v>972</v>
      </c>
      <c r="T388" s="1">
        <v>45128</v>
      </c>
      <c r="U388">
        <v>319.98</v>
      </c>
      <c r="V388">
        <v>319.98</v>
      </c>
    </row>
    <row r="389" spans="1:22" x14ac:dyDescent="0.3">
      <c r="A389" t="s">
        <v>965</v>
      </c>
      <c r="B389" t="s">
        <v>966</v>
      </c>
      <c r="C389" t="s">
        <v>13</v>
      </c>
      <c r="D389" t="s">
        <v>967</v>
      </c>
      <c r="E389" t="s">
        <v>15</v>
      </c>
      <c r="J389" s="1">
        <v>45214</v>
      </c>
      <c r="K389">
        <v>870</v>
      </c>
      <c r="L389" t="s">
        <v>973</v>
      </c>
      <c r="M389">
        <v>4</v>
      </c>
      <c r="N389" t="str">
        <f>VLOOKUP(M389,[1]LOJA!$A:$B,2,0)</f>
        <v>ADE</v>
      </c>
      <c r="O389">
        <v>20</v>
      </c>
      <c r="P389" t="str">
        <f>VLOOKUP(O389,[1]OPERADORES!$A:$B,2,0)</f>
        <v>MAYARA</v>
      </c>
      <c r="Q389">
        <v>12</v>
      </c>
      <c r="S389" t="s">
        <v>974</v>
      </c>
      <c r="T389" s="1">
        <v>45202</v>
      </c>
      <c r="U389" s="2">
        <v>2616.3200000000002</v>
      </c>
      <c r="V389" s="2">
        <v>2616.3200000000002</v>
      </c>
    </row>
    <row r="390" spans="1:22" x14ac:dyDescent="0.3">
      <c r="A390" t="s">
        <v>965</v>
      </c>
      <c r="B390" t="s">
        <v>966</v>
      </c>
      <c r="C390" t="s">
        <v>13</v>
      </c>
      <c r="D390" t="s">
        <v>967</v>
      </c>
      <c r="E390" t="s">
        <v>15</v>
      </c>
      <c r="J390" s="1">
        <v>45218</v>
      </c>
      <c r="K390">
        <v>866</v>
      </c>
      <c r="L390" t="s">
        <v>975</v>
      </c>
      <c r="M390">
        <v>4</v>
      </c>
      <c r="N390" t="str">
        <f>VLOOKUP(M390,[1]LOJA!$A:$B,2,0)</f>
        <v>ADE</v>
      </c>
      <c r="O390">
        <v>132</v>
      </c>
      <c r="P390" t="str">
        <f>VLOOKUP(O390,[1]OPERADORES!$A:$B,2,0)</f>
        <v>PAMELA GONÇALVES ROSA</v>
      </c>
      <c r="Q390">
        <v>11</v>
      </c>
      <c r="R390">
        <v>4000001075</v>
      </c>
      <c r="S390" t="s">
        <v>976</v>
      </c>
      <c r="T390" s="1">
        <v>45128</v>
      </c>
      <c r="U390">
        <v>319.98</v>
      </c>
      <c r="V390">
        <v>319.98</v>
      </c>
    </row>
    <row r="391" spans="1:22" x14ac:dyDescent="0.3">
      <c r="A391" t="s">
        <v>965</v>
      </c>
      <c r="B391" t="s">
        <v>966</v>
      </c>
      <c r="C391" t="s">
        <v>13</v>
      </c>
      <c r="D391" t="s">
        <v>967</v>
      </c>
      <c r="E391" t="s">
        <v>15</v>
      </c>
      <c r="J391" s="1">
        <v>45248</v>
      </c>
      <c r="K391">
        <v>836</v>
      </c>
      <c r="L391" t="s">
        <v>977</v>
      </c>
      <c r="M391">
        <v>4</v>
      </c>
      <c r="N391" t="str">
        <f>VLOOKUP(M391,[1]LOJA!$A:$B,2,0)</f>
        <v>ADE</v>
      </c>
      <c r="O391">
        <v>132</v>
      </c>
      <c r="P391" t="str">
        <f>VLOOKUP(O391,[1]OPERADORES!$A:$B,2,0)</f>
        <v>PAMELA GONÇALVES ROSA</v>
      </c>
      <c r="Q391">
        <v>11</v>
      </c>
      <c r="R391">
        <v>4000001076</v>
      </c>
      <c r="S391" t="s">
        <v>780</v>
      </c>
      <c r="T391" s="1">
        <v>45128</v>
      </c>
      <c r="U391">
        <v>319.95999999999998</v>
      </c>
      <c r="V391">
        <v>319.95999999999998</v>
      </c>
    </row>
    <row r="392" spans="1:22" x14ac:dyDescent="0.3">
      <c r="A392" t="s">
        <v>978</v>
      </c>
      <c r="B392" t="s">
        <v>32</v>
      </c>
      <c r="C392" t="s">
        <v>13</v>
      </c>
      <c r="D392" t="s">
        <v>979</v>
      </c>
      <c r="E392" t="s">
        <v>15</v>
      </c>
      <c r="J392" s="1">
        <v>45954</v>
      </c>
      <c r="K392">
        <v>130</v>
      </c>
      <c r="L392" t="s">
        <v>980</v>
      </c>
      <c r="M392">
        <v>24</v>
      </c>
      <c r="N392" t="str">
        <f>VLOOKUP(M392,[1]LOJA!$A:$B,2,0)</f>
        <v>LUZIÂNIA</v>
      </c>
      <c r="O392">
        <v>244</v>
      </c>
      <c r="P392" t="str">
        <f>VLOOKUP(O392,[1]OPERADORES!$A:$B,2,0)</f>
        <v>NATHALIA PEREIRA DA SILVA</v>
      </c>
      <c r="Q392">
        <v>4</v>
      </c>
      <c r="S392" t="s">
        <v>110</v>
      </c>
      <c r="T392" s="1">
        <v>45954</v>
      </c>
      <c r="U392">
        <v>-32</v>
      </c>
      <c r="V392">
        <v>-32</v>
      </c>
    </row>
    <row r="393" spans="1:22" x14ac:dyDescent="0.3">
      <c r="A393" t="s">
        <v>978</v>
      </c>
      <c r="B393" t="s">
        <v>32</v>
      </c>
      <c r="C393" t="s">
        <v>13</v>
      </c>
      <c r="D393" t="s">
        <v>979</v>
      </c>
      <c r="E393" t="s">
        <v>15</v>
      </c>
      <c r="J393" s="1">
        <v>46059</v>
      </c>
      <c r="K393">
        <v>25</v>
      </c>
      <c r="L393" t="s">
        <v>981</v>
      </c>
      <c r="M393">
        <v>24</v>
      </c>
      <c r="N393" t="str">
        <f>VLOOKUP(M393,[1]LOJA!$A:$B,2,0)</f>
        <v>LUZIÂNIA</v>
      </c>
      <c r="O393">
        <v>244</v>
      </c>
      <c r="P393" t="str">
        <f>VLOOKUP(O393,[1]OPERADORES!$A:$B,2,0)</f>
        <v>NATHALIA PEREIRA DA SILVA</v>
      </c>
      <c r="Q393">
        <v>4</v>
      </c>
      <c r="S393" t="s">
        <v>982</v>
      </c>
      <c r="T393" s="1">
        <v>46059</v>
      </c>
      <c r="U393">
        <v>-0.95</v>
      </c>
      <c r="V393">
        <v>-0.95</v>
      </c>
    </row>
    <row r="394" spans="1:22" x14ac:dyDescent="0.3">
      <c r="A394" t="s">
        <v>983</v>
      </c>
      <c r="B394" t="s">
        <v>984</v>
      </c>
      <c r="C394" t="s">
        <v>755</v>
      </c>
      <c r="D394" t="s">
        <v>985</v>
      </c>
      <c r="E394" t="s">
        <v>15</v>
      </c>
      <c r="J394" s="1">
        <v>44214</v>
      </c>
      <c r="K394">
        <v>1870</v>
      </c>
      <c r="L394" t="s">
        <v>986</v>
      </c>
      <c r="M394">
        <v>4</v>
      </c>
      <c r="N394" t="str">
        <f>VLOOKUP(M394,[1]LOJA!$A:$B,2,0)</f>
        <v>ADE</v>
      </c>
      <c r="O394">
        <v>124</v>
      </c>
      <c r="P394" t="str">
        <f>VLOOKUP(O394,[1]OPERADORES!$A:$B,2,0)</f>
        <v>SAMARA NERYS GUEDES NEVES</v>
      </c>
      <c r="Q394">
        <v>4</v>
      </c>
      <c r="S394" t="s">
        <v>110</v>
      </c>
      <c r="T394" s="1">
        <v>44214</v>
      </c>
      <c r="U394">
        <v>-280</v>
      </c>
      <c r="V394">
        <v>-280</v>
      </c>
    </row>
    <row r="395" spans="1:22" x14ac:dyDescent="0.3">
      <c r="A395" t="s">
        <v>987</v>
      </c>
      <c r="B395" t="s">
        <v>988</v>
      </c>
      <c r="C395" t="s">
        <v>13</v>
      </c>
      <c r="D395" t="s">
        <v>989</v>
      </c>
      <c r="E395" t="s">
        <v>15</v>
      </c>
      <c r="J395" s="1">
        <v>45990</v>
      </c>
      <c r="K395">
        <v>94</v>
      </c>
      <c r="L395" t="s">
        <v>990</v>
      </c>
      <c r="M395">
        <v>6</v>
      </c>
      <c r="N395" t="str">
        <f>VLOOKUP(M395,[1]LOJA!$A:$B,2,0)</f>
        <v>GAMA</v>
      </c>
      <c r="O395">
        <v>185</v>
      </c>
      <c r="P395" t="str">
        <f>VLOOKUP(O395,[1]OPERADORES!$A:$B,2,0)</f>
        <v>FELIPE OLIVEIRA PONTE</v>
      </c>
      <c r="Q395">
        <v>7</v>
      </c>
      <c r="S395" t="s">
        <v>87</v>
      </c>
      <c r="T395" s="1">
        <v>45989</v>
      </c>
      <c r="U395">
        <v>57</v>
      </c>
      <c r="V395">
        <v>57</v>
      </c>
    </row>
    <row r="396" spans="1:22" x14ac:dyDescent="0.3">
      <c r="A396" t="s">
        <v>991</v>
      </c>
      <c r="B396" t="s">
        <v>992</v>
      </c>
      <c r="C396" t="s">
        <v>30</v>
      </c>
      <c r="D396" t="s">
        <v>993</v>
      </c>
      <c r="E396" t="s">
        <v>15</v>
      </c>
      <c r="J396" s="1">
        <v>45699</v>
      </c>
      <c r="K396">
        <v>385</v>
      </c>
      <c r="L396" t="s">
        <v>994</v>
      </c>
      <c r="M396">
        <v>8</v>
      </c>
      <c r="N396" t="str">
        <f>VLOOKUP(M396,[1]LOJA!$A:$B,2,0)</f>
        <v>LUZIÂNIA</v>
      </c>
      <c r="O396">
        <v>229</v>
      </c>
      <c r="P396" t="str">
        <f>VLOOKUP(O396,[1]OPERADORES!$A:$B,2,0)</f>
        <v>FRED</v>
      </c>
      <c r="Q396">
        <v>4</v>
      </c>
      <c r="S396" t="s">
        <v>995</v>
      </c>
      <c r="T396" s="1">
        <v>45670</v>
      </c>
      <c r="U396">
        <v>-2.11</v>
      </c>
      <c r="V396">
        <v>-2.11</v>
      </c>
    </row>
    <row r="397" spans="1:22" x14ac:dyDescent="0.3">
      <c r="A397" t="s">
        <v>991</v>
      </c>
      <c r="B397" t="s">
        <v>992</v>
      </c>
      <c r="C397" t="s">
        <v>30</v>
      </c>
      <c r="D397" t="s">
        <v>993</v>
      </c>
      <c r="E397" t="s">
        <v>15</v>
      </c>
      <c r="J397" s="1">
        <v>46013</v>
      </c>
      <c r="K397">
        <v>71</v>
      </c>
      <c r="L397" t="s">
        <v>996</v>
      </c>
      <c r="M397">
        <v>24</v>
      </c>
      <c r="N397" t="str">
        <f>VLOOKUP(M397,[1]LOJA!$A:$B,2,0)</f>
        <v>LUZIÂNIA</v>
      </c>
      <c r="O397">
        <v>244</v>
      </c>
      <c r="P397" t="str">
        <f>VLOOKUP(O397,[1]OPERADORES!$A:$B,2,0)</f>
        <v>NATHALIA PEREIRA DA SILVA</v>
      </c>
      <c r="Q397">
        <v>4</v>
      </c>
      <c r="S397" t="s">
        <v>997</v>
      </c>
      <c r="T397" s="1">
        <v>46013</v>
      </c>
      <c r="U397">
        <v>-14.3</v>
      </c>
      <c r="V397">
        <v>-14.3</v>
      </c>
    </row>
    <row r="398" spans="1:22" x14ac:dyDescent="0.3">
      <c r="A398" t="s">
        <v>998</v>
      </c>
      <c r="B398" t="s">
        <v>999</v>
      </c>
      <c r="C398" t="s">
        <v>13</v>
      </c>
      <c r="D398" t="s">
        <v>1000</v>
      </c>
      <c r="E398" t="s">
        <v>15</v>
      </c>
      <c r="J398" s="1">
        <v>44382</v>
      </c>
      <c r="K398">
        <v>1702</v>
      </c>
      <c r="L398" t="s">
        <v>1001</v>
      </c>
      <c r="M398">
        <v>12</v>
      </c>
      <c r="N398" t="str">
        <f>VLOOKUP(M398,[1]LOJA!$A:$B,2,0)</f>
        <v>SOFNORTE</v>
      </c>
      <c r="O398">
        <v>20</v>
      </c>
      <c r="P398" t="str">
        <f>VLOOKUP(O398,[1]OPERADORES!$A:$B,2,0)</f>
        <v>MAYARA</v>
      </c>
      <c r="Q398">
        <v>26</v>
      </c>
      <c r="R398">
        <v>1000003432</v>
      </c>
      <c r="S398" t="s">
        <v>1002</v>
      </c>
      <c r="T398" s="1">
        <v>44292</v>
      </c>
      <c r="U398" s="2">
        <v>1167</v>
      </c>
      <c r="V398" s="2">
        <v>1167</v>
      </c>
    </row>
    <row r="399" spans="1:22" x14ac:dyDescent="0.3">
      <c r="A399" t="s">
        <v>998</v>
      </c>
      <c r="B399" t="s">
        <v>999</v>
      </c>
      <c r="C399" t="s">
        <v>13</v>
      </c>
      <c r="D399" t="s">
        <v>1000</v>
      </c>
      <c r="E399" t="s">
        <v>15</v>
      </c>
      <c r="J399" s="1">
        <v>44382</v>
      </c>
      <c r="K399">
        <v>1702</v>
      </c>
      <c r="L399" t="s">
        <v>1003</v>
      </c>
      <c r="M399">
        <v>12</v>
      </c>
      <c r="N399" t="str">
        <f>VLOOKUP(M399,[1]LOJA!$A:$B,2,0)</f>
        <v>SOFNORTE</v>
      </c>
      <c r="O399">
        <v>20</v>
      </c>
      <c r="P399" t="str">
        <f>VLOOKUP(O399,[1]OPERADORES!$A:$B,2,0)</f>
        <v>MAYARA</v>
      </c>
      <c r="Q399">
        <v>26</v>
      </c>
      <c r="R399">
        <v>1000003592</v>
      </c>
      <c r="S399" t="s">
        <v>1004</v>
      </c>
      <c r="T399" s="1">
        <v>44322</v>
      </c>
      <c r="U399" s="2">
        <v>1580</v>
      </c>
      <c r="V399" s="2">
        <v>1580</v>
      </c>
    </row>
    <row r="400" spans="1:22" x14ac:dyDescent="0.3">
      <c r="A400" t="s">
        <v>998</v>
      </c>
      <c r="B400" t="s">
        <v>999</v>
      </c>
      <c r="C400" t="s">
        <v>13</v>
      </c>
      <c r="D400" t="s">
        <v>1000</v>
      </c>
      <c r="E400" t="s">
        <v>15</v>
      </c>
      <c r="J400" s="1">
        <v>44382</v>
      </c>
      <c r="K400">
        <v>1702</v>
      </c>
      <c r="L400" t="s">
        <v>1005</v>
      </c>
      <c r="M400">
        <v>12</v>
      </c>
      <c r="N400" t="str">
        <f>VLOOKUP(M400,[1]LOJA!$A:$B,2,0)</f>
        <v>SOFNORTE</v>
      </c>
      <c r="O400">
        <v>20</v>
      </c>
      <c r="P400" t="str">
        <f>VLOOKUP(O400,[1]OPERADORES!$A:$B,2,0)</f>
        <v>MAYARA</v>
      </c>
      <c r="Q400">
        <v>26</v>
      </c>
      <c r="R400">
        <v>1000003814</v>
      </c>
      <c r="S400" t="s">
        <v>1006</v>
      </c>
      <c r="T400" s="1">
        <v>44352</v>
      </c>
      <c r="U400">
        <v>974.95</v>
      </c>
      <c r="V400">
        <v>974.95</v>
      </c>
    </row>
    <row r="401" spans="1:22" x14ac:dyDescent="0.3">
      <c r="A401" t="s">
        <v>998</v>
      </c>
      <c r="B401" t="s">
        <v>999</v>
      </c>
      <c r="C401" t="s">
        <v>13</v>
      </c>
      <c r="D401" t="s">
        <v>1000</v>
      </c>
      <c r="E401" t="s">
        <v>15</v>
      </c>
      <c r="J401" s="1">
        <v>44382</v>
      </c>
      <c r="K401">
        <v>1702</v>
      </c>
      <c r="L401" t="s">
        <v>1007</v>
      </c>
      <c r="M401">
        <v>12</v>
      </c>
      <c r="N401" t="str">
        <f>VLOOKUP(M401,[1]LOJA!$A:$B,2,0)</f>
        <v>SOFNORTE</v>
      </c>
      <c r="O401">
        <v>20</v>
      </c>
      <c r="P401" t="str">
        <f>VLOOKUP(O401,[1]OPERADORES!$A:$B,2,0)</f>
        <v>MAYARA</v>
      </c>
      <c r="Q401">
        <v>26</v>
      </c>
      <c r="R401">
        <v>1000003816</v>
      </c>
      <c r="S401" t="s">
        <v>1008</v>
      </c>
      <c r="T401" s="1">
        <v>44352</v>
      </c>
      <c r="U401">
        <v>273</v>
      </c>
      <c r="V401">
        <v>273</v>
      </c>
    </row>
    <row r="402" spans="1:22" x14ac:dyDescent="0.3">
      <c r="A402" t="s">
        <v>998</v>
      </c>
      <c r="B402" t="s">
        <v>999</v>
      </c>
      <c r="C402" t="s">
        <v>13</v>
      </c>
      <c r="D402" t="s">
        <v>1000</v>
      </c>
      <c r="E402" t="s">
        <v>15</v>
      </c>
      <c r="J402" s="1">
        <v>44408</v>
      </c>
      <c r="K402">
        <v>1676</v>
      </c>
      <c r="L402" t="s">
        <v>1009</v>
      </c>
      <c r="M402">
        <v>12</v>
      </c>
      <c r="N402" t="str">
        <f>VLOOKUP(M402,[1]LOJA!$A:$B,2,0)</f>
        <v>SOFNORTE</v>
      </c>
      <c r="O402">
        <v>20</v>
      </c>
      <c r="P402" t="str">
        <f>VLOOKUP(O402,[1]OPERADORES!$A:$B,2,0)</f>
        <v>MAYARA</v>
      </c>
      <c r="Q402">
        <v>26</v>
      </c>
      <c r="R402">
        <v>1000004015</v>
      </c>
      <c r="S402" t="s">
        <v>1010</v>
      </c>
      <c r="T402" s="1">
        <v>44382</v>
      </c>
      <c r="U402">
        <v>326.8</v>
      </c>
      <c r="V402">
        <v>326.8</v>
      </c>
    </row>
    <row r="403" spans="1:22" x14ac:dyDescent="0.3">
      <c r="A403" t="s">
        <v>998</v>
      </c>
      <c r="B403" t="s">
        <v>999</v>
      </c>
      <c r="C403" t="s">
        <v>13</v>
      </c>
      <c r="D403" t="s">
        <v>1000</v>
      </c>
      <c r="E403" t="s">
        <v>15</v>
      </c>
      <c r="J403" s="1">
        <v>44412</v>
      </c>
      <c r="K403">
        <v>1672</v>
      </c>
      <c r="L403" t="s">
        <v>1011</v>
      </c>
      <c r="M403">
        <v>12</v>
      </c>
      <c r="N403" t="str">
        <f>VLOOKUP(M403,[1]LOJA!$A:$B,2,0)</f>
        <v>SOFNORTE</v>
      </c>
      <c r="O403">
        <v>20</v>
      </c>
      <c r="P403" t="str">
        <f>VLOOKUP(O403,[1]OPERADORES!$A:$B,2,0)</f>
        <v>MAYARA</v>
      </c>
      <c r="Q403">
        <v>26</v>
      </c>
      <c r="R403">
        <v>1000003815</v>
      </c>
      <c r="S403" t="s">
        <v>1012</v>
      </c>
      <c r="T403" s="1">
        <v>44352</v>
      </c>
      <c r="U403">
        <v>974</v>
      </c>
      <c r="V403">
        <v>974</v>
      </c>
    </row>
    <row r="404" spans="1:22" x14ac:dyDescent="0.3">
      <c r="A404" t="s">
        <v>998</v>
      </c>
      <c r="B404" t="s">
        <v>999</v>
      </c>
      <c r="C404" t="s">
        <v>13</v>
      </c>
      <c r="D404" t="s">
        <v>1000</v>
      </c>
      <c r="E404" t="s">
        <v>15</v>
      </c>
      <c r="J404" s="1">
        <v>44412</v>
      </c>
      <c r="K404">
        <v>1672</v>
      </c>
      <c r="L404" t="s">
        <v>1013</v>
      </c>
      <c r="M404">
        <v>12</v>
      </c>
      <c r="N404" t="str">
        <f>VLOOKUP(M404,[1]LOJA!$A:$B,2,0)</f>
        <v>SOFNORTE</v>
      </c>
      <c r="O404">
        <v>20</v>
      </c>
      <c r="P404" t="str">
        <f>VLOOKUP(O404,[1]OPERADORES!$A:$B,2,0)</f>
        <v>MAYARA</v>
      </c>
      <c r="Q404">
        <v>26</v>
      </c>
      <c r="R404">
        <v>1000004012</v>
      </c>
      <c r="S404" t="s">
        <v>1014</v>
      </c>
      <c r="T404" s="1">
        <v>44382</v>
      </c>
      <c r="U404">
        <v>955.04</v>
      </c>
      <c r="V404">
        <v>955.04</v>
      </c>
    </row>
    <row r="405" spans="1:22" x14ac:dyDescent="0.3">
      <c r="A405" t="s">
        <v>998</v>
      </c>
      <c r="B405" t="s">
        <v>999</v>
      </c>
      <c r="C405" t="s">
        <v>13</v>
      </c>
      <c r="D405" t="s">
        <v>1000</v>
      </c>
      <c r="E405" t="s">
        <v>15</v>
      </c>
      <c r="J405" s="1">
        <v>44440</v>
      </c>
      <c r="K405">
        <v>1644</v>
      </c>
      <c r="L405" t="s">
        <v>1015</v>
      </c>
      <c r="M405">
        <v>12</v>
      </c>
      <c r="N405" t="str">
        <f>VLOOKUP(M405,[1]LOJA!$A:$B,2,0)</f>
        <v>SOFNORTE</v>
      </c>
      <c r="O405">
        <v>20</v>
      </c>
      <c r="P405" t="str">
        <f>VLOOKUP(O405,[1]OPERADORES!$A:$B,2,0)</f>
        <v>MAYARA</v>
      </c>
      <c r="Q405">
        <v>26</v>
      </c>
      <c r="R405">
        <v>1000004109</v>
      </c>
      <c r="S405" t="s">
        <v>1016</v>
      </c>
      <c r="T405" s="1">
        <v>44410</v>
      </c>
      <c r="U405" s="2">
        <v>1126.7</v>
      </c>
      <c r="V405" s="2">
        <v>1126.7</v>
      </c>
    </row>
    <row r="406" spans="1:22" x14ac:dyDescent="0.3">
      <c r="A406" t="s">
        <v>998</v>
      </c>
      <c r="B406" t="s">
        <v>999</v>
      </c>
      <c r="C406" t="s">
        <v>13</v>
      </c>
      <c r="D406" t="s">
        <v>1000</v>
      </c>
      <c r="E406" t="s">
        <v>15</v>
      </c>
      <c r="J406" s="1">
        <v>44442</v>
      </c>
      <c r="K406">
        <v>1642</v>
      </c>
      <c r="L406" t="s">
        <v>1017</v>
      </c>
      <c r="M406">
        <v>12</v>
      </c>
      <c r="N406" t="str">
        <f>VLOOKUP(M406,[1]LOJA!$A:$B,2,0)</f>
        <v>SOFNORTE</v>
      </c>
      <c r="O406">
        <v>20</v>
      </c>
      <c r="P406" t="str">
        <f>VLOOKUP(O406,[1]OPERADORES!$A:$B,2,0)</f>
        <v>MAYARA</v>
      </c>
      <c r="Q406">
        <v>26</v>
      </c>
      <c r="R406">
        <v>1000004013</v>
      </c>
      <c r="S406" t="s">
        <v>1018</v>
      </c>
      <c r="T406" s="1">
        <v>44382</v>
      </c>
      <c r="U406">
        <v>954</v>
      </c>
      <c r="V406">
        <v>954</v>
      </c>
    </row>
    <row r="407" spans="1:22" x14ac:dyDescent="0.3">
      <c r="A407" t="s">
        <v>998</v>
      </c>
      <c r="B407" t="s">
        <v>999</v>
      </c>
      <c r="C407" t="s">
        <v>13</v>
      </c>
      <c r="D407" t="s">
        <v>1000</v>
      </c>
      <c r="E407" t="s">
        <v>15</v>
      </c>
      <c r="J407" s="1">
        <v>44442</v>
      </c>
      <c r="K407">
        <v>1642</v>
      </c>
      <c r="L407" t="s">
        <v>1019</v>
      </c>
      <c r="M407">
        <v>12</v>
      </c>
      <c r="N407" t="str">
        <f>VLOOKUP(M407,[1]LOJA!$A:$B,2,0)</f>
        <v>SOFNORTE</v>
      </c>
      <c r="O407">
        <v>20</v>
      </c>
      <c r="P407" t="str">
        <f>VLOOKUP(O407,[1]OPERADORES!$A:$B,2,0)</f>
        <v>MAYARA</v>
      </c>
      <c r="Q407">
        <v>26</v>
      </c>
      <c r="R407">
        <v>1000004017</v>
      </c>
      <c r="S407" t="s">
        <v>1020</v>
      </c>
      <c r="T407" s="1">
        <v>44382</v>
      </c>
      <c r="U407">
        <v>284</v>
      </c>
      <c r="V407">
        <v>284</v>
      </c>
    </row>
    <row r="408" spans="1:22" x14ac:dyDescent="0.3">
      <c r="A408" t="s">
        <v>998</v>
      </c>
      <c r="B408" t="s">
        <v>999</v>
      </c>
      <c r="C408" t="s">
        <v>13</v>
      </c>
      <c r="D408" t="s">
        <v>1000</v>
      </c>
      <c r="E408" t="s">
        <v>15</v>
      </c>
      <c r="J408" s="1">
        <v>44470</v>
      </c>
      <c r="K408">
        <v>1614</v>
      </c>
      <c r="L408" t="s">
        <v>1021</v>
      </c>
      <c r="M408">
        <v>12</v>
      </c>
      <c r="N408" t="str">
        <f>VLOOKUP(M408,[1]LOJA!$A:$B,2,0)</f>
        <v>SOFNORTE</v>
      </c>
      <c r="O408">
        <v>20</v>
      </c>
      <c r="P408" t="str">
        <f>VLOOKUP(O408,[1]OPERADORES!$A:$B,2,0)</f>
        <v>MAYARA</v>
      </c>
      <c r="Q408">
        <v>26</v>
      </c>
      <c r="R408">
        <v>1000004110</v>
      </c>
      <c r="S408" t="s">
        <v>1022</v>
      </c>
      <c r="T408" s="1">
        <v>44410</v>
      </c>
      <c r="U408" s="2">
        <v>1125</v>
      </c>
      <c r="V408" s="2">
        <v>1125</v>
      </c>
    </row>
    <row r="409" spans="1:22" x14ac:dyDescent="0.3">
      <c r="A409" t="s">
        <v>998</v>
      </c>
      <c r="B409" t="s">
        <v>999</v>
      </c>
      <c r="C409" t="s">
        <v>13</v>
      </c>
      <c r="D409" t="s">
        <v>1000</v>
      </c>
      <c r="E409" t="s">
        <v>15</v>
      </c>
      <c r="J409" s="1">
        <v>44472</v>
      </c>
      <c r="K409">
        <v>1612</v>
      </c>
      <c r="L409" t="s">
        <v>1023</v>
      </c>
      <c r="M409">
        <v>12</v>
      </c>
      <c r="N409" t="str">
        <f>VLOOKUP(M409,[1]LOJA!$A:$B,2,0)</f>
        <v>SOFNORTE</v>
      </c>
      <c r="O409">
        <v>20</v>
      </c>
      <c r="P409" t="str">
        <f>VLOOKUP(O409,[1]OPERADORES!$A:$B,2,0)</f>
        <v>MAYARA</v>
      </c>
      <c r="Q409">
        <v>26</v>
      </c>
      <c r="R409">
        <v>1000004014</v>
      </c>
      <c r="S409" t="s">
        <v>1024</v>
      </c>
      <c r="T409" s="1">
        <v>44382</v>
      </c>
      <c r="U409">
        <v>954</v>
      </c>
      <c r="V409">
        <v>954</v>
      </c>
    </row>
    <row r="410" spans="1:22" x14ac:dyDescent="0.3">
      <c r="A410" t="s">
        <v>998</v>
      </c>
      <c r="B410" t="s">
        <v>999</v>
      </c>
      <c r="C410" t="s">
        <v>13</v>
      </c>
      <c r="D410" t="s">
        <v>1000</v>
      </c>
      <c r="E410" t="s">
        <v>15</v>
      </c>
      <c r="J410" s="1">
        <v>44472</v>
      </c>
      <c r="K410">
        <v>1612</v>
      </c>
      <c r="L410" t="s">
        <v>1025</v>
      </c>
      <c r="M410">
        <v>12</v>
      </c>
      <c r="N410" t="str">
        <f>VLOOKUP(M410,[1]LOJA!$A:$B,2,0)</f>
        <v>SOFNORTE</v>
      </c>
      <c r="O410">
        <v>20</v>
      </c>
      <c r="P410" t="str">
        <f>VLOOKUP(O410,[1]OPERADORES!$A:$B,2,0)</f>
        <v>MAYARA</v>
      </c>
      <c r="Q410">
        <v>26</v>
      </c>
      <c r="R410">
        <v>1000004018</v>
      </c>
      <c r="S410" t="s">
        <v>1026</v>
      </c>
      <c r="T410" s="1">
        <v>44382</v>
      </c>
      <c r="U410">
        <v>284</v>
      </c>
      <c r="V410">
        <v>284</v>
      </c>
    </row>
    <row r="411" spans="1:22" x14ac:dyDescent="0.3">
      <c r="A411" t="s">
        <v>998</v>
      </c>
      <c r="B411" t="s">
        <v>999</v>
      </c>
      <c r="C411" t="s">
        <v>13</v>
      </c>
      <c r="D411" t="s">
        <v>1000</v>
      </c>
      <c r="E411" t="s">
        <v>15</v>
      </c>
      <c r="J411" s="1">
        <v>44500</v>
      </c>
      <c r="K411">
        <v>1584</v>
      </c>
      <c r="L411" t="s">
        <v>1027</v>
      </c>
      <c r="M411">
        <v>12</v>
      </c>
      <c r="N411" t="str">
        <f>VLOOKUP(M411,[1]LOJA!$A:$B,2,0)</f>
        <v>SOFNORTE</v>
      </c>
      <c r="O411">
        <v>20</v>
      </c>
      <c r="P411" t="str">
        <f>VLOOKUP(O411,[1]OPERADORES!$A:$B,2,0)</f>
        <v>MAYARA</v>
      </c>
      <c r="Q411">
        <v>26</v>
      </c>
      <c r="R411">
        <v>1000004111</v>
      </c>
      <c r="S411" t="s">
        <v>1028</v>
      </c>
      <c r="T411" s="1">
        <v>44410</v>
      </c>
      <c r="U411" s="2">
        <v>1125</v>
      </c>
      <c r="V411" s="2">
        <v>1125</v>
      </c>
    </row>
    <row r="412" spans="1:22" x14ac:dyDescent="0.3">
      <c r="A412" t="s">
        <v>998</v>
      </c>
      <c r="B412" t="s">
        <v>999</v>
      </c>
      <c r="C412" t="s">
        <v>13</v>
      </c>
      <c r="D412" t="s">
        <v>1000</v>
      </c>
      <c r="E412" t="s">
        <v>15</v>
      </c>
      <c r="J412" s="1">
        <v>44502</v>
      </c>
      <c r="K412">
        <v>1582</v>
      </c>
      <c r="L412" t="s">
        <v>1029</v>
      </c>
      <c r="M412">
        <v>12</v>
      </c>
      <c r="N412" t="str">
        <f>VLOOKUP(M412,[1]LOJA!$A:$B,2,0)</f>
        <v>SOFNORTE</v>
      </c>
      <c r="O412">
        <v>20</v>
      </c>
      <c r="P412" t="str">
        <f>VLOOKUP(O412,[1]OPERADORES!$A:$B,2,0)</f>
        <v>MAYARA</v>
      </c>
      <c r="Q412">
        <v>26</v>
      </c>
      <c r="R412">
        <v>1000004019</v>
      </c>
      <c r="S412" t="s">
        <v>1030</v>
      </c>
      <c r="T412" s="1">
        <v>44382</v>
      </c>
      <c r="U412">
        <v>284</v>
      </c>
      <c r="V412">
        <v>284</v>
      </c>
    </row>
    <row r="413" spans="1:22" x14ac:dyDescent="0.3">
      <c r="A413" t="s">
        <v>998</v>
      </c>
      <c r="B413" t="s">
        <v>999</v>
      </c>
      <c r="C413" t="s">
        <v>13</v>
      </c>
      <c r="D413" t="s">
        <v>1000</v>
      </c>
      <c r="E413" t="s">
        <v>15</v>
      </c>
      <c r="J413" s="1">
        <v>44532</v>
      </c>
      <c r="K413">
        <v>1552</v>
      </c>
      <c r="L413" t="s">
        <v>1031</v>
      </c>
      <c r="M413">
        <v>12</v>
      </c>
      <c r="N413" t="str">
        <f>VLOOKUP(M413,[1]LOJA!$A:$B,2,0)</f>
        <v>SOFNORTE</v>
      </c>
      <c r="O413">
        <v>20</v>
      </c>
      <c r="P413" t="str">
        <f>VLOOKUP(O413,[1]OPERADORES!$A:$B,2,0)</f>
        <v>MAYARA</v>
      </c>
      <c r="Q413">
        <v>26</v>
      </c>
      <c r="R413">
        <v>1000004020</v>
      </c>
      <c r="S413" t="s">
        <v>1032</v>
      </c>
      <c r="T413" s="1">
        <v>44382</v>
      </c>
      <c r="U413">
        <v>284</v>
      </c>
      <c r="V413">
        <v>284</v>
      </c>
    </row>
    <row r="414" spans="1:22" x14ac:dyDescent="0.3">
      <c r="A414" t="s">
        <v>1033</v>
      </c>
      <c r="B414" t="s">
        <v>1034</v>
      </c>
      <c r="C414" t="s">
        <v>13</v>
      </c>
      <c r="D414" t="s">
        <v>280</v>
      </c>
      <c r="E414" t="s">
        <v>15</v>
      </c>
      <c r="J414" s="1">
        <v>45979</v>
      </c>
      <c r="K414">
        <v>105</v>
      </c>
      <c r="L414" t="s">
        <v>1035</v>
      </c>
      <c r="M414">
        <v>6</v>
      </c>
      <c r="N414" t="str">
        <f>VLOOKUP(M414,[1]LOJA!$A:$B,2,0)</f>
        <v>GAMA</v>
      </c>
      <c r="O414">
        <v>246</v>
      </c>
      <c r="P414" t="str">
        <f>VLOOKUP(O414,[1]OPERADORES!$A:$B,2,0)</f>
        <v>VITORIA APARECIDA</v>
      </c>
      <c r="Q414">
        <v>4</v>
      </c>
      <c r="S414" t="s">
        <v>1036</v>
      </c>
      <c r="T414" s="1">
        <v>45979</v>
      </c>
      <c r="U414">
        <v>-1</v>
      </c>
      <c r="V414">
        <v>-1</v>
      </c>
    </row>
    <row r="415" spans="1:22" x14ac:dyDescent="0.3">
      <c r="A415" t="s">
        <v>1037</v>
      </c>
      <c r="B415" t="s">
        <v>1038</v>
      </c>
      <c r="C415" t="s">
        <v>1039</v>
      </c>
      <c r="D415" t="s">
        <v>5465</v>
      </c>
      <c r="E415" t="s">
        <v>15</v>
      </c>
      <c r="J415" s="1">
        <v>46054</v>
      </c>
      <c r="K415">
        <v>30</v>
      </c>
      <c r="L415" t="s">
        <v>1040</v>
      </c>
      <c r="M415">
        <v>4</v>
      </c>
      <c r="N415" t="str">
        <f>VLOOKUP(M415,[1]LOJA!$A:$B,2,0)</f>
        <v>ADE</v>
      </c>
      <c r="O415">
        <v>132</v>
      </c>
      <c r="P415" t="str">
        <f>VLOOKUP(O415,[1]OPERADORES!$A:$B,2,0)</f>
        <v>PAMELA GONÇALVES ROSA</v>
      </c>
      <c r="Q415">
        <v>7</v>
      </c>
      <c r="S415" t="s">
        <v>5466</v>
      </c>
      <c r="T415" s="1">
        <v>46024</v>
      </c>
      <c r="U415">
        <v>100.76</v>
      </c>
      <c r="V415">
        <v>100.76</v>
      </c>
    </row>
    <row r="416" spans="1:22" x14ac:dyDescent="0.3">
      <c r="A416" t="s">
        <v>1041</v>
      </c>
      <c r="B416" t="s">
        <v>1042</v>
      </c>
      <c r="C416" t="s">
        <v>293</v>
      </c>
      <c r="D416" t="s">
        <v>5467</v>
      </c>
      <c r="E416" t="s">
        <v>15</v>
      </c>
      <c r="J416" s="1">
        <v>44699</v>
      </c>
      <c r="K416">
        <v>1385</v>
      </c>
      <c r="L416" t="s">
        <v>1043</v>
      </c>
      <c r="M416">
        <v>4</v>
      </c>
      <c r="N416" t="str">
        <f>VLOOKUP(M416,[1]LOJA!$A:$B,2,0)</f>
        <v>ADE</v>
      </c>
      <c r="O416">
        <v>107</v>
      </c>
      <c r="P416" t="str">
        <f>VLOOKUP(O416,[1]OPERADORES!$A:$B,2,0)</f>
        <v>DAIANA PORTELA</v>
      </c>
      <c r="Q416">
        <v>7</v>
      </c>
      <c r="S416" t="s">
        <v>142</v>
      </c>
      <c r="T416" s="1">
        <v>44699</v>
      </c>
      <c r="U416">
        <v>-0.01</v>
      </c>
      <c r="V416">
        <v>-0.01</v>
      </c>
    </row>
    <row r="417" spans="1:22" x14ac:dyDescent="0.3">
      <c r="A417" t="s">
        <v>1044</v>
      </c>
      <c r="B417" t="s">
        <v>1045</v>
      </c>
      <c r="C417" t="s">
        <v>207</v>
      </c>
      <c r="D417" t="s">
        <v>5468</v>
      </c>
      <c r="E417" t="s">
        <v>15</v>
      </c>
      <c r="J417" s="1">
        <v>45867</v>
      </c>
      <c r="K417">
        <v>217</v>
      </c>
      <c r="L417" t="s">
        <v>1046</v>
      </c>
      <c r="M417">
        <v>22</v>
      </c>
      <c r="N417" t="str">
        <f>VLOOKUP(M417,[1]LOJA!$A:$B,2,0)</f>
        <v>GUARÁ</v>
      </c>
      <c r="O417">
        <v>16</v>
      </c>
      <c r="P417" t="str">
        <f>VLOOKUP(O417,[1]OPERADORES!$A:$B,2,0)</f>
        <v>AYSLAN</v>
      </c>
      <c r="Q417">
        <v>4</v>
      </c>
      <c r="S417" t="s">
        <v>1047</v>
      </c>
      <c r="T417" s="1">
        <v>45867</v>
      </c>
      <c r="U417">
        <v>-33.83</v>
      </c>
      <c r="V417">
        <v>-33.83</v>
      </c>
    </row>
    <row r="418" spans="1:22" x14ac:dyDescent="0.3">
      <c r="A418" t="s">
        <v>1044</v>
      </c>
      <c r="B418" t="s">
        <v>1045</v>
      </c>
      <c r="C418" t="s">
        <v>207</v>
      </c>
      <c r="D418" t="s">
        <v>5468</v>
      </c>
      <c r="E418" t="s">
        <v>15</v>
      </c>
      <c r="J418" s="1">
        <v>46010</v>
      </c>
      <c r="K418">
        <v>74</v>
      </c>
      <c r="L418" t="s">
        <v>1048</v>
      </c>
      <c r="M418">
        <v>22</v>
      </c>
      <c r="N418" t="str">
        <f>VLOOKUP(M418,[1]LOJA!$A:$B,2,0)</f>
        <v>GUARÁ</v>
      </c>
      <c r="O418">
        <v>93</v>
      </c>
      <c r="P418" t="str">
        <f>VLOOKUP(O418,[1]OPERADORES!$A:$B,2,0)</f>
        <v>PATRICIA</v>
      </c>
      <c r="Q418">
        <v>4</v>
      </c>
      <c r="S418" t="s">
        <v>1049</v>
      </c>
      <c r="T418" s="1">
        <v>46010</v>
      </c>
      <c r="U418">
        <v>-222.71</v>
      </c>
      <c r="V418">
        <v>-222.71</v>
      </c>
    </row>
    <row r="419" spans="1:22" x14ac:dyDescent="0.3">
      <c r="A419" t="s">
        <v>1050</v>
      </c>
      <c r="B419" t="s">
        <v>1051</v>
      </c>
      <c r="C419" t="s">
        <v>226</v>
      </c>
      <c r="D419" t="s">
        <v>1052</v>
      </c>
      <c r="E419" t="s">
        <v>15</v>
      </c>
      <c r="J419" s="1">
        <v>45328</v>
      </c>
      <c r="K419">
        <v>756</v>
      </c>
      <c r="L419" t="s">
        <v>1053</v>
      </c>
      <c r="M419">
        <v>13</v>
      </c>
      <c r="N419" t="str">
        <f>VLOOKUP(M419,[1]LOJA!$A:$B,2,0)</f>
        <v>CEILÂNDIA</v>
      </c>
      <c r="O419">
        <v>67</v>
      </c>
      <c r="P419" t="str">
        <f>VLOOKUP(O419,[1]OPERADORES!$A:$B,2,0)</f>
        <v>ERIKA</v>
      </c>
      <c r="Q419">
        <v>10</v>
      </c>
      <c r="S419" t="s">
        <v>1054</v>
      </c>
      <c r="T419" s="1">
        <v>45328</v>
      </c>
      <c r="U419">
        <v>-0.82</v>
      </c>
      <c r="V419">
        <v>-0.82</v>
      </c>
    </row>
    <row r="420" spans="1:22" x14ac:dyDescent="0.3">
      <c r="A420" t="s">
        <v>1050</v>
      </c>
      <c r="B420" t="s">
        <v>1051</v>
      </c>
      <c r="C420" t="s">
        <v>226</v>
      </c>
      <c r="D420" t="s">
        <v>1052</v>
      </c>
      <c r="E420" t="s">
        <v>15</v>
      </c>
      <c r="J420" s="1">
        <v>45451</v>
      </c>
      <c r="K420">
        <v>633</v>
      </c>
      <c r="L420" t="s">
        <v>1055</v>
      </c>
      <c r="M420">
        <v>13</v>
      </c>
      <c r="N420" t="str">
        <f>VLOOKUP(M420,[1]LOJA!$A:$B,2,0)</f>
        <v>CEILÂNDIA</v>
      </c>
      <c r="O420">
        <v>86</v>
      </c>
      <c r="P420" t="str">
        <f>VLOOKUP(O420,[1]OPERADORES!$A:$B,2,0)</f>
        <v>AMANDA</v>
      </c>
      <c r="Q420">
        <v>7</v>
      </c>
      <c r="S420" t="s">
        <v>1054</v>
      </c>
      <c r="T420" s="1">
        <v>45451</v>
      </c>
      <c r="U420">
        <v>-0.8</v>
      </c>
      <c r="V420">
        <v>-0.8</v>
      </c>
    </row>
    <row r="421" spans="1:22" x14ac:dyDescent="0.3">
      <c r="A421" t="s">
        <v>1056</v>
      </c>
      <c r="B421" t="s">
        <v>32</v>
      </c>
      <c r="C421" t="s">
        <v>13</v>
      </c>
      <c r="D421" t="s">
        <v>1057</v>
      </c>
      <c r="E421" t="s">
        <v>15</v>
      </c>
      <c r="J421" s="1">
        <v>45351</v>
      </c>
      <c r="K421">
        <v>733</v>
      </c>
      <c r="L421" t="s">
        <v>1058</v>
      </c>
      <c r="M421">
        <v>14</v>
      </c>
      <c r="N421" t="str">
        <f>VLOOKUP(M421,[1]LOJA!$A:$B,2,0)</f>
        <v>S IA</v>
      </c>
      <c r="O421">
        <v>207</v>
      </c>
      <c r="P421" t="str">
        <f>VLOOKUP(O421,[1]OPERADORES!$A:$B,2,0)</f>
        <v>KETILE SABRINE</v>
      </c>
      <c r="Q421">
        <v>4</v>
      </c>
      <c r="S421" t="s">
        <v>1059</v>
      </c>
      <c r="T421" s="1">
        <v>45351</v>
      </c>
      <c r="U421">
        <v>-0.01</v>
      </c>
      <c r="V421">
        <v>-0.01</v>
      </c>
    </row>
    <row r="422" spans="1:22" x14ac:dyDescent="0.3">
      <c r="A422" t="s">
        <v>1060</v>
      </c>
      <c r="B422" t="s">
        <v>1061</v>
      </c>
      <c r="C422" t="s">
        <v>13</v>
      </c>
      <c r="D422" t="s">
        <v>1062</v>
      </c>
      <c r="E422" t="s">
        <v>15</v>
      </c>
      <c r="J422" s="1">
        <v>46058</v>
      </c>
      <c r="K422">
        <v>26</v>
      </c>
      <c r="L422" t="s">
        <v>1063</v>
      </c>
      <c r="M422">
        <v>9</v>
      </c>
      <c r="N422" t="str">
        <f>VLOOKUP(M422,[1]LOJA!$A:$B,2,0)</f>
        <v>ÚNICA</v>
      </c>
      <c r="O422">
        <v>236</v>
      </c>
      <c r="P422" t="str">
        <f>VLOOKUP(O422,[1]OPERADORES!$A:$B,2,0)</f>
        <v>DANIEL</v>
      </c>
      <c r="Q422">
        <v>4</v>
      </c>
      <c r="S422" t="s">
        <v>1064</v>
      </c>
      <c r="T422" s="1">
        <v>46058</v>
      </c>
      <c r="U422">
        <v>-59.38</v>
      </c>
      <c r="V422">
        <v>-59.38</v>
      </c>
    </row>
    <row r="423" spans="1:22" x14ac:dyDescent="0.3">
      <c r="A423" t="s">
        <v>1065</v>
      </c>
      <c r="B423" t="s">
        <v>1066</v>
      </c>
      <c r="C423" t="s">
        <v>1067</v>
      </c>
      <c r="D423" t="s">
        <v>1068</v>
      </c>
      <c r="E423" t="s">
        <v>15</v>
      </c>
      <c r="J423" s="1">
        <v>45806</v>
      </c>
      <c r="K423">
        <v>278</v>
      </c>
      <c r="L423" t="s">
        <v>1069</v>
      </c>
      <c r="M423">
        <v>9</v>
      </c>
      <c r="N423" t="str">
        <f>VLOOKUP(M423,[1]LOJA!$A:$B,2,0)</f>
        <v>ÚNICA</v>
      </c>
      <c r="O423">
        <v>222</v>
      </c>
      <c r="P423" t="str">
        <f>VLOOKUP(O423,[1]OPERADORES!$A:$B,2,0)</f>
        <v>VENDAS AGREGADAS</v>
      </c>
      <c r="Q423">
        <v>4</v>
      </c>
      <c r="S423" t="s">
        <v>1070</v>
      </c>
      <c r="T423" s="1">
        <v>45806</v>
      </c>
      <c r="U423">
        <v>-200.4</v>
      </c>
      <c r="V423">
        <v>-200.4</v>
      </c>
    </row>
    <row r="424" spans="1:22" x14ac:dyDescent="0.3">
      <c r="A424" t="s">
        <v>1071</v>
      </c>
      <c r="B424" t="s">
        <v>32</v>
      </c>
      <c r="C424" t="s">
        <v>13</v>
      </c>
      <c r="D424" t="s">
        <v>1072</v>
      </c>
      <c r="E424" t="s">
        <v>15</v>
      </c>
      <c r="J424" s="1">
        <v>45645</v>
      </c>
      <c r="K424">
        <v>439</v>
      </c>
      <c r="L424" t="s">
        <v>1073</v>
      </c>
      <c r="M424">
        <v>9</v>
      </c>
      <c r="N424" t="str">
        <f>VLOOKUP(M424,[1]LOJA!$A:$B,2,0)</f>
        <v>ÚNICA</v>
      </c>
      <c r="O424">
        <v>222</v>
      </c>
      <c r="P424" t="str">
        <f>VLOOKUP(O424,[1]OPERADORES!$A:$B,2,0)</f>
        <v>VENDAS AGREGADAS</v>
      </c>
      <c r="Q424">
        <v>7</v>
      </c>
      <c r="S424" t="s">
        <v>87</v>
      </c>
      <c r="T424" s="1">
        <v>45615</v>
      </c>
      <c r="U424" s="2">
        <v>1533.25</v>
      </c>
      <c r="V424" s="2">
        <v>1533.25</v>
      </c>
    </row>
    <row r="425" spans="1:22" x14ac:dyDescent="0.3">
      <c r="A425" t="s">
        <v>1074</v>
      </c>
      <c r="B425" t="s">
        <v>1075</v>
      </c>
      <c r="C425" t="s">
        <v>43</v>
      </c>
      <c r="D425" t="s">
        <v>1076</v>
      </c>
      <c r="E425" t="s">
        <v>15</v>
      </c>
      <c r="J425" s="1">
        <v>45961</v>
      </c>
      <c r="K425">
        <v>123</v>
      </c>
      <c r="L425" t="s">
        <v>1077</v>
      </c>
      <c r="M425">
        <v>12</v>
      </c>
      <c r="N425" t="str">
        <f>VLOOKUP(M425,[1]LOJA!$A:$B,2,0)</f>
        <v>SOFNORTE</v>
      </c>
      <c r="O425">
        <v>60</v>
      </c>
      <c r="P425" t="str">
        <f>VLOOKUP(O425,[1]OPERADORES!$A:$B,2,0)</f>
        <v>ALEXANDRA</v>
      </c>
      <c r="Q425">
        <v>26</v>
      </c>
      <c r="R425">
        <v>1000018348</v>
      </c>
      <c r="S425" t="s">
        <v>87</v>
      </c>
      <c r="T425" s="1">
        <v>45931</v>
      </c>
      <c r="U425">
        <v>367.17</v>
      </c>
      <c r="V425">
        <v>367.17</v>
      </c>
    </row>
    <row r="426" spans="1:22" x14ac:dyDescent="0.3">
      <c r="A426" t="s">
        <v>5469</v>
      </c>
      <c r="B426" t="s">
        <v>5470</v>
      </c>
      <c r="C426" t="s">
        <v>226</v>
      </c>
      <c r="D426" t="s">
        <v>5471</v>
      </c>
      <c r="E426" t="s">
        <v>15</v>
      </c>
      <c r="J426" s="1">
        <v>46076</v>
      </c>
      <c r="K426">
        <v>8</v>
      </c>
      <c r="L426" t="s">
        <v>5472</v>
      </c>
      <c r="M426">
        <v>9</v>
      </c>
      <c r="N426" t="str">
        <f>VLOOKUP(M426,[1]LOJA!$A:$B,2,0)</f>
        <v>ÚNICA</v>
      </c>
      <c r="O426">
        <v>231</v>
      </c>
      <c r="P426" t="str">
        <f>VLOOKUP(O426,[1]OPERADORES!$A:$B,2,0)</f>
        <v>EDIJANE</v>
      </c>
      <c r="Q426">
        <v>4</v>
      </c>
      <c r="S426" t="s">
        <v>5473</v>
      </c>
      <c r="T426" s="1">
        <v>46076</v>
      </c>
      <c r="U426">
        <v>-34.6</v>
      </c>
      <c r="V426">
        <v>-34.6</v>
      </c>
    </row>
    <row r="427" spans="1:22" x14ac:dyDescent="0.3">
      <c r="A427" t="s">
        <v>1078</v>
      </c>
      <c r="B427" t="s">
        <v>32</v>
      </c>
      <c r="C427" t="s">
        <v>13</v>
      </c>
      <c r="D427" t="s">
        <v>1079</v>
      </c>
      <c r="E427" t="s">
        <v>15</v>
      </c>
      <c r="J427" s="1">
        <v>45309</v>
      </c>
      <c r="K427">
        <v>775</v>
      </c>
      <c r="L427" t="s">
        <v>1080</v>
      </c>
      <c r="M427">
        <v>9</v>
      </c>
      <c r="N427" t="str">
        <f>VLOOKUP(M427,[1]LOJA!$A:$B,2,0)</f>
        <v>ÚNICA</v>
      </c>
      <c r="O427">
        <v>20</v>
      </c>
      <c r="P427" t="str">
        <f>VLOOKUP(O427,[1]OPERADORES!$A:$B,2,0)</f>
        <v>MAYARA</v>
      </c>
      <c r="Q427">
        <v>23</v>
      </c>
      <c r="R427">
        <v>64315</v>
      </c>
      <c r="S427" t="s">
        <v>1081</v>
      </c>
      <c r="T427" s="1">
        <v>45253</v>
      </c>
      <c r="U427" s="2">
        <v>2052</v>
      </c>
      <c r="V427" s="2">
        <v>2052</v>
      </c>
    </row>
    <row r="428" spans="1:22" x14ac:dyDescent="0.3">
      <c r="A428" t="s">
        <v>1078</v>
      </c>
      <c r="B428" t="s">
        <v>32</v>
      </c>
      <c r="C428" t="s">
        <v>13</v>
      </c>
      <c r="D428" t="s">
        <v>1079</v>
      </c>
      <c r="E428" t="s">
        <v>15</v>
      </c>
      <c r="J428" s="1">
        <v>45309</v>
      </c>
      <c r="K428">
        <v>775</v>
      </c>
      <c r="L428" t="s">
        <v>1082</v>
      </c>
      <c r="M428">
        <v>9</v>
      </c>
      <c r="N428" t="str">
        <f>VLOOKUP(M428,[1]LOJA!$A:$B,2,0)</f>
        <v>ÚNICA</v>
      </c>
      <c r="O428">
        <v>197</v>
      </c>
      <c r="P428" t="str">
        <f>VLOOKUP(O428,[1]OPERADORES!$A:$B,2,0)</f>
        <v xml:space="preserve">POLIANA LORRANE DE AMORIM </v>
      </c>
      <c r="Q428">
        <v>23</v>
      </c>
      <c r="R428">
        <v>68415</v>
      </c>
      <c r="S428" t="s">
        <v>51</v>
      </c>
      <c r="T428" s="1">
        <v>45281</v>
      </c>
      <c r="U428" s="2">
        <v>1225.77</v>
      </c>
      <c r="V428" s="2">
        <v>1225.77</v>
      </c>
    </row>
    <row r="429" spans="1:22" x14ac:dyDescent="0.3">
      <c r="A429" t="s">
        <v>1078</v>
      </c>
      <c r="B429" t="s">
        <v>32</v>
      </c>
      <c r="C429" t="s">
        <v>13</v>
      </c>
      <c r="D429" t="s">
        <v>1079</v>
      </c>
      <c r="E429" t="s">
        <v>15</v>
      </c>
      <c r="J429" s="1">
        <v>45310</v>
      </c>
      <c r="K429">
        <v>774</v>
      </c>
      <c r="L429" t="s">
        <v>1083</v>
      </c>
      <c r="M429">
        <v>9</v>
      </c>
      <c r="N429" t="str">
        <f>VLOOKUP(M429,[1]LOJA!$A:$B,2,0)</f>
        <v>ÚNICA</v>
      </c>
      <c r="O429">
        <v>197</v>
      </c>
      <c r="P429" t="str">
        <f>VLOOKUP(O429,[1]OPERADORES!$A:$B,2,0)</f>
        <v xml:space="preserve">POLIANA LORRANE DE AMORIM </v>
      </c>
      <c r="Q429">
        <v>23</v>
      </c>
      <c r="R429">
        <v>68233</v>
      </c>
      <c r="S429" t="s">
        <v>51</v>
      </c>
      <c r="T429" s="1">
        <v>45280</v>
      </c>
      <c r="U429" s="2">
        <v>1901.63</v>
      </c>
      <c r="V429" s="2">
        <v>1901.63</v>
      </c>
    </row>
    <row r="430" spans="1:22" x14ac:dyDescent="0.3">
      <c r="A430" t="s">
        <v>1078</v>
      </c>
      <c r="B430" t="s">
        <v>32</v>
      </c>
      <c r="C430" t="s">
        <v>13</v>
      </c>
      <c r="D430" t="s">
        <v>1079</v>
      </c>
      <c r="E430" t="s">
        <v>15</v>
      </c>
      <c r="J430" s="1">
        <v>45323</v>
      </c>
      <c r="K430">
        <v>761</v>
      </c>
      <c r="L430" t="s">
        <v>1084</v>
      </c>
      <c r="M430">
        <v>9</v>
      </c>
      <c r="N430" t="str">
        <f>VLOOKUP(M430,[1]LOJA!$A:$B,2,0)</f>
        <v>ÚNICA</v>
      </c>
      <c r="O430">
        <v>197</v>
      </c>
      <c r="P430" t="str">
        <f>VLOOKUP(O430,[1]OPERADORES!$A:$B,2,0)</f>
        <v xml:space="preserve">POLIANA LORRANE DE AMORIM </v>
      </c>
      <c r="Q430">
        <v>23</v>
      </c>
      <c r="R430">
        <v>68423</v>
      </c>
      <c r="S430" t="s">
        <v>53</v>
      </c>
      <c r="T430" s="1">
        <v>45281</v>
      </c>
      <c r="U430" s="2">
        <v>1225.77</v>
      </c>
      <c r="V430" s="2">
        <v>1225.77</v>
      </c>
    </row>
    <row r="431" spans="1:22" x14ac:dyDescent="0.3">
      <c r="A431" t="s">
        <v>1078</v>
      </c>
      <c r="B431" t="s">
        <v>32</v>
      </c>
      <c r="C431" t="s">
        <v>13</v>
      </c>
      <c r="D431" t="s">
        <v>1079</v>
      </c>
      <c r="E431" t="s">
        <v>15</v>
      </c>
      <c r="J431" s="1">
        <v>45329</v>
      </c>
      <c r="K431">
        <v>755</v>
      </c>
      <c r="L431" t="s">
        <v>1085</v>
      </c>
      <c r="M431">
        <v>9</v>
      </c>
      <c r="N431" t="str">
        <f>VLOOKUP(M431,[1]LOJA!$A:$B,2,0)</f>
        <v>ÚNICA</v>
      </c>
      <c r="O431">
        <v>197</v>
      </c>
      <c r="P431" t="str">
        <f>VLOOKUP(O431,[1]OPERADORES!$A:$B,2,0)</f>
        <v xml:space="preserve">POLIANA LORRANE DE AMORIM </v>
      </c>
      <c r="Q431">
        <v>23</v>
      </c>
      <c r="R431">
        <v>70114</v>
      </c>
      <c r="S431" t="s">
        <v>51</v>
      </c>
      <c r="T431" s="1">
        <v>45301</v>
      </c>
      <c r="U431">
        <v>839.22</v>
      </c>
      <c r="V431">
        <v>839.22</v>
      </c>
    </row>
    <row r="432" spans="1:22" x14ac:dyDescent="0.3">
      <c r="A432" t="s">
        <v>1078</v>
      </c>
      <c r="B432" t="s">
        <v>32</v>
      </c>
      <c r="C432" t="s">
        <v>13</v>
      </c>
      <c r="D432" t="s">
        <v>1079</v>
      </c>
      <c r="E432" t="s">
        <v>15</v>
      </c>
      <c r="J432" s="1">
        <v>45337</v>
      </c>
      <c r="K432">
        <v>747</v>
      </c>
      <c r="L432" t="s">
        <v>1086</v>
      </c>
      <c r="M432">
        <v>9</v>
      </c>
      <c r="N432" t="str">
        <f>VLOOKUP(M432,[1]LOJA!$A:$B,2,0)</f>
        <v>ÚNICA</v>
      </c>
      <c r="O432">
        <v>197</v>
      </c>
      <c r="P432" t="str">
        <f>VLOOKUP(O432,[1]OPERADORES!$A:$B,2,0)</f>
        <v xml:space="preserve">POLIANA LORRANE DE AMORIM </v>
      </c>
      <c r="Q432">
        <v>23</v>
      </c>
      <c r="R432">
        <v>68431</v>
      </c>
      <c r="S432" t="s">
        <v>55</v>
      </c>
      <c r="T432" s="1">
        <v>45281</v>
      </c>
      <c r="U432" s="2">
        <v>1225.77</v>
      </c>
      <c r="V432" s="2">
        <v>1225.77</v>
      </c>
    </row>
    <row r="433" spans="1:22" x14ac:dyDescent="0.3">
      <c r="A433" t="s">
        <v>1078</v>
      </c>
      <c r="B433" t="s">
        <v>32</v>
      </c>
      <c r="C433" t="s">
        <v>13</v>
      </c>
      <c r="D433" t="s">
        <v>1079</v>
      </c>
      <c r="E433" t="s">
        <v>15</v>
      </c>
      <c r="J433" s="1">
        <v>45337</v>
      </c>
      <c r="K433">
        <v>747</v>
      </c>
      <c r="L433" t="s">
        <v>1087</v>
      </c>
      <c r="M433">
        <v>9</v>
      </c>
      <c r="N433" t="str">
        <f>VLOOKUP(M433,[1]LOJA!$A:$B,2,0)</f>
        <v>ÚNICA</v>
      </c>
      <c r="O433">
        <v>197</v>
      </c>
      <c r="P433" t="str">
        <f>VLOOKUP(O433,[1]OPERADORES!$A:$B,2,0)</f>
        <v xml:space="preserve">POLIANA LORRANE DE AMORIM </v>
      </c>
      <c r="Q433">
        <v>23</v>
      </c>
      <c r="R433">
        <v>71005</v>
      </c>
      <c r="S433" t="s">
        <v>51</v>
      </c>
      <c r="T433" s="1">
        <v>45307</v>
      </c>
      <c r="U433" s="2">
        <v>2033.49</v>
      </c>
      <c r="V433" s="2">
        <v>2033.49</v>
      </c>
    </row>
    <row r="434" spans="1:22" x14ac:dyDescent="0.3">
      <c r="A434" t="s">
        <v>1078</v>
      </c>
      <c r="B434" t="s">
        <v>32</v>
      </c>
      <c r="C434" t="s">
        <v>13</v>
      </c>
      <c r="D434" t="s">
        <v>1079</v>
      </c>
      <c r="E434" t="s">
        <v>15</v>
      </c>
      <c r="J434" s="1">
        <v>45340</v>
      </c>
      <c r="K434">
        <v>744</v>
      </c>
      <c r="L434" t="s">
        <v>1088</v>
      </c>
      <c r="M434">
        <v>9</v>
      </c>
      <c r="N434" t="str">
        <f>VLOOKUP(M434,[1]LOJA!$A:$B,2,0)</f>
        <v>ÚNICA</v>
      </c>
      <c r="O434">
        <v>197</v>
      </c>
      <c r="P434" t="str">
        <f>VLOOKUP(O434,[1]OPERADORES!$A:$B,2,0)</f>
        <v xml:space="preserve">POLIANA LORRANE DE AMORIM </v>
      </c>
      <c r="Q434">
        <v>23</v>
      </c>
      <c r="R434">
        <v>68241</v>
      </c>
      <c r="S434" t="s">
        <v>53</v>
      </c>
      <c r="T434" s="1">
        <v>45280</v>
      </c>
      <c r="U434" s="2">
        <v>1901.62</v>
      </c>
      <c r="V434" s="2">
        <v>1901.62</v>
      </c>
    </row>
    <row r="435" spans="1:22" x14ac:dyDescent="0.3">
      <c r="A435" t="s">
        <v>1078</v>
      </c>
      <c r="B435" t="s">
        <v>32</v>
      </c>
      <c r="C435" t="s">
        <v>13</v>
      </c>
      <c r="D435" t="s">
        <v>1079</v>
      </c>
      <c r="E435" t="s">
        <v>15</v>
      </c>
      <c r="J435" s="1">
        <v>45343</v>
      </c>
      <c r="K435">
        <v>741</v>
      </c>
      <c r="L435" t="s">
        <v>1089</v>
      </c>
      <c r="M435">
        <v>9</v>
      </c>
      <c r="N435" t="str">
        <f>VLOOKUP(M435,[1]LOJA!$A:$B,2,0)</f>
        <v>ÚNICA</v>
      </c>
      <c r="O435">
        <v>197</v>
      </c>
      <c r="P435" t="str">
        <f>VLOOKUP(O435,[1]OPERADORES!$A:$B,2,0)</f>
        <v xml:space="preserve">POLIANA LORRANE DE AMORIM </v>
      </c>
      <c r="Q435">
        <v>23</v>
      </c>
      <c r="R435">
        <v>70122</v>
      </c>
      <c r="S435" t="s">
        <v>53</v>
      </c>
      <c r="T435" s="1">
        <v>45301</v>
      </c>
      <c r="U435">
        <v>839.22</v>
      </c>
      <c r="V435">
        <v>839.22</v>
      </c>
    </row>
    <row r="436" spans="1:22" x14ac:dyDescent="0.3">
      <c r="A436" t="s">
        <v>1078</v>
      </c>
      <c r="B436" t="s">
        <v>32</v>
      </c>
      <c r="C436" t="s">
        <v>13</v>
      </c>
      <c r="D436" t="s">
        <v>1079</v>
      </c>
      <c r="E436" t="s">
        <v>15</v>
      </c>
      <c r="J436" s="1">
        <v>45357</v>
      </c>
      <c r="K436">
        <v>727</v>
      </c>
      <c r="L436" t="s">
        <v>1090</v>
      </c>
      <c r="M436">
        <v>9</v>
      </c>
      <c r="N436" t="str">
        <f>VLOOKUP(M436,[1]LOJA!$A:$B,2,0)</f>
        <v>ÚNICA</v>
      </c>
      <c r="O436">
        <v>197</v>
      </c>
      <c r="P436" t="str">
        <f>VLOOKUP(O436,[1]OPERADORES!$A:$B,2,0)</f>
        <v xml:space="preserve">POLIANA LORRANE DE AMORIM </v>
      </c>
      <c r="Q436">
        <v>23</v>
      </c>
      <c r="R436">
        <v>70130</v>
      </c>
      <c r="S436" t="s">
        <v>55</v>
      </c>
      <c r="T436" s="1">
        <v>45301</v>
      </c>
      <c r="U436">
        <v>839.22</v>
      </c>
      <c r="V436">
        <v>839.22</v>
      </c>
    </row>
    <row r="437" spans="1:22" x14ac:dyDescent="0.3">
      <c r="A437" t="s">
        <v>1078</v>
      </c>
      <c r="B437" t="s">
        <v>32</v>
      </c>
      <c r="C437" t="s">
        <v>13</v>
      </c>
      <c r="D437" t="s">
        <v>1079</v>
      </c>
      <c r="E437" t="s">
        <v>15</v>
      </c>
      <c r="J437" s="1">
        <v>45367</v>
      </c>
      <c r="K437">
        <v>717</v>
      </c>
      <c r="L437" t="s">
        <v>1091</v>
      </c>
      <c r="M437">
        <v>9</v>
      </c>
      <c r="N437" t="str">
        <f>VLOOKUP(M437,[1]LOJA!$A:$B,2,0)</f>
        <v>ÚNICA</v>
      </c>
      <c r="O437">
        <v>197</v>
      </c>
      <c r="P437" t="str">
        <f>VLOOKUP(O437,[1]OPERADORES!$A:$B,2,0)</f>
        <v xml:space="preserve">POLIANA LORRANE DE AMORIM </v>
      </c>
      <c r="Q437">
        <v>23</v>
      </c>
      <c r="R437">
        <v>71013</v>
      </c>
      <c r="S437" t="s">
        <v>53</v>
      </c>
      <c r="T437" s="1">
        <v>45307</v>
      </c>
      <c r="U437" s="2">
        <v>2033.48</v>
      </c>
      <c r="V437" s="2">
        <v>2033.48</v>
      </c>
    </row>
    <row r="438" spans="1:22" x14ac:dyDescent="0.3">
      <c r="A438" t="s">
        <v>1078</v>
      </c>
      <c r="B438" t="s">
        <v>32</v>
      </c>
      <c r="C438" t="s">
        <v>13</v>
      </c>
      <c r="D438" t="s">
        <v>1079</v>
      </c>
      <c r="E438" t="s">
        <v>15</v>
      </c>
      <c r="J438" s="1">
        <v>45370</v>
      </c>
      <c r="K438">
        <v>714</v>
      </c>
      <c r="L438" t="s">
        <v>1092</v>
      </c>
      <c r="M438">
        <v>9</v>
      </c>
      <c r="N438" t="str">
        <f>VLOOKUP(M438,[1]LOJA!$A:$B,2,0)</f>
        <v>ÚNICA</v>
      </c>
      <c r="O438">
        <v>197</v>
      </c>
      <c r="P438" t="str">
        <f>VLOOKUP(O438,[1]OPERADORES!$A:$B,2,0)</f>
        <v xml:space="preserve">POLIANA LORRANE DE AMORIM </v>
      </c>
      <c r="Q438">
        <v>23</v>
      </c>
      <c r="R438">
        <v>68258</v>
      </c>
      <c r="S438" t="s">
        <v>55</v>
      </c>
      <c r="T438" s="1">
        <v>45280</v>
      </c>
      <c r="U438" s="2">
        <v>1901.62</v>
      </c>
      <c r="V438" s="2">
        <v>1901.62</v>
      </c>
    </row>
    <row r="439" spans="1:22" x14ac:dyDescent="0.3">
      <c r="A439" t="s">
        <v>1078</v>
      </c>
      <c r="B439" t="s">
        <v>32</v>
      </c>
      <c r="C439" t="s">
        <v>13</v>
      </c>
      <c r="D439" t="s">
        <v>1079</v>
      </c>
      <c r="E439" t="s">
        <v>15</v>
      </c>
      <c r="J439" s="1">
        <v>45397</v>
      </c>
      <c r="K439">
        <v>687</v>
      </c>
      <c r="L439" t="s">
        <v>1093</v>
      </c>
      <c r="M439">
        <v>9</v>
      </c>
      <c r="N439" t="str">
        <f>VLOOKUP(M439,[1]LOJA!$A:$B,2,0)</f>
        <v>ÚNICA</v>
      </c>
      <c r="O439">
        <v>197</v>
      </c>
      <c r="P439" t="str">
        <f>VLOOKUP(O439,[1]OPERADORES!$A:$B,2,0)</f>
        <v xml:space="preserve">POLIANA LORRANE DE AMORIM </v>
      </c>
      <c r="Q439">
        <v>23</v>
      </c>
      <c r="R439">
        <v>71021</v>
      </c>
      <c r="S439" t="s">
        <v>55</v>
      </c>
      <c r="T439" s="1">
        <v>45307</v>
      </c>
      <c r="U439" s="2">
        <v>2033.48</v>
      </c>
      <c r="V439" s="2">
        <v>2033.48</v>
      </c>
    </row>
    <row r="440" spans="1:22" x14ac:dyDescent="0.3">
      <c r="A440" t="s">
        <v>1078</v>
      </c>
      <c r="B440" t="s">
        <v>32</v>
      </c>
      <c r="C440" t="s">
        <v>13</v>
      </c>
      <c r="D440" t="s">
        <v>1079</v>
      </c>
      <c r="E440" t="s">
        <v>15</v>
      </c>
      <c r="J440" s="1">
        <v>45503</v>
      </c>
      <c r="K440">
        <v>581</v>
      </c>
      <c r="L440" t="s">
        <v>1094</v>
      </c>
      <c r="M440">
        <v>9</v>
      </c>
      <c r="N440" t="str">
        <f>VLOOKUP(M440,[1]LOJA!$A:$B,2,0)</f>
        <v>ÚNICA</v>
      </c>
      <c r="O440">
        <v>144</v>
      </c>
      <c r="P440" t="str">
        <f>VLOOKUP(O440,[1]OPERADORES!$A:$B,2,0)</f>
        <v>CINTIA DA SILVA CARLOS</v>
      </c>
      <c r="Q440">
        <v>4</v>
      </c>
      <c r="S440" t="s">
        <v>1095</v>
      </c>
      <c r="T440" s="1">
        <v>45503</v>
      </c>
      <c r="U440">
        <v>-4.88</v>
      </c>
      <c r="V440">
        <v>-4.88</v>
      </c>
    </row>
    <row r="441" spans="1:22" x14ac:dyDescent="0.3">
      <c r="A441" t="s">
        <v>1078</v>
      </c>
      <c r="B441" t="s">
        <v>32</v>
      </c>
      <c r="C441" t="s">
        <v>13</v>
      </c>
      <c r="D441" t="s">
        <v>1079</v>
      </c>
      <c r="E441" t="s">
        <v>15</v>
      </c>
      <c r="J441" s="1">
        <v>45743</v>
      </c>
      <c r="K441">
        <v>341</v>
      </c>
      <c r="L441" t="s">
        <v>1096</v>
      </c>
      <c r="M441">
        <v>9</v>
      </c>
      <c r="N441" t="str">
        <f>VLOOKUP(M441,[1]LOJA!$A:$B,2,0)</f>
        <v>ÚNICA</v>
      </c>
      <c r="O441">
        <v>144</v>
      </c>
      <c r="P441" t="str">
        <f>VLOOKUP(O441,[1]OPERADORES!$A:$B,2,0)</f>
        <v>CINTIA DA SILVA CARLOS</v>
      </c>
      <c r="Q441">
        <v>4</v>
      </c>
      <c r="S441" t="s">
        <v>110</v>
      </c>
      <c r="T441" s="1">
        <v>45743</v>
      </c>
      <c r="U441">
        <v>-99.24</v>
      </c>
      <c r="V441">
        <v>-99.24</v>
      </c>
    </row>
    <row r="442" spans="1:22" x14ac:dyDescent="0.3">
      <c r="A442" t="s">
        <v>1097</v>
      </c>
      <c r="B442" t="s">
        <v>1098</v>
      </c>
      <c r="C442" t="s">
        <v>293</v>
      </c>
      <c r="D442" t="s">
        <v>5474</v>
      </c>
      <c r="E442" t="s">
        <v>15</v>
      </c>
      <c r="J442" s="1">
        <v>44792</v>
      </c>
      <c r="K442">
        <v>1292</v>
      </c>
      <c r="L442" t="s">
        <v>1099</v>
      </c>
      <c r="M442">
        <v>14</v>
      </c>
      <c r="N442" t="str">
        <f>VLOOKUP(M442,[1]LOJA!$A:$B,2,0)</f>
        <v>S IA</v>
      </c>
      <c r="O442">
        <v>54</v>
      </c>
      <c r="P442" t="str">
        <f>VLOOKUP(O442,[1]OPERADORES!$A:$B,2,0)</f>
        <v>ROBSON</v>
      </c>
      <c r="Q442">
        <v>7</v>
      </c>
      <c r="S442" t="s">
        <v>1100</v>
      </c>
      <c r="T442" s="1">
        <v>44762</v>
      </c>
      <c r="U442" s="2">
        <v>1295</v>
      </c>
      <c r="V442" s="2">
        <v>1295</v>
      </c>
    </row>
    <row r="443" spans="1:22" x14ac:dyDescent="0.3">
      <c r="A443" t="s">
        <v>5475</v>
      </c>
      <c r="B443" t="s">
        <v>32</v>
      </c>
      <c r="C443" t="s">
        <v>30</v>
      </c>
      <c r="D443" t="s">
        <v>5476</v>
      </c>
      <c r="E443" t="s">
        <v>15</v>
      </c>
      <c r="J443" s="1">
        <v>46065</v>
      </c>
      <c r="K443">
        <v>19</v>
      </c>
      <c r="L443" t="s">
        <v>5477</v>
      </c>
      <c r="M443">
        <v>9</v>
      </c>
      <c r="N443" t="str">
        <f>VLOOKUP(M443,[1]LOJA!$A:$B,2,0)</f>
        <v>ÚNICA</v>
      </c>
      <c r="O443">
        <v>197</v>
      </c>
      <c r="P443" t="str">
        <f>VLOOKUP(O443,[1]OPERADORES!$A:$B,2,0)</f>
        <v xml:space="preserve">POLIANA LORRANE DE AMORIM </v>
      </c>
      <c r="Q443">
        <v>4</v>
      </c>
      <c r="S443" t="s">
        <v>5478</v>
      </c>
      <c r="T443" s="1">
        <v>46065</v>
      </c>
      <c r="U443">
        <v>-370.08</v>
      </c>
      <c r="V443">
        <v>-370.08</v>
      </c>
    </row>
    <row r="444" spans="1:22" x14ac:dyDescent="0.3">
      <c r="A444" t="s">
        <v>1101</v>
      </c>
      <c r="B444" t="s">
        <v>32</v>
      </c>
      <c r="C444" t="s">
        <v>13</v>
      </c>
      <c r="D444" t="s">
        <v>1102</v>
      </c>
      <c r="E444" t="s">
        <v>15</v>
      </c>
      <c r="J444" s="1">
        <v>45798</v>
      </c>
      <c r="K444">
        <v>286</v>
      </c>
      <c r="L444" t="s">
        <v>1103</v>
      </c>
      <c r="M444">
        <v>9</v>
      </c>
      <c r="N444" t="str">
        <f>VLOOKUP(M444,[1]LOJA!$A:$B,2,0)</f>
        <v>ÚNICA</v>
      </c>
      <c r="O444">
        <v>144</v>
      </c>
      <c r="P444" t="str">
        <f>VLOOKUP(O444,[1]OPERADORES!$A:$B,2,0)</f>
        <v>CINTIA DA SILVA CARLOS</v>
      </c>
      <c r="Q444">
        <v>4</v>
      </c>
      <c r="S444" t="s">
        <v>1104</v>
      </c>
      <c r="T444" s="1">
        <v>45798</v>
      </c>
      <c r="U444">
        <v>-14.36</v>
      </c>
      <c r="V444">
        <v>-14.36</v>
      </c>
    </row>
    <row r="445" spans="1:22" x14ac:dyDescent="0.3">
      <c r="A445" t="s">
        <v>1105</v>
      </c>
      <c r="B445" t="s">
        <v>1106</v>
      </c>
      <c r="C445" t="s">
        <v>43</v>
      </c>
      <c r="D445" t="s">
        <v>243</v>
      </c>
      <c r="E445" t="s">
        <v>15</v>
      </c>
      <c r="J445" s="1">
        <v>45377</v>
      </c>
      <c r="K445">
        <v>707</v>
      </c>
      <c r="L445" t="s">
        <v>1107</v>
      </c>
      <c r="M445">
        <v>14</v>
      </c>
      <c r="N445" t="str">
        <f>VLOOKUP(M445,[1]LOJA!$A:$B,2,0)</f>
        <v>S IA</v>
      </c>
      <c r="O445">
        <v>16</v>
      </c>
      <c r="P445" t="str">
        <f>VLOOKUP(O445,[1]OPERADORES!$A:$B,2,0)</f>
        <v>AYSLAN</v>
      </c>
      <c r="Q445">
        <v>4</v>
      </c>
      <c r="S445" t="s">
        <v>1108</v>
      </c>
      <c r="T445" s="1">
        <v>45377</v>
      </c>
      <c r="U445">
        <v>-0.2</v>
      </c>
      <c r="V445">
        <v>-0.2</v>
      </c>
    </row>
    <row r="446" spans="1:22" x14ac:dyDescent="0.3">
      <c r="A446" t="s">
        <v>1109</v>
      </c>
      <c r="B446" t="s">
        <v>1110</v>
      </c>
      <c r="C446" t="s">
        <v>13</v>
      </c>
      <c r="D446" t="s">
        <v>137</v>
      </c>
      <c r="E446" t="s">
        <v>15</v>
      </c>
      <c r="J446" s="1">
        <v>45427</v>
      </c>
      <c r="K446">
        <v>657</v>
      </c>
      <c r="L446" t="s">
        <v>1111</v>
      </c>
      <c r="M446">
        <v>14</v>
      </c>
      <c r="N446" t="str">
        <f>VLOOKUP(M446,[1]LOJA!$A:$B,2,0)</f>
        <v>S IA</v>
      </c>
      <c r="O446">
        <v>207</v>
      </c>
      <c r="P446" t="str">
        <f>VLOOKUP(O446,[1]OPERADORES!$A:$B,2,0)</f>
        <v>KETILE SABRINE</v>
      </c>
      <c r="Q446">
        <v>4</v>
      </c>
      <c r="S446" t="s">
        <v>1112</v>
      </c>
      <c r="T446" s="1">
        <v>45427</v>
      </c>
      <c r="U446">
        <v>-0.1</v>
      </c>
      <c r="V446">
        <v>-0.1</v>
      </c>
    </row>
    <row r="447" spans="1:22" x14ac:dyDescent="0.3">
      <c r="A447" t="s">
        <v>5479</v>
      </c>
      <c r="B447" t="s">
        <v>5480</v>
      </c>
      <c r="C447" t="s">
        <v>293</v>
      </c>
      <c r="D447" t="s">
        <v>5481</v>
      </c>
      <c r="E447" t="s">
        <v>15</v>
      </c>
      <c r="J447" s="1">
        <v>46073</v>
      </c>
      <c r="K447">
        <v>11</v>
      </c>
      <c r="L447" t="s">
        <v>5482</v>
      </c>
      <c r="M447">
        <v>9</v>
      </c>
      <c r="N447" t="str">
        <f>VLOOKUP(M447,[1]LOJA!$A:$B,2,0)</f>
        <v>ÚNICA</v>
      </c>
      <c r="O447">
        <v>174</v>
      </c>
      <c r="P447" t="str">
        <f>VLOOKUP(O447,[1]OPERADORES!$A:$B,2,0)</f>
        <v>MIRIÃ LOBATO RODRIGUES</v>
      </c>
      <c r="Q447">
        <v>4</v>
      </c>
      <c r="S447" t="s">
        <v>5483</v>
      </c>
      <c r="T447" s="1">
        <v>46073</v>
      </c>
      <c r="U447">
        <v>-83.14</v>
      </c>
      <c r="V447">
        <v>-83.14</v>
      </c>
    </row>
    <row r="448" spans="1:22" x14ac:dyDescent="0.3">
      <c r="A448" t="s">
        <v>5479</v>
      </c>
      <c r="B448" t="s">
        <v>5480</v>
      </c>
      <c r="C448" t="s">
        <v>293</v>
      </c>
      <c r="D448" t="s">
        <v>5481</v>
      </c>
      <c r="E448" t="s">
        <v>15</v>
      </c>
      <c r="J448" s="1">
        <v>46076</v>
      </c>
      <c r="K448">
        <v>8</v>
      </c>
      <c r="L448" t="s">
        <v>5484</v>
      </c>
      <c r="M448">
        <v>9</v>
      </c>
      <c r="N448" t="str">
        <f>VLOOKUP(M448,[1]LOJA!$A:$B,2,0)</f>
        <v>ÚNICA</v>
      </c>
      <c r="O448">
        <v>144</v>
      </c>
      <c r="P448" t="str">
        <f>VLOOKUP(O448,[1]OPERADORES!$A:$B,2,0)</f>
        <v>CINTIA DA SILVA CARLOS</v>
      </c>
      <c r="Q448">
        <v>4</v>
      </c>
      <c r="S448" t="s">
        <v>5485</v>
      </c>
      <c r="T448" s="1">
        <v>46076</v>
      </c>
      <c r="U448">
        <v>-2.1</v>
      </c>
      <c r="V448">
        <v>-2.1</v>
      </c>
    </row>
    <row r="449" spans="1:22" x14ac:dyDescent="0.3">
      <c r="A449" t="s">
        <v>5479</v>
      </c>
      <c r="B449" t="s">
        <v>5480</v>
      </c>
      <c r="C449" t="s">
        <v>293</v>
      </c>
      <c r="D449" t="s">
        <v>5481</v>
      </c>
      <c r="E449" t="s">
        <v>15</v>
      </c>
      <c r="J449" s="1">
        <v>46080</v>
      </c>
      <c r="K449">
        <v>4</v>
      </c>
      <c r="L449" t="s">
        <v>5486</v>
      </c>
      <c r="M449">
        <v>9</v>
      </c>
      <c r="N449" t="str">
        <f>VLOOKUP(M449,[1]LOJA!$A:$B,2,0)</f>
        <v>ÚNICA</v>
      </c>
      <c r="O449">
        <v>174</v>
      </c>
      <c r="P449" t="str">
        <f>VLOOKUP(O449,[1]OPERADORES!$A:$B,2,0)</f>
        <v>MIRIÃ LOBATO RODRIGUES</v>
      </c>
      <c r="Q449">
        <v>23</v>
      </c>
      <c r="R449">
        <v>210553</v>
      </c>
      <c r="S449" t="s">
        <v>53</v>
      </c>
      <c r="T449" s="1">
        <v>46020</v>
      </c>
      <c r="U449" s="2">
        <v>1579.88</v>
      </c>
      <c r="V449" s="2">
        <v>1579.88</v>
      </c>
    </row>
    <row r="450" spans="1:22" x14ac:dyDescent="0.3">
      <c r="A450" t="s">
        <v>5479</v>
      </c>
      <c r="B450" t="s">
        <v>5480</v>
      </c>
      <c r="C450" t="s">
        <v>293</v>
      </c>
      <c r="D450" t="s">
        <v>5481</v>
      </c>
      <c r="E450" t="s">
        <v>15</v>
      </c>
      <c r="J450" s="1">
        <v>46080</v>
      </c>
      <c r="K450">
        <v>4</v>
      </c>
      <c r="L450" t="s">
        <v>5487</v>
      </c>
      <c r="M450">
        <v>9</v>
      </c>
      <c r="N450" t="str">
        <f>VLOOKUP(M450,[1]LOJA!$A:$B,2,0)</f>
        <v>ÚNICA</v>
      </c>
      <c r="O450">
        <v>174</v>
      </c>
      <c r="P450" t="str">
        <f>VLOOKUP(O450,[1]OPERADORES!$A:$B,2,0)</f>
        <v>MIRIÃ LOBATO RODRIGUES</v>
      </c>
      <c r="Q450">
        <v>23</v>
      </c>
      <c r="R450">
        <v>216469</v>
      </c>
      <c r="S450" t="s">
        <v>51</v>
      </c>
      <c r="T450" s="1">
        <v>46050</v>
      </c>
      <c r="U450">
        <v>408.61</v>
      </c>
      <c r="V450">
        <v>408.61</v>
      </c>
    </row>
    <row r="451" spans="1:22" x14ac:dyDescent="0.3">
      <c r="A451" t="s">
        <v>5479</v>
      </c>
      <c r="B451" t="s">
        <v>5480</v>
      </c>
      <c r="C451" t="s">
        <v>293</v>
      </c>
      <c r="D451" t="s">
        <v>5481</v>
      </c>
      <c r="E451" t="s">
        <v>15</v>
      </c>
      <c r="J451" s="1">
        <v>46081</v>
      </c>
      <c r="K451">
        <v>3</v>
      </c>
      <c r="L451" t="s">
        <v>5488</v>
      </c>
      <c r="M451">
        <v>9</v>
      </c>
      <c r="N451" t="str">
        <f>VLOOKUP(M451,[1]LOJA!$A:$B,2,0)</f>
        <v>ÚNICA</v>
      </c>
      <c r="O451">
        <v>174</v>
      </c>
      <c r="P451" t="str">
        <f>VLOOKUP(O451,[1]OPERADORES!$A:$B,2,0)</f>
        <v>MIRIÃ LOBATO RODRIGUES</v>
      </c>
      <c r="Q451">
        <v>23</v>
      </c>
      <c r="R451">
        <v>210744</v>
      </c>
      <c r="S451" t="s">
        <v>53</v>
      </c>
      <c r="T451" s="1">
        <v>46021</v>
      </c>
      <c r="U451">
        <v>565.70000000000005</v>
      </c>
      <c r="V451">
        <v>565.70000000000005</v>
      </c>
    </row>
    <row r="452" spans="1:22" x14ac:dyDescent="0.3">
      <c r="A452" t="s">
        <v>5479</v>
      </c>
      <c r="B452" t="s">
        <v>5480</v>
      </c>
      <c r="C452" t="s">
        <v>293</v>
      </c>
      <c r="D452" t="s">
        <v>5481</v>
      </c>
      <c r="E452" t="s">
        <v>15</v>
      </c>
      <c r="J452" s="1">
        <v>46081</v>
      </c>
      <c r="K452">
        <v>3</v>
      </c>
      <c r="L452" t="s">
        <v>5489</v>
      </c>
      <c r="M452">
        <v>9</v>
      </c>
      <c r="N452" t="str">
        <f>VLOOKUP(M452,[1]LOJA!$A:$B,2,0)</f>
        <v>ÚNICA</v>
      </c>
      <c r="O452">
        <v>174</v>
      </c>
      <c r="P452" t="str">
        <f>VLOOKUP(O452,[1]OPERADORES!$A:$B,2,0)</f>
        <v>MIRIÃ LOBATO RODRIGUES</v>
      </c>
      <c r="Q452">
        <v>7</v>
      </c>
      <c r="S452" t="s">
        <v>87</v>
      </c>
      <c r="T452" s="1">
        <v>46080</v>
      </c>
      <c r="U452">
        <v>214.04</v>
      </c>
      <c r="V452">
        <v>214.04</v>
      </c>
    </row>
    <row r="453" spans="1:22" x14ac:dyDescent="0.3">
      <c r="A453" t="s">
        <v>5479</v>
      </c>
      <c r="B453" t="s">
        <v>5480</v>
      </c>
      <c r="C453" t="s">
        <v>293</v>
      </c>
      <c r="D453" t="s">
        <v>5481</v>
      </c>
      <c r="E453" t="s">
        <v>15</v>
      </c>
      <c r="J453" s="1">
        <v>46084</v>
      </c>
      <c r="K453">
        <v>0</v>
      </c>
      <c r="L453" t="s">
        <v>5490</v>
      </c>
      <c r="M453">
        <v>9</v>
      </c>
      <c r="N453" t="str">
        <f>VLOOKUP(M453,[1]LOJA!$A:$B,2,0)</f>
        <v>ÚNICA</v>
      </c>
      <c r="O453">
        <v>20</v>
      </c>
      <c r="P453" t="str">
        <f>VLOOKUP(O453,[1]OPERADORES!$A:$B,2,0)</f>
        <v>MAYARA</v>
      </c>
      <c r="Q453">
        <v>23</v>
      </c>
      <c r="R453">
        <v>110156217</v>
      </c>
      <c r="S453" t="s">
        <v>5491</v>
      </c>
      <c r="T453" s="1">
        <v>45994</v>
      </c>
      <c r="U453" s="2">
        <v>1010</v>
      </c>
      <c r="V453" s="2">
        <v>1010</v>
      </c>
    </row>
    <row r="454" spans="1:22" x14ac:dyDescent="0.3">
      <c r="A454" t="s">
        <v>5479</v>
      </c>
      <c r="B454" t="s">
        <v>5480</v>
      </c>
      <c r="C454" t="s">
        <v>293</v>
      </c>
      <c r="D454" t="s">
        <v>5481</v>
      </c>
      <c r="E454" t="s">
        <v>15</v>
      </c>
      <c r="J454" s="1">
        <v>46084</v>
      </c>
      <c r="K454">
        <v>0</v>
      </c>
      <c r="L454" t="s">
        <v>5492</v>
      </c>
      <c r="M454">
        <v>9</v>
      </c>
      <c r="N454" t="str">
        <f>VLOOKUP(M454,[1]LOJA!$A:$B,2,0)</f>
        <v>ÚNICA</v>
      </c>
      <c r="O454">
        <v>174</v>
      </c>
      <c r="P454" t="str">
        <f>VLOOKUP(O454,[1]OPERADORES!$A:$B,2,0)</f>
        <v>MIRIÃ LOBATO RODRIGUES</v>
      </c>
      <c r="Q454">
        <v>4</v>
      </c>
      <c r="S454" t="s">
        <v>5493</v>
      </c>
      <c r="T454" s="1">
        <v>46084</v>
      </c>
      <c r="U454">
        <v>-158.4</v>
      </c>
      <c r="V454">
        <v>-158.4</v>
      </c>
    </row>
    <row r="455" spans="1:22" x14ac:dyDescent="0.3">
      <c r="A455" t="s">
        <v>1113</v>
      </c>
      <c r="B455" t="s">
        <v>1114</v>
      </c>
      <c r="C455" t="s">
        <v>755</v>
      </c>
      <c r="D455" t="s">
        <v>1115</v>
      </c>
      <c r="E455" t="s">
        <v>15</v>
      </c>
      <c r="J455" s="1">
        <v>45007</v>
      </c>
      <c r="K455">
        <v>1077</v>
      </c>
      <c r="L455" t="s">
        <v>1116</v>
      </c>
      <c r="M455">
        <v>4</v>
      </c>
      <c r="N455" t="str">
        <f>VLOOKUP(M455,[1]LOJA!$A:$B,2,0)</f>
        <v>ADE</v>
      </c>
      <c r="O455">
        <v>107</v>
      </c>
      <c r="P455" t="str">
        <f>VLOOKUP(O455,[1]OPERADORES!$A:$B,2,0)</f>
        <v>DAIANA PORTELA</v>
      </c>
      <c r="Q455">
        <v>7</v>
      </c>
      <c r="S455" t="s">
        <v>1117</v>
      </c>
      <c r="T455" s="1">
        <v>45007</v>
      </c>
      <c r="U455">
        <v>-20.81</v>
      </c>
      <c r="V455">
        <v>-20.81</v>
      </c>
    </row>
    <row r="456" spans="1:22" x14ac:dyDescent="0.3">
      <c r="A456" t="s">
        <v>1113</v>
      </c>
      <c r="B456" t="s">
        <v>1114</v>
      </c>
      <c r="C456" t="s">
        <v>755</v>
      </c>
      <c r="D456" t="s">
        <v>1115</v>
      </c>
      <c r="E456" t="s">
        <v>15</v>
      </c>
      <c r="J456" s="1">
        <v>45932</v>
      </c>
      <c r="K456">
        <v>152</v>
      </c>
      <c r="L456" t="s">
        <v>1118</v>
      </c>
      <c r="M456">
        <v>4</v>
      </c>
      <c r="N456" t="str">
        <f>VLOOKUP(M456,[1]LOJA!$A:$B,2,0)</f>
        <v>ADE</v>
      </c>
      <c r="O456">
        <v>226</v>
      </c>
      <c r="P456" t="str">
        <f>VLOOKUP(O456,[1]OPERADORES!$A:$B,2,0)</f>
        <v>MARIA FÉLIX</v>
      </c>
      <c r="Q456">
        <v>4</v>
      </c>
      <c r="S456" t="s">
        <v>1119</v>
      </c>
      <c r="T456" s="1">
        <v>45932</v>
      </c>
      <c r="U456">
        <v>-0.1</v>
      </c>
      <c r="V456">
        <v>-0.1</v>
      </c>
    </row>
    <row r="457" spans="1:22" x14ac:dyDescent="0.3">
      <c r="A457" t="s">
        <v>1120</v>
      </c>
      <c r="B457" t="s">
        <v>1121</v>
      </c>
      <c r="C457" t="s">
        <v>13</v>
      </c>
      <c r="D457" t="s">
        <v>1122</v>
      </c>
      <c r="E457" t="s">
        <v>15</v>
      </c>
      <c r="J457" s="1">
        <v>45987</v>
      </c>
      <c r="K457">
        <v>97</v>
      </c>
      <c r="L457" t="s">
        <v>1123</v>
      </c>
      <c r="M457">
        <v>24</v>
      </c>
      <c r="N457" t="str">
        <f>VLOOKUP(M457,[1]LOJA!$A:$B,2,0)</f>
        <v>LUZIÂNIA</v>
      </c>
      <c r="O457">
        <v>244</v>
      </c>
      <c r="P457" t="str">
        <f>VLOOKUP(O457,[1]OPERADORES!$A:$B,2,0)</f>
        <v>NATHALIA PEREIRA DA SILVA</v>
      </c>
      <c r="Q457">
        <v>4</v>
      </c>
      <c r="S457" t="s">
        <v>1124</v>
      </c>
      <c r="T457" s="1">
        <v>45979</v>
      </c>
      <c r="U457">
        <v>-0.03</v>
      </c>
      <c r="V457">
        <v>-0.03</v>
      </c>
    </row>
    <row r="458" spans="1:22" x14ac:dyDescent="0.3">
      <c r="A458" t="s">
        <v>1125</v>
      </c>
      <c r="B458" t="s">
        <v>1126</v>
      </c>
      <c r="C458" t="s">
        <v>226</v>
      </c>
      <c r="D458" t="s">
        <v>1127</v>
      </c>
      <c r="E458" t="s">
        <v>15</v>
      </c>
      <c r="J458" s="1">
        <v>46042</v>
      </c>
      <c r="K458">
        <v>42</v>
      </c>
      <c r="L458" t="s">
        <v>1128</v>
      </c>
      <c r="M458">
        <v>12</v>
      </c>
      <c r="N458" t="str">
        <f>VLOOKUP(M458,[1]LOJA!$A:$B,2,0)</f>
        <v>SOFNORTE</v>
      </c>
      <c r="O458">
        <v>20</v>
      </c>
      <c r="P458" t="str">
        <f>VLOOKUP(O458,[1]OPERADORES!$A:$B,2,0)</f>
        <v>MAYARA</v>
      </c>
      <c r="Q458">
        <v>12</v>
      </c>
      <c r="S458" t="s">
        <v>1129</v>
      </c>
      <c r="T458" s="1">
        <v>46028</v>
      </c>
      <c r="U458">
        <v>486.14</v>
      </c>
      <c r="V458">
        <v>486.14</v>
      </c>
    </row>
    <row r="459" spans="1:22" x14ac:dyDescent="0.3">
      <c r="A459" t="s">
        <v>1125</v>
      </c>
      <c r="B459" t="s">
        <v>1126</v>
      </c>
      <c r="C459" t="s">
        <v>226</v>
      </c>
      <c r="D459" t="s">
        <v>1127</v>
      </c>
      <c r="E459" t="s">
        <v>15</v>
      </c>
      <c r="J459" s="1">
        <v>46073</v>
      </c>
      <c r="K459">
        <v>11</v>
      </c>
      <c r="L459" t="s">
        <v>5494</v>
      </c>
      <c r="M459">
        <v>12</v>
      </c>
      <c r="N459" t="str">
        <f>VLOOKUP(M459,[1]LOJA!$A:$B,2,0)</f>
        <v>SOFNORTE</v>
      </c>
      <c r="O459">
        <v>20</v>
      </c>
      <c r="P459" t="str">
        <f>VLOOKUP(O459,[1]OPERADORES!$A:$B,2,0)</f>
        <v>MAYARA</v>
      </c>
      <c r="Q459">
        <v>12</v>
      </c>
      <c r="S459" t="s">
        <v>5495</v>
      </c>
      <c r="T459" s="1">
        <v>46057</v>
      </c>
      <c r="U459">
        <v>241</v>
      </c>
      <c r="V459">
        <v>241</v>
      </c>
    </row>
    <row r="460" spans="1:22" x14ac:dyDescent="0.3">
      <c r="A460" t="s">
        <v>5496</v>
      </c>
      <c r="B460" t="s">
        <v>5497</v>
      </c>
      <c r="C460" t="s">
        <v>5498</v>
      </c>
      <c r="D460" t="s">
        <v>5499</v>
      </c>
      <c r="E460" t="s">
        <v>15</v>
      </c>
      <c r="J460" s="1">
        <v>46065</v>
      </c>
      <c r="K460">
        <v>19</v>
      </c>
      <c r="L460" t="s">
        <v>5500</v>
      </c>
      <c r="M460">
        <v>22</v>
      </c>
      <c r="N460" t="str">
        <f>VLOOKUP(M460,[1]LOJA!$A:$B,2,0)</f>
        <v>GUARÁ</v>
      </c>
      <c r="O460">
        <v>93</v>
      </c>
      <c r="P460" t="str">
        <f>VLOOKUP(O460,[1]OPERADORES!$A:$B,2,0)</f>
        <v>PATRICIA</v>
      </c>
      <c r="Q460">
        <v>4</v>
      </c>
      <c r="S460" t="s">
        <v>5501</v>
      </c>
      <c r="T460" s="1">
        <v>46065</v>
      </c>
      <c r="U460">
        <v>-224.1</v>
      </c>
      <c r="V460">
        <v>-224.1</v>
      </c>
    </row>
    <row r="461" spans="1:22" x14ac:dyDescent="0.3">
      <c r="A461" t="s">
        <v>5496</v>
      </c>
      <c r="B461" t="s">
        <v>5497</v>
      </c>
      <c r="C461" t="s">
        <v>5498</v>
      </c>
      <c r="D461" t="s">
        <v>5499</v>
      </c>
      <c r="E461" t="s">
        <v>15</v>
      </c>
      <c r="J461" s="1">
        <v>46084</v>
      </c>
      <c r="K461">
        <v>0</v>
      </c>
      <c r="L461" t="s">
        <v>5502</v>
      </c>
      <c r="M461">
        <v>22</v>
      </c>
      <c r="N461" t="str">
        <f>VLOOKUP(M461,[1]LOJA!$A:$B,2,0)</f>
        <v>GUARÁ</v>
      </c>
      <c r="O461">
        <v>20</v>
      </c>
      <c r="P461" t="str">
        <f>VLOOKUP(O461,[1]OPERADORES!$A:$B,2,0)</f>
        <v>MAYARA</v>
      </c>
      <c r="Q461">
        <v>27</v>
      </c>
      <c r="R461">
        <v>1000019326</v>
      </c>
      <c r="S461" t="s">
        <v>5503</v>
      </c>
      <c r="T461" s="1">
        <v>45994</v>
      </c>
      <c r="U461">
        <v>921</v>
      </c>
      <c r="V461">
        <v>921</v>
      </c>
    </row>
    <row r="462" spans="1:22" x14ac:dyDescent="0.3">
      <c r="A462" t="s">
        <v>1130</v>
      </c>
      <c r="B462" t="s">
        <v>1131</v>
      </c>
      <c r="C462" t="s">
        <v>43</v>
      </c>
      <c r="D462" t="s">
        <v>5504</v>
      </c>
      <c r="E462" t="s">
        <v>15</v>
      </c>
      <c r="J462" s="1">
        <v>45202</v>
      </c>
      <c r="K462">
        <v>882</v>
      </c>
      <c r="L462" t="s">
        <v>1132</v>
      </c>
      <c r="M462">
        <v>4</v>
      </c>
      <c r="N462" t="str">
        <f>VLOOKUP(M462,[1]LOJA!$A:$B,2,0)</f>
        <v>ADE</v>
      </c>
      <c r="O462">
        <v>189</v>
      </c>
      <c r="P462" t="str">
        <f>VLOOKUP(O462,[1]OPERADORES!$A:$B,2,0)</f>
        <v>CAMILA WILLIANE</v>
      </c>
      <c r="Q462">
        <v>20</v>
      </c>
      <c r="R462">
        <v>4000000982</v>
      </c>
      <c r="S462" t="s">
        <v>1133</v>
      </c>
      <c r="T462" s="1">
        <v>45082</v>
      </c>
      <c r="U462">
        <v>262.69</v>
      </c>
      <c r="V462">
        <v>262.69</v>
      </c>
    </row>
    <row r="463" spans="1:22" x14ac:dyDescent="0.3">
      <c r="A463" t="s">
        <v>1130</v>
      </c>
      <c r="B463" t="s">
        <v>1131</v>
      </c>
      <c r="C463" t="s">
        <v>43</v>
      </c>
      <c r="D463" t="s">
        <v>5504</v>
      </c>
      <c r="E463" t="s">
        <v>15</v>
      </c>
      <c r="J463" s="1">
        <v>45204</v>
      </c>
      <c r="K463">
        <v>880</v>
      </c>
      <c r="L463" t="s">
        <v>1134</v>
      </c>
      <c r="M463">
        <v>4</v>
      </c>
      <c r="N463" t="str">
        <f>VLOOKUP(M463,[1]LOJA!$A:$B,2,0)</f>
        <v>ADE</v>
      </c>
      <c r="O463">
        <v>189</v>
      </c>
      <c r="P463" t="str">
        <f>VLOOKUP(O463,[1]OPERADORES!$A:$B,2,0)</f>
        <v>CAMILA WILLIANE</v>
      </c>
      <c r="Q463">
        <v>20</v>
      </c>
      <c r="R463">
        <v>4000001032</v>
      </c>
      <c r="S463" t="s">
        <v>976</v>
      </c>
      <c r="T463" s="1">
        <v>45114</v>
      </c>
      <c r="U463">
        <v>292.2</v>
      </c>
      <c r="V463">
        <v>292.2</v>
      </c>
    </row>
    <row r="464" spans="1:22" x14ac:dyDescent="0.3">
      <c r="A464" t="s">
        <v>1130</v>
      </c>
      <c r="B464" t="s">
        <v>1131</v>
      </c>
      <c r="C464" t="s">
        <v>43</v>
      </c>
      <c r="D464" t="s">
        <v>5504</v>
      </c>
      <c r="E464" t="s">
        <v>15</v>
      </c>
      <c r="J464" s="1">
        <v>45206</v>
      </c>
      <c r="K464">
        <v>878</v>
      </c>
      <c r="L464" t="s">
        <v>1135</v>
      </c>
      <c r="M464">
        <v>4</v>
      </c>
      <c r="N464" t="str">
        <f>VLOOKUP(M464,[1]LOJA!$A:$B,2,0)</f>
        <v>ADE</v>
      </c>
      <c r="O464">
        <v>189</v>
      </c>
      <c r="P464" t="str">
        <f>VLOOKUP(O464,[1]OPERADORES!$A:$B,2,0)</f>
        <v>CAMILA WILLIANE</v>
      </c>
      <c r="Q464">
        <v>20</v>
      </c>
      <c r="R464">
        <v>4000001108</v>
      </c>
      <c r="S464" t="s">
        <v>53</v>
      </c>
      <c r="T464" s="1">
        <v>45146</v>
      </c>
      <c r="U464">
        <v>304.11</v>
      </c>
      <c r="V464">
        <v>304.11</v>
      </c>
    </row>
    <row r="465" spans="1:22" x14ac:dyDescent="0.3">
      <c r="A465" t="s">
        <v>1130</v>
      </c>
      <c r="B465" t="s">
        <v>1131</v>
      </c>
      <c r="C465" t="s">
        <v>43</v>
      </c>
      <c r="D465" t="s">
        <v>5504</v>
      </c>
      <c r="E465" t="s">
        <v>15</v>
      </c>
      <c r="J465" s="1">
        <v>45206</v>
      </c>
      <c r="K465">
        <v>878</v>
      </c>
      <c r="L465" t="s">
        <v>1136</v>
      </c>
      <c r="M465">
        <v>4</v>
      </c>
      <c r="N465" t="str">
        <f>VLOOKUP(M465,[1]LOJA!$A:$B,2,0)</f>
        <v>ADE</v>
      </c>
      <c r="O465">
        <v>189</v>
      </c>
      <c r="P465" t="str">
        <f>VLOOKUP(O465,[1]OPERADORES!$A:$B,2,0)</f>
        <v>CAMILA WILLIANE</v>
      </c>
      <c r="Q465">
        <v>20</v>
      </c>
      <c r="R465">
        <v>4000001112</v>
      </c>
      <c r="S465" t="s">
        <v>46</v>
      </c>
      <c r="T465" s="1">
        <v>45146</v>
      </c>
      <c r="U465">
        <v>103.75</v>
      </c>
      <c r="V465">
        <v>103.75</v>
      </c>
    </row>
    <row r="466" spans="1:22" x14ac:dyDescent="0.3">
      <c r="A466" t="s">
        <v>1130</v>
      </c>
      <c r="B466" t="s">
        <v>1131</v>
      </c>
      <c r="C466" t="s">
        <v>43</v>
      </c>
      <c r="D466" t="s">
        <v>5504</v>
      </c>
      <c r="E466" t="s">
        <v>15</v>
      </c>
      <c r="J466" s="1">
        <v>45209</v>
      </c>
      <c r="K466">
        <v>875</v>
      </c>
      <c r="L466" t="s">
        <v>1137</v>
      </c>
      <c r="M466">
        <v>4</v>
      </c>
      <c r="N466" t="str">
        <f>VLOOKUP(M466,[1]LOJA!$A:$B,2,0)</f>
        <v>ADE</v>
      </c>
      <c r="O466">
        <v>189</v>
      </c>
      <c r="P466" t="str">
        <f>VLOOKUP(O466,[1]OPERADORES!$A:$B,2,0)</f>
        <v>CAMILA WILLIANE</v>
      </c>
      <c r="Q466">
        <v>20</v>
      </c>
      <c r="R466">
        <v>4000001130</v>
      </c>
      <c r="S466" t="s">
        <v>53</v>
      </c>
      <c r="T466" s="1">
        <v>45149</v>
      </c>
      <c r="U466">
        <v>157.66999999999999</v>
      </c>
      <c r="V466">
        <v>157.66999999999999</v>
      </c>
    </row>
    <row r="467" spans="1:22" x14ac:dyDescent="0.3">
      <c r="A467" t="s">
        <v>1130</v>
      </c>
      <c r="B467" t="s">
        <v>1131</v>
      </c>
      <c r="C467" t="s">
        <v>43</v>
      </c>
      <c r="D467" t="s">
        <v>5504</v>
      </c>
      <c r="E467" t="s">
        <v>15</v>
      </c>
      <c r="J467" s="1">
        <v>45210</v>
      </c>
      <c r="K467">
        <v>874</v>
      </c>
      <c r="L467" t="s">
        <v>1138</v>
      </c>
      <c r="M467">
        <v>4</v>
      </c>
      <c r="N467" t="str">
        <f>VLOOKUP(M467,[1]LOJA!$A:$B,2,0)</f>
        <v>ADE</v>
      </c>
      <c r="O467">
        <v>189</v>
      </c>
      <c r="P467" t="str">
        <f>VLOOKUP(O467,[1]OPERADORES!$A:$B,2,0)</f>
        <v>CAMILA WILLIANE</v>
      </c>
      <c r="Q467">
        <v>20</v>
      </c>
      <c r="R467">
        <v>4000001133</v>
      </c>
      <c r="S467" t="s">
        <v>46</v>
      </c>
      <c r="T467" s="1">
        <v>45150</v>
      </c>
      <c r="U467">
        <v>193.5</v>
      </c>
      <c r="V467">
        <v>193.5</v>
      </c>
    </row>
    <row r="468" spans="1:22" x14ac:dyDescent="0.3">
      <c r="A468" t="s">
        <v>1130</v>
      </c>
      <c r="B468" t="s">
        <v>1131</v>
      </c>
      <c r="C468" t="s">
        <v>43</v>
      </c>
      <c r="D468" t="s">
        <v>5504</v>
      </c>
      <c r="E468" t="s">
        <v>15</v>
      </c>
      <c r="J468" s="1">
        <v>45214</v>
      </c>
      <c r="K468">
        <v>870</v>
      </c>
      <c r="L468" t="s">
        <v>1139</v>
      </c>
      <c r="M468">
        <v>4</v>
      </c>
      <c r="N468" t="str">
        <f>VLOOKUP(M468,[1]LOJA!$A:$B,2,0)</f>
        <v>ADE</v>
      </c>
      <c r="O468">
        <v>189</v>
      </c>
      <c r="P468" t="str">
        <f>VLOOKUP(O468,[1]OPERADORES!$A:$B,2,0)</f>
        <v>CAMILA WILLIANE</v>
      </c>
      <c r="Q468">
        <v>20</v>
      </c>
      <c r="R468">
        <v>4000001052</v>
      </c>
      <c r="S468" t="s">
        <v>55</v>
      </c>
      <c r="T468" s="1">
        <v>45124</v>
      </c>
      <c r="U468">
        <v>320.72000000000003</v>
      </c>
      <c r="V468">
        <v>320.72000000000003</v>
      </c>
    </row>
    <row r="469" spans="1:22" x14ac:dyDescent="0.3">
      <c r="A469" t="s">
        <v>1130</v>
      </c>
      <c r="B469" t="s">
        <v>1131</v>
      </c>
      <c r="C469" t="s">
        <v>43</v>
      </c>
      <c r="D469" t="s">
        <v>5504</v>
      </c>
      <c r="E469" t="s">
        <v>15</v>
      </c>
      <c r="J469" s="1">
        <v>45214</v>
      </c>
      <c r="K469">
        <v>870</v>
      </c>
      <c r="L469" t="s">
        <v>1140</v>
      </c>
      <c r="M469">
        <v>4</v>
      </c>
      <c r="N469" t="str">
        <f>VLOOKUP(M469,[1]LOJA!$A:$B,2,0)</f>
        <v>ADE</v>
      </c>
      <c r="O469">
        <v>189</v>
      </c>
      <c r="P469" t="str">
        <f>VLOOKUP(O469,[1]OPERADORES!$A:$B,2,0)</f>
        <v>CAMILA WILLIANE</v>
      </c>
      <c r="Q469">
        <v>20</v>
      </c>
      <c r="R469">
        <v>4000001055</v>
      </c>
      <c r="S469" t="s">
        <v>55</v>
      </c>
      <c r="T469" s="1">
        <v>45124</v>
      </c>
      <c r="U469">
        <v>279.36</v>
      </c>
      <c r="V469">
        <v>279.36</v>
      </c>
    </row>
    <row r="470" spans="1:22" x14ac:dyDescent="0.3">
      <c r="A470" t="s">
        <v>1130</v>
      </c>
      <c r="B470" t="s">
        <v>1131</v>
      </c>
      <c r="C470" t="s">
        <v>43</v>
      </c>
      <c r="D470" t="s">
        <v>5504</v>
      </c>
      <c r="E470" t="s">
        <v>15</v>
      </c>
      <c r="J470" s="1">
        <v>45217</v>
      </c>
      <c r="K470">
        <v>867</v>
      </c>
      <c r="L470" t="s">
        <v>1141</v>
      </c>
      <c r="M470">
        <v>4</v>
      </c>
      <c r="N470" t="str">
        <f>VLOOKUP(M470,[1]LOJA!$A:$B,2,0)</f>
        <v>ADE</v>
      </c>
      <c r="O470">
        <v>189</v>
      </c>
      <c r="P470" t="str">
        <f>VLOOKUP(O470,[1]OPERADORES!$A:$B,2,0)</f>
        <v>CAMILA WILLIANE</v>
      </c>
      <c r="Q470">
        <v>11</v>
      </c>
      <c r="R470">
        <v>4000001067</v>
      </c>
      <c r="S470" t="s">
        <v>976</v>
      </c>
      <c r="T470" s="1">
        <v>45127</v>
      </c>
      <c r="U470">
        <v>475</v>
      </c>
      <c r="V470">
        <v>475</v>
      </c>
    </row>
    <row r="471" spans="1:22" x14ac:dyDescent="0.3">
      <c r="A471" t="s">
        <v>1130</v>
      </c>
      <c r="B471" t="s">
        <v>1131</v>
      </c>
      <c r="C471" t="s">
        <v>43</v>
      </c>
      <c r="D471" t="s">
        <v>5504</v>
      </c>
      <c r="E471" t="s">
        <v>15</v>
      </c>
      <c r="J471" s="1">
        <v>45220</v>
      </c>
      <c r="K471">
        <v>864</v>
      </c>
      <c r="L471" t="s">
        <v>1142</v>
      </c>
      <c r="M471">
        <v>4</v>
      </c>
      <c r="N471" t="str">
        <f>VLOOKUP(M471,[1]LOJA!$A:$B,2,0)</f>
        <v>ADE</v>
      </c>
      <c r="O471">
        <v>189</v>
      </c>
      <c r="P471" t="str">
        <f>VLOOKUP(O471,[1]OPERADORES!$A:$B,2,0)</f>
        <v>CAMILA WILLIANE</v>
      </c>
      <c r="Q471">
        <v>20</v>
      </c>
      <c r="R471">
        <v>4000001169</v>
      </c>
      <c r="S471" t="s">
        <v>46</v>
      </c>
      <c r="T471" s="1">
        <v>45160</v>
      </c>
      <c r="U471">
        <v>161.4</v>
      </c>
      <c r="V471">
        <v>161.4</v>
      </c>
    </row>
    <row r="472" spans="1:22" x14ac:dyDescent="0.3">
      <c r="A472" t="s">
        <v>1130</v>
      </c>
      <c r="B472" t="s">
        <v>1131</v>
      </c>
      <c r="C472" t="s">
        <v>43</v>
      </c>
      <c r="D472" t="s">
        <v>5504</v>
      </c>
      <c r="E472" t="s">
        <v>15</v>
      </c>
      <c r="J472" s="1">
        <v>45231</v>
      </c>
      <c r="K472">
        <v>853</v>
      </c>
      <c r="L472" t="s">
        <v>1143</v>
      </c>
      <c r="M472">
        <v>4</v>
      </c>
      <c r="N472" t="str">
        <f>VLOOKUP(M472,[1]LOJA!$A:$B,2,0)</f>
        <v>ADE</v>
      </c>
      <c r="O472">
        <v>189</v>
      </c>
      <c r="P472" t="str">
        <f>VLOOKUP(O472,[1]OPERADORES!$A:$B,2,0)</f>
        <v>CAMILA WILLIANE</v>
      </c>
      <c r="Q472">
        <v>20</v>
      </c>
      <c r="R472">
        <v>4000001104</v>
      </c>
      <c r="S472" t="s">
        <v>55</v>
      </c>
      <c r="T472" s="1">
        <v>45141</v>
      </c>
      <c r="U472">
        <v>206.05</v>
      </c>
      <c r="V472">
        <v>206.05</v>
      </c>
    </row>
    <row r="473" spans="1:22" x14ac:dyDescent="0.3">
      <c r="A473" t="s">
        <v>1130</v>
      </c>
      <c r="B473" t="s">
        <v>1131</v>
      </c>
      <c r="C473" t="s">
        <v>43</v>
      </c>
      <c r="D473" t="s">
        <v>5504</v>
      </c>
      <c r="E473" t="s">
        <v>15</v>
      </c>
      <c r="J473" s="1">
        <v>45232</v>
      </c>
      <c r="K473">
        <v>852</v>
      </c>
      <c r="L473" t="s">
        <v>1144</v>
      </c>
      <c r="M473">
        <v>4</v>
      </c>
      <c r="N473" t="str">
        <f>VLOOKUP(M473,[1]LOJA!$A:$B,2,0)</f>
        <v>ADE</v>
      </c>
      <c r="O473">
        <v>189</v>
      </c>
      <c r="P473" t="str">
        <f>VLOOKUP(O473,[1]OPERADORES!$A:$B,2,0)</f>
        <v>CAMILA WILLIANE</v>
      </c>
      <c r="Q473">
        <v>20</v>
      </c>
      <c r="R473">
        <v>4000000983</v>
      </c>
      <c r="S473" t="s">
        <v>1145</v>
      </c>
      <c r="T473" s="1">
        <v>45082</v>
      </c>
      <c r="U473">
        <v>504.8</v>
      </c>
      <c r="V473">
        <v>504.8</v>
      </c>
    </row>
    <row r="474" spans="1:22" x14ac:dyDescent="0.3">
      <c r="A474" t="s">
        <v>1130</v>
      </c>
      <c r="B474" t="s">
        <v>1131</v>
      </c>
      <c r="C474" t="s">
        <v>43</v>
      </c>
      <c r="D474" t="s">
        <v>5504</v>
      </c>
      <c r="E474" t="s">
        <v>15</v>
      </c>
      <c r="J474" s="1">
        <v>45234</v>
      </c>
      <c r="K474">
        <v>850</v>
      </c>
      <c r="L474" t="s">
        <v>1146</v>
      </c>
      <c r="M474">
        <v>4</v>
      </c>
      <c r="N474" t="str">
        <f>VLOOKUP(M474,[1]LOJA!$A:$B,2,0)</f>
        <v>ADE</v>
      </c>
      <c r="O474">
        <v>189</v>
      </c>
      <c r="P474" t="str">
        <f>VLOOKUP(O474,[1]OPERADORES!$A:$B,2,0)</f>
        <v>CAMILA WILLIANE</v>
      </c>
      <c r="Q474">
        <v>20</v>
      </c>
      <c r="R474">
        <v>4000001033</v>
      </c>
      <c r="S474" t="s">
        <v>780</v>
      </c>
      <c r="T474" s="1">
        <v>45114</v>
      </c>
      <c r="U474">
        <v>292.2</v>
      </c>
      <c r="V474">
        <v>292.2</v>
      </c>
    </row>
    <row r="475" spans="1:22" x14ac:dyDescent="0.3">
      <c r="A475" t="s">
        <v>1130</v>
      </c>
      <c r="B475" t="s">
        <v>1131</v>
      </c>
      <c r="C475" t="s">
        <v>43</v>
      </c>
      <c r="D475" t="s">
        <v>5504</v>
      </c>
      <c r="E475" t="s">
        <v>15</v>
      </c>
      <c r="J475" s="1">
        <v>45236</v>
      </c>
      <c r="K475">
        <v>848</v>
      </c>
      <c r="L475" t="s">
        <v>1147</v>
      </c>
      <c r="M475">
        <v>4</v>
      </c>
      <c r="N475" t="str">
        <f>VLOOKUP(M475,[1]LOJA!$A:$B,2,0)</f>
        <v>ADE</v>
      </c>
      <c r="O475">
        <v>189</v>
      </c>
      <c r="P475" t="str">
        <f>VLOOKUP(O475,[1]OPERADORES!$A:$B,2,0)</f>
        <v>CAMILA WILLIANE</v>
      </c>
      <c r="Q475">
        <v>20</v>
      </c>
      <c r="R475">
        <v>4000001109</v>
      </c>
      <c r="S475" t="s">
        <v>55</v>
      </c>
      <c r="T475" s="1">
        <v>45146</v>
      </c>
      <c r="U475">
        <v>304.10000000000002</v>
      </c>
      <c r="V475">
        <v>304.10000000000002</v>
      </c>
    </row>
    <row r="476" spans="1:22" x14ac:dyDescent="0.3">
      <c r="A476" t="s">
        <v>1130</v>
      </c>
      <c r="B476" t="s">
        <v>1131</v>
      </c>
      <c r="C476" t="s">
        <v>43</v>
      </c>
      <c r="D476" t="s">
        <v>5504</v>
      </c>
      <c r="E476" t="s">
        <v>15</v>
      </c>
      <c r="J476" s="1">
        <v>45239</v>
      </c>
      <c r="K476">
        <v>845</v>
      </c>
      <c r="L476" t="s">
        <v>1148</v>
      </c>
      <c r="M476">
        <v>4</v>
      </c>
      <c r="N476" t="str">
        <f>VLOOKUP(M476,[1]LOJA!$A:$B,2,0)</f>
        <v>ADE</v>
      </c>
      <c r="O476">
        <v>189</v>
      </c>
      <c r="P476" t="str">
        <f>VLOOKUP(O476,[1]OPERADORES!$A:$B,2,0)</f>
        <v>CAMILA WILLIANE</v>
      </c>
      <c r="Q476">
        <v>20</v>
      </c>
      <c r="R476">
        <v>4000001131</v>
      </c>
      <c r="S476" t="s">
        <v>55</v>
      </c>
      <c r="T476" s="1">
        <v>45149</v>
      </c>
      <c r="U476">
        <v>157.66</v>
      </c>
      <c r="V476">
        <v>157.66</v>
      </c>
    </row>
    <row r="477" spans="1:22" x14ac:dyDescent="0.3">
      <c r="A477" t="s">
        <v>1130</v>
      </c>
      <c r="B477" t="s">
        <v>1131</v>
      </c>
      <c r="C477" t="s">
        <v>43</v>
      </c>
      <c r="D477" t="s">
        <v>5504</v>
      </c>
      <c r="E477" t="s">
        <v>15</v>
      </c>
      <c r="J477" s="1">
        <v>45247</v>
      </c>
      <c r="K477">
        <v>837</v>
      </c>
      <c r="L477" t="s">
        <v>1149</v>
      </c>
      <c r="M477">
        <v>4</v>
      </c>
      <c r="N477" t="str">
        <f>VLOOKUP(M477,[1]LOJA!$A:$B,2,0)</f>
        <v>ADE</v>
      </c>
      <c r="O477">
        <v>189</v>
      </c>
      <c r="P477" t="str">
        <f>VLOOKUP(O477,[1]OPERADORES!$A:$B,2,0)</f>
        <v>CAMILA WILLIANE</v>
      </c>
      <c r="Q477">
        <v>11</v>
      </c>
      <c r="R477">
        <v>4000001068</v>
      </c>
      <c r="S477" t="s">
        <v>780</v>
      </c>
      <c r="T477" s="1">
        <v>45127</v>
      </c>
      <c r="U477">
        <v>475</v>
      </c>
      <c r="V477">
        <v>475</v>
      </c>
    </row>
    <row r="478" spans="1:22" x14ac:dyDescent="0.3">
      <c r="A478" t="s">
        <v>1130</v>
      </c>
      <c r="B478" t="s">
        <v>1131</v>
      </c>
      <c r="C478" t="s">
        <v>43</v>
      </c>
      <c r="D478" t="s">
        <v>5504</v>
      </c>
      <c r="E478" t="s">
        <v>15</v>
      </c>
      <c r="J478" s="1">
        <v>46076</v>
      </c>
      <c r="K478">
        <v>8</v>
      </c>
      <c r="L478" t="s">
        <v>5505</v>
      </c>
      <c r="M478">
        <v>4</v>
      </c>
      <c r="N478" t="str">
        <f>VLOOKUP(M478,[1]LOJA!$A:$B,2,0)</f>
        <v>ADE</v>
      </c>
      <c r="O478">
        <v>132</v>
      </c>
      <c r="P478" t="str">
        <f>VLOOKUP(O478,[1]OPERADORES!$A:$B,2,0)</f>
        <v>PAMELA GONÇALVES ROSA</v>
      </c>
      <c r="Q478">
        <v>4</v>
      </c>
      <c r="S478" t="s">
        <v>5506</v>
      </c>
      <c r="T478" s="1">
        <v>46076</v>
      </c>
      <c r="U478">
        <v>-0.82</v>
      </c>
      <c r="V478">
        <v>-0.82</v>
      </c>
    </row>
    <row r="479" spans="1:22" x14ac:dyDescent="0.3">
      <c r="A479" t="s">
        <v>1130</v>
      </c>
      <c r="B479" t="s">
        <v>1131</v>
      </c>
      <c r="C479" t="s">
        <v>43</v>
      </c>
      <c r="D479" t="s">
        <v>5504</v>
      </c>
      <c r="E479" t="s">
        <v>15</v>
      </c>
      <c r="J479" s="1">
        <v>46079</v>
      </c>
      <c r="K479">
        <v>5</v>
      </c>
      <c r="L479" t="s">
        <v>5507</v>
      </c>
      <c r="M479">
        <v>4</v>
      </c>
      <c r="N479" t="str">
        <f>VLOOKUP(M479,[1]LOJA!$A:$B,2,0)</f>
        <v>ADE</v>
      </c>
      <c r="O479">
        <v>132</v>
      </c>
      <c r="P479" t="str">
        <f>VLOOKUP(O479,[1]OPERADORES!$A:$B,2,0)</f>
        <v>PAMELA GONÇALVES ROSA</v>
      </c>
      <c r="Q479">
        <v>4</v>
      </c>
      <c r="S479" t="s">
        <v>5508</v>
      </c>
      <c r="T479" s="1">
        <v>46079</v>
      </c>
      <c r="U479">
        <v>-0.1</v>
      </c>
      <c r="V479">
        <v>-0.1</v>
      </c>
    </row>
    <row r="480" spans="1:22" x14ac:dyDescent="0.3">
      <c r="A480" t="s">
        <v>1150</v>
      </c>
      <c r="B480" t="s">
        <v>1151</v>
      </c>
      <c r="C480" t="s">
        <v>13</v>
      </c>
      <c r="D480" t="s">
        <v>5509</v>
      </c>
      <c r="E480" t="s">
        <v>15</v>
      </c>
      <c r="J480" s="1">
        <v>45945</v>
      </c>
      <c r="K480">
        <v>139</v>
      </c>
      <c r="L480" t="s">
        <v>1152</v>
      </c>
      <c r="M480">
        <v>13</v>
      </c>
      <c r="N480" t="str">
        <f>VLOOKUP(M480,[1]LOJA!$A:$B,2,0)</f>
        <v>CEILÂNDIA</v>
      </c>
      <c r="O480">
        <v>20</v>
      </c>
      <c r="P480" t="str">
        <f>VLOOKUP(O480,[1]OPERADORES!$A:$B,2,0)</f>
        <v>MAYARA</v>
      </c>
      <c r="Q480">
        <v>27</v>
      </c>
      <c r="R480">
        <v>1000018139</v>
      </c>
      <c r="S480" t="s">
        <v>1153</v>
      </c>
      <c r="T480" s="1">
        <v>45905</v>
      </c>
      <c r="U480" s="2">
        <v>3476.05</v>
      </c>
      <c r="V480" s="2">
        <v>3476.05</v>
      </c>
    </row>
    <row r="481" spans="1:22" x14ac:dyDescent="0.3">
      <c r="A481" t="s">
        <v>1150</v>
      </c>
      <c r="B481" t="s">
        <v>1151</v>
      </c>
      <c r="C481" t="s">
        <v>13</v>
      </c>
      <c r="D481" t="s">
        <v>5509</v>
      </c>
      <c r="E481" t="s">
        <v>15</v>
      </c>
      <c r="J481" s="1">
        <v>45959</v>
      </c>
      <c r="K481">
        <v>125</v>
      </c>
      <c r="L481" t="s">
        <v>1154</v>
      </c>
      <c r="M481">
        <v>13</v>
      </c>
      <c r="N481" t="str">
        <f>VLOOKUP(M481,[1]LOJA!$A:$B,2,0)</f>
        <v>CEILÂNDIA</v>
      </c>
      <c r="O481">
        <v>86</v>
      </c>
      <c r="P481" t="str">
        <f>VLOOKUP(O481,[1]OPERADORES!$A:$B,2,0)</f>
        <v>AMANDA</v>
      </c>
      <c r="Q481">
        <v>27</v>
      </c>
      <c r="R481">
        <v>1000018317</v>
      </c>
      <c r="S481" t="s">
        <v>87</v>
      </c>
      <c r="T481" s="1">
        <v>45929</v>
      </c>
      <c r="U481">
        <v>786.76</v>
      </c>
      <c r="V481">
        <v>786.76</v>
      </c>
    </row>
    <row r="482" spans="1:22" x14ac:dyDescent="0.3">
      <c r="A482" t="s">
        <v>1150</v>
      </c>
      <c r="B482" t="s">
        <v>1151</v>
      </c>
      <c r="C482" t="s">
        <v>13</v>
      </c>
      <c r="D482" t="s">
        <v>5509</v>
      </c>
      <c r="E482" t="s">
        <v>15</v>
      </c>
      <c r="J482" s="1">
        <v>45961</v>
      </c>
      <c r="K482">
        <v>123</v>
      </c>
      <c r="L482" t="s">
        <v>1155</v>
      </c>
      <c r="M482">
        <v>13</v>
      </c>
      <c r="N482" t="str">
        <f>VLOOKUP(M482,[1]LOJA!$A:$B,2,0)</f>
        <v>CEILÂNDIA</v>
      </c>
      <c r="O482">
        <v>86</v>
      </c>
      <c r="P482" t="str">
        <f>VLOOKUP(O482,[1]OPERADORES!$A:$B,2,0)</f>
        <v>AMANDA</v>
      </c>
      <c r="Q482">
        <v>27</v>
      </c>
      <c r="R482">
        <v>1000018351</v>
      </c>
      <c r="S482" t="s">
        <v>87</v>
      </c>
      <c r="T482" s="1">
        <v>45931</v>
      </c>
      <c r="U482">
        <v>224.16</v>
      </c>
      <c r="V482">
        <v>224.16</v>
      </c>
    </row>
    <row r="483" spans="1:22" x14ac:dyDescent="0.3">
      <c r="A483" t="s">
        <v>1150</v>
      </c>
      <c r="B483" t="s">
        <v>1151</v>
      </c>
      <c r="C483" t="s">
        <v>13</v>
      </c>
      <c r="D483" t="s">
        <v>5509</v>
      </c>
      <c r="E483" t="s">
        <v>15</v>
      </c>
      <c r="J483" s="1">
        <v>45962</v>
      </c>
      <c r="K483">
        <v>122</v>
      </c>
      <c r="L483" t="s">
        <v>1156</v>
      </c>
      <c r="M483">
        <v>13</v>
      </c>
      <c r="N483" t="str">
        <f>VLOOKUP(M483,[1]LOJA!$A:$B,2,0)</f>
        <v>CEILÂNDIA</v>
      </c>
      <c r="O483">
        <v>86</v>
      </c>
      <c r="P483" t="str">
        <f>VLOOKUP(O483,[1]OPERADORES!$A:$B,2,0)</f>
        <v>AMANDA</v>
      </c>
      <c r="Q483">
        <v>27</v>
      </c>
      <c r="R483">
        <v>1000018359</v>
      </c>
      <c r="S483" t="s">
        <v>87</v>
      </c>
      <c r="T483" s="1">
        <v>45932</v>
      </c>
      <c r="U483">
        <v>217</v>
      </c>
      <c r="V483">
        <v>217</v>
      </c>
    </row>
    <row r="484" spans="1:22" x14ac:dyDescent="0.3">
      <c r="A484" t="s">
        <v>1150</v>
      </c>
      <c r="B484" t="s">
        <v>1151</v>
      </c>
      <c r="C484" t="s">
        <v>13</v>
      </c>
      <c r="D484" t="s">
        <v>5509</v>
      </c>
      <c r="E484" t="s">
        <v>15</v>
      </c>
      <c r="J484" s="1">
        <v>45966</v>
      </c>
      <c r="K484">
        <v>118</v>
      </c>
      <c r="L484" t="s">
        <v>1157</v>
      </c>
      <c r="M484">
        <v>13</v>
      </c>
      <c r="N484" t="str">
        <f>VLOOKUP(M484,[1]LOJA!$A:$B,2,0)</f>
        <v>CEILÂNDIA</v>
      </c>
      <c r="O484">
        <v>86</v>
      </c>
      <c r="P484" t="str">
        <f>VLOOKUP(O484,[1]OPERADORES!$A:$B,2,0)</f>
        <v>AMANDA</v>
      </c>
      <c r="Q484">
        <v>27</v>
      </c>
      <c r="R484">
        <v>1000018407</v>
      </c>
      <c r="S484" t="s">
        <v>87</v>
      </c>
      <c r="T484" s="1">
        <v>45936</v>
      </c>
      <c r="U484">
        <v>517.91</v>
      </c>
      <c r="V484">
        <v>517.91</v>
      </c>
    </row>
    <row r="485" spans="1:22" x14ac:dyDescent="0.3">
      <c r="A485" t="s">
        <v>1150</v>
      </c>
      <c r="B485" t="s">
        <v>1151</v>
      </c>
      <c r="C485" t="s">
        <v>13</v>
      </c>
      <c r="D485" t="s">
        <v>5509</v>
      </c>
      <c r="E485" t="s">
        <v>15</v>
      </c>
      <c r="J485" s="1">
        <v>45967</v>
      </c>
      <c r="K485">
        <v>117</v>
      </c>
      <c r="L485" t="s">
        <v>1158</v>
      </c>
      <c r="M485">
        <v>13</v>
      </c>
      <c r="N485" t="str">
        <f>VLOOKUP(M485,[1]LOJA!$A:$B,2,0)</f>
        <v>CEILÂNDIA</v>
      </c>
      <c r="O485">
        <v>86</v>
      </c>
      <c r="P485" t="str">
        <f>VLOOKUP(O485,[1]OPERADORES!$A:$B,2,0)</f>
        <v>AMANDA</v>
      </c>
      <c r="Q485">
        <v>27</v>
      </c>
      <c r="R485">
        <v>1000018440</v>
      </c>
      <c r="S485" t="s">
        <v>87</v>
      </c>
      <c r="T485" s="1">
        <v>45937</v>
      </c>
      <c r="U485">
        <v>538.75</v>
      </c>
      <c r="V485">
        <v>538.75</v>
      </c>
    </row>
    <row r="486" spans="1:22" x14ac:dyDescent="0.3">
      <c r="A486" t="s">
        <v>1150</v>
      </c>
      <c r="B486" t="s">
        <v>1151</v>
      </c>
      <c r="C486" t="s">
        <v>13</v>
      </c>
      <c r="D486" t="s">
        <v>5509</v>
      </c>
      <c r="E486" t="s">
        <v>15</v>
      </c>
      <c r="J486" s="1">
        <v>45968</v>
      </c>
      <c r="K486">
        <v>116</v>
      </c>
      <c r="L486" t="s">
        <v>1159</v>
      </c>
      <c r="M486">
        <v>13</v>
      </c>
      <c r="N486" t="str">
        <f>VLOOKUP(M486,[1]LOJA!$A:$B,2,0)</f>
        <v>CEILÂNDIA</v>
      </c>
      <c r="O486">
        <v>86</v>
      </c>
      <c r="P486" t="str">
        <f>VLOOKUP(O486,[1]OPERADORES!$A:$B,2,0)</f>
        <v>AMANDA</v>
      </c>
      <c r="Q486">
        <v>27</v>
      </c>
      <c r="R486">
        <v>1000018485</v>
      </c>
      <c r="S486" t="s">
        <v>87</v>
      </c>
      <c r="T486" s="1">
        <v>45938</v>
      </c>
      <c r="U486">
        <v>202.06</v>
      </c>
      <c r="V486">
        <v>202.06</v>
      </c>
    </row>
    <row r="487" spans="1:22" x14ac:dyDescent="0.3">
      <c r="A487" t="s">
        <v>1150</v>
      </c>
      <c r="B487" t="s">
        <v>1151</v>
      </c>
      <c r="C487" t="s">
        <v>13</v>
      </c>
      <c r="D487" t="s">
        <v>5509</v>
      </c>
      <c r="E487" t="s">
        <v>15</v>
      </c>
      <c r="J487" s="1">
        <v>45968</v>
      </c>
      <c r="K487">
        <v>116</v>
      </c>
      <c r="L487" t="s">
        <v>1160</v>
      </c>
      <c r="M487">
        <v>13</v>
      </c>
      <c r="N487" t="str">
        <f>VLOOKUP(M487,[1]LOJA!$A:$B,2,0)</f>
        <v>CEILÂNDIA</v>
      </c>
      <c r="O487">
        <v>86</v>
      </c>
      <c r="P487" t="str">
        <f>VLOOKUP(O487,[1]OPERADORES!$A:$B,2,0)</f>
        <v>AMANDA</v>
      </c>
      <c r="Q487">
        <v>27</v>
      </c>
      <c r="R487">
        <v>1000018487</v>
      </c>
      <c r="S487" t="s">
        <v>87</v>
      </c>
      <c r="T487" s="1">
        <v>45938</v>
      </c>
      <c r="U487">
        <v>54.32</v>
      </c>
      <c r="V487">
        <v>54.32</v>
      </c>
    </row>
    <row r="488" spans="1:22" x14ac:dyDescent="0.3">
      <c r="A488" t="s">
        <v>1150</v>
      </c>
      <c r="B488" t="s">
        <v>1151</v>
      </c>
      <c r="C488" t="s">
        <v>13</v>
      </c>
      <c r="D488" t="s">
        <v>5509</v>
      </c>
      <c r="E488" t="s">
        <v>15</v>
      </c>
      <c r="J488" s="1">
        <v>45969</v>
      </c>
      <c r="K488">
        <v>115</v>
      </c>
      <c r="L488" t="s">
        <v>1161</v>
      </c>
      <c r="M488">
        <v>13</v>
      </c>
      <c r="N488" t="str">
        <f>VLOOKUP(M488,[1]LOJA!$A:$B,2,0)</f>
        <v>CEILÂNDIA</v>
      </c>
      <c r="O488">
        <v>86</v>
      </c>
      <c r="P488" t="str">
        <f>VLOOKUP(O488,[1]OPERADORES!$A:$B,2,0)</f>
        <v>AMANDA</v>
      </c>
      <c r="Q488">
        <v>27</v>
      </c>
      <c r="R488">
        <v>1000018493</v>
      </c>
      <c r="S488" t="s">
        <v>87</v>
      </c>
      <c r="T488" s="1">
        <v>45939</v>
      </c>
      <c r="U488">
        <v>499.8</v>
      </c>
      <c r="V488">
        <v>499.8</v>
      </c>
    </row>
    <row r="489" spans="1:22" x14ac:dyDescent="0.3">
      <c r="A489" t="s">
        <v>1150</v>
      </c>
      <c r="B489" t="s">
        <v>1151</v>
      </c>
      <c r="C489" t="s">
        <v>13</v>
      </c>
      <c r="D489" t="s">
        <v>5509</v>
      </c>
      <c r="E489" t="s">
        <v>15</v>
      </c>
      <c r="J489" s="1">
        <v>45970</v>
      </c>
      <c r="K489">
        <v>114</v>
      </c>
      <c r="L489" t="s">
        <v>1162</v>
      </c>
      <c r="M489">
        <v>13</v>
      </c>
      <c r="N489" t="str">
        <f>VLOOKUP(M489,[1]LOJA!$A:$B,2,0)</f>
        <v>CEILÂNDIA</v>
      </c>
      <c r="O489">
        <v>86</v>
      </c>
      <c r="P489" t="str">
        <f>VLOOKUP(O489,[1]OPERADORES!$A:$B,2,0)</f>
        <v>AMANDA</v>
      </c>
      <c r="Q489">
        <v>27</v>
      </c>
      <c r="R489">
        <v>1000018546</v>
      </c>
      <c r="S489" t="s">
        <v>87</v>
      </c>
      <c r="T489" s="1">
        <v>45940</v>
      </c>
      <c r="U489">
        <v>715.14</v>
      </c>
      <c r="V489">
        <v>715.14</v>
      </c>
    </row>
    <row r="490" spans="1:22" x14ac:dyDescent="0.3">
      <c r="A490" t="s">
        <v>1150</v>
      </c>
      <c r="B490" t="s">
        <v>1151</v>
      </c>
      <c r="C490" t="s">
        <v>13</v>
      </c>
      <c r="D490" t="s">
        <v>5509</v>
      </c>
      <c r="E490" t="s">
        <v>15</v>
      </c>
      <c r="J490" s="1">
        <v>45972</v>
      </c>
      <c r="K490">
        <v>112</v>
      </c>
      <c r="L490" t="s">
        <v>1163</v>
      </c>
      <c r="M490">
        <v>13</v>
      </c>
      <c r="N490" t="str">
        <f>VLOOKUP(M490,[1]LOJA!$A:$B,2,0)</f>
        <v>CEILÂNDIA</v>
      </c>
      <c r="O490">
        <v>86</v>
      </c>
      <c r="P490" t="str">
        <f>VLOOKUP(O490,[1]OPERADORES!$A:$B,2,0)</f>
        <v>AMANDA</v>
      </c>
      <c r="Q490">
        <v>27</v>
      </c>
      <c r="R490">
        <v>1000018202</v>
      </c>
      <c r="S490" t="s">
        <v>46</v>
      </c>
      <c r="T490" s="1">
        <v>45912</v>
      </c>
      <c r="U490" s="2">
        <v>1509.95</v>
      </c>
      <c r="V490" s="2">
        <v>1509.95</v>
      </c>
    </row>
    <row r="491" spans="1:22" x14ac:dyDescent="0.3">
      <c r="A491" t="s">
        <v>1150</v>
      </c>
      <c r="B491" t="s">
        <v>1151</v>
      </c>
      <c r="C491" t="s">
        <v>13</v>
      </c>
      <c r="D491" t="s">
        <v>5509</v>
      </c>
      <c r="E491" t="s">
        <v>15</v>
      </c>
      <c r="J491" s="1">
        <v>45975</v>
      </c>
      <c r="K491">
        <v>109</v>
      </c>
      <c r="L491" t="s">
        <v>1164</v>
      </c>
      <c r="M491">
        <v>13</v>
      </c>
      <c r="N491" t="str">
        <f>VLOOKUP(M491,[1]LOJA!$A:$B,2,0)</f>
        <v>CEILÂNDIA</v>
      </c>
      <c r="O491">
        <v>86</v>
      </c>
      <c r="P491" t="str">
        <f>VLOOKUP(O491,[1]OPERADORES!$A:$B,2,0)</f>
        <v>AMANDA</v>
      </c>
      <c r="Q491">
        <v>27</v>
      </c>
      <c r="R491">
        <v>1000018635</v>
      </c>
      <c r="S491" t="s">
        <v>87</v>
      </c>
      <c r="T491" s="1">
        <v>45945</v>
      </c>
      <c r="U491">
        <v>117.37</v>
      </c>
      <c r="V491">
        <v>117.37</v>
      </c>
    </row>
    <row r="492" spans="1:22" x14ac:dyDescent="0.3">
      <c r="A492" t="s">
        <v>1150</v>
      </c>
      <c r="B492" t="s">
        <v>1151</v>
      </c>
      <c r="C492" t="s">
        <v>13</v>
      </c>
      <c r="D492" t="s">
        <v>5509</v>
      </c>
      <c r="E492" t="s">
        <v>15</v>
      </c>
      <c r="J492" s="1">
        <v>45975</v>
      </c>
      <c r="K492">
        <v>109</v>
      </c>
      <c r="L492" t="s">
        <v>1165</v>
      </c>
      <c r="M492">
        <v>13</v>
      </c>
      <c r="N492" t="str">
        <f>VLOOKUP(M492,[1]LOJA!$A:$B,2,0)</f>
        <v>CEILÂNDIA</v>
      </c>
      <c r="O492">
        <v>86</v>
      </c>
      <c r="P492" t="str">
        <f>VLOOKUP(O492,[1]OPERADORES!$A:$B,2,0)</f>
        <v>AMANDA</v>
      </c>
      <c r="Q492">
        <v>27</v>
      </c>
      <c r="R492">
        <v>1000018636</v>
      </c>
      <c r="S492" t="s">
        <v>87</v>
      </c>
      <c r="T492" s="1">
        <v>45945</v>
      </c>
      <c r="U492">
        <v>400.68</v>
      </c>
      <c r="V492">
        <v>400.68</v>
      </c>
    </row>
    <row r="493" spans="1:22" x14ac:dyDescent="0.3">
      <c r="A493" t="s">
        <v>1150</v>
      </c>
      <c r="B493" t="s">
        <v>1151</v>
      </c>
      <c r="C493" t="s">
        <v>13</v>
      </c>
      <c r="D493" t="s">
        <v>5509</v>
      </c>
      <c r="E493" t="s">
        <v>15</v>
      </c>
      <c r="J493" s="1">
        <v>45976</v>
      </c>
      <c r="K493">
        <v>108</v>
      </c>
      <c r="L493" t="s">
        <v>1166</v>
      </c>
      <c r="M493">
        <v>13</v>
      </c>
      <c r="N493" t="str">
        <f>VLOOKUP(M493,[1]LOJA!$A:$B,2,0)</f>
        <v>CEILÂNDIA</v>
      </c>
      <c r="O493">
        <v>20</v>
      </c>
      <c r="P493" t="str">
        <f>VLOOKUP(O493,[1]OPERADORES!$A:$B,2,0)</f>
        <v>MAYARA</v>
      </c>
      <c r="Q493">
        <v>27</v>
      </c>
      <c r="R493">
        <v>1000018140</v>
      </c>
      <c r="S493" t="s">
        <v>1167</v>
      </c>
      <c r="T493" s="1">
        <v>45905</v>
      </c>
      <c r="U493" s="2">
        <v>3475</v>
      </c>
      <c r="V493" s="2">
        <v>3475</v>
      </c>
    </row>
    <row r="494" spans="1:22" x14ac:dyDescent="0.3">
      <c r="A494" t="s">
        <v>1150</v>
      </c>
      <c r="B494" t="s">
        <v>1151</v>
      </c>
      <c r="C494" t="s">
        <v>13</v>
      </c>
      <c r="D494" t="s">
        <v>5509</v>
      </c>
      <c r="E494" t="s">
        <v>15</v>
      </c>
      <c r="J494" s="1">
        <v>45977</v>
      </c>
      <c r="K494">
        <v>107</v>
      </c>
      <c r="L494" t="s">
        <v>1168</v>
      </c>
      <c r="M494">
        <v>13</v>
      </c>
      <c r="N494" t="str">
        <f>VLOOKUP(M494,[1]LOJA!$A:$B,2,0)</f>
        <v>CEILÂNDIA</v>
      </c>
      <c r="O494">
        <v>86</v>
      </c>
      <c r="P494" t="str">
        <f>VLOOKUP(O494,[1]OPERADORES!$A:$B,2,0)</f>
        <v>AMANDA</v>
      </c>
      <c r="Q494">
        <v>27</v>
      </c>
      <c r="R494">
        <v>1000018651</v>
      </c>
      <c r="S494" t="s">
        <v>1169</v>
      </c>
      <c r="T494" s="1">
        <v>45947</v>
      </c>
      <c r="U494">
        <v>702.06</v>
      </c>
      <c r="V494">
        <v>702.06</v>
      </c>
    </row>
    <row r="495" spans="1:22" x14ac:dyDescent="0.3">
      <c r="A495" t="s">
        <v>1150</v>
      </c>
      <c r="B495" t="s">
        <v>1151</v>
      </c>
      <c r="C495" t="s">
        <v>13</v>
      </c>
      <c r="D495" t="s">
        <v>5509</v>
      </c>
      <c r="E495" t="s">
        <v>15</v>
      </c>
      <c r="J495" s="1">
        <v>45977</v>
      </c>
      <c r="K495">
        <v>107</v>
      </c>
      <c r="L495" t="s">
        <v>1170</v>
      </c>
      <c r="M495">
        <v>13</v>
      </c>
      <c r="N495" t="str">
        <f>VLOOKUP(M495,[1]LOJA!$A:$B,2,0)</f>
        <v>CEILÂNDIA</v>
      </c>
      <c r="O495">
        <v>86</v>
      </c>
      <c r="P495" t="str">
        <f>VLOOKUP(O495,[1]OPERADORES!$A:$B,2,0)</f>
        <v>AMANDA</v>
      </c>
      <c r="Q495">
        <v>27</v>
      </c>
      <c r="R495">
        <v>1000018660</v>
      </c>
      <c r="S495" t="s">
        <v>87</v>
      </c>
      <c r="T495" s="1">
        <v>45947</v>
      </c>
      <c r="U495">
        <v>241.85</v>
      </c>
      <c r="V495">
        <v>241.85</v>
      </c>
    </row>
    <row r="496" spans="1:22" x14ac:dyDescent="0.3">
      <c r="A496" t="s">
        <v>1150</v>
      </c>
      <c r="B496" t="s">
        <v>1151</v>
      </c>
      <c r="C496" t="s">
        <v>13</v>
      </c>
      <c r="D496" t="s">
        <v>5509</v>
      </c>
      <c r="E496" t="s">
        <v>15</v>
      </c>
      <c r="J496" s="1">
        <v>45980</v>
      </c>
      <c r="K496">
        <v>104</v>
      </c>
      <c r="L496" t="s">
        <v>1171</v>
      </c>
      <c r="M496">
        <v>13</v>
      </c>
      <c r="N496" t="str">
        <f>VLOOKUP(M496,[1]LOJA!$A:$B,2,0)</f>
        <v>CEILÂNDIA</v>
      </c>
      <c r="O496">
        <v>86</v>
      </c>
      <c r="P496" t="str">
        <f>VLOOKUP(O496,[1]OPERADORES!$A:$B,2,0)</f>
        <v>AMANDA</v>
      </c>
      <c r="Q496">
        <v>27</v>
      </c>
      <c r="R496">
        <v>1000018669</v>
      </c>
      <c r="S496" t="s">
        <v>87</v>
      </c>
      <c r="T496" s="1">
        <v>45950</v>
      </c>
      <c r="U496">
        <v>117.81</v>
      </c>
      <c r="V496">
        <v>117.81</v>
      </c>
    </row>
    <row r="497" spans="1:22" x14ac:dyDescent="0.3">
      <c r="A497" t="s">
        <v>1150</v>
      </c>
      <c r="B497" t="s">
        <v>1151</v>
      </c>
      <c r="C497" t="s">
        <v>13</v>
      </c>
      <c r="D497" t="s">
        <v>5509</v>
      </c>
      <c r="E497" t="s">
        <v>15</v>
      </c>
      <c r="J497" s="1">
        <v>45981</v>
      </c>
      <c r="K497">
        <v>103</v>
      </c>
      <c r="L497" t="s">
        <v>1172</v>
      </c>
      <c r="M497">
        <v>13</v>
      </c>
      <c r="N497" t="str">
        <f>VLOOKUP(M497,[1]LOJA!$A:$B,2,0)</f>
        <v>CEILÂNDIA</v>
      </c>
      <c r="O497">
        <v>86</v>
      </c>
      <c r="P497" t="str">
        <f>VLOOKUP(O497,[1]OPERADORES!$A:$B,2,0)</f>
        <v>AMANDA</v>
      </c>
      <c r="Q497">
        <v>27</v>
      </c>
      <c r="R497">
        <v>1000018683</v>
      </c>
      <c r="S497" t="s">
        <v>87</v>
      </c>
      <c r="T497" s="1">
        <v>45951</v>
      </c>
      <c r="U497">
        <v>440</v>
      </c>
      <c r="V497">
        <v>440</v>
      </c>
    </row>
    <row r="498" spans="1:22" x14ac:dyDescent="0.3">
      <c r="A498" t="s">
        <v>1150</v>
      </c>
      <c r="B498" t="s">
        <v>1151</v>
      </c>
      <c r="C498" t="s">
        <v>13</v>
      </c>
      <c r="D498" t="s">
        <v>5509</v>
      </c>
      <c r="E498" t="s">
        <v>15</v>
      </c>
      <c r="J498" s="1">
        <v>46005</v>
      </c>
      <c r="K498">
        <v>79</v>
      </c>
      <c r="L498" t="s">
        <v>1173</v>
      </c>
      <c r="M498">
        <v>13</v>
      </c>
      <c r="N498" t="str">
        <f>VLOOKUP(M498,[1]LOJA!$A:$B,2,0)</f>
        <v>CEILÂNDIA</v>
      </c>
      <c r="O498">
        <v>20</v>
      </c>
      <c r="P498" t="str">
        <f>VLOOKUP(O498,[1]OPERADORES!$A:$B,2,0)</f>
        <v>MAYARA</v>
      </c>
      <c r="Q498">
        <v>27</v>
      </c>
      <c r="R498">
        <v>1000018141</v>
      </c>
      <c r="S498" t="s">
        <v>1174</v>
      </c>
      <c r="T498" s="1">
        <v>45905</v>
      </c>
      <c r="U498" s="2">
        <v>3475</v>
      </c>
      <c r="V498" s="2">
        <v>3475</v>
      </c>
    </row>
    <row r="499" spans="1:22" x14ac:dyDescent="0.3">
      <c r="A499" t="s">
        <v>1150</v>
      </c>
      <c r="B499" t="s">
        <v>1151</v>
      </c>
      <c r="C499" t="s">
        <v>13</v>
      </c>
      <c r="D499" t="s">
        <v>5509</v>
      </c>
      <c r="E499" t="s">
        <v>15</v>
      </c>
      <c r="J499" s="1">
        <v>46007</v>
      </c>
      <c r="K499">
        <v>77</v>
      </c>
      <c r="L499" t="s">
        <v>1175</v>
      </c>
      <c r="M499">
        <v>13</v>
      </c>
      <c r="N499" t="str">
        <f>VLOOKUP(M499,[1]LOJA!$A:$B,2,0)</f>
        <v>CEILÂNDIA</v>
      </c>
      <c r="O499">
        <v>86</v>
      </c>
      <c r="P499" t="str">
        <f>VLOOKUP(O499,[1]OPERADORES!$A:$B,2,0)</f>
        <v>AMANDA</v>
      </c>
      <c r="Q499">
        <v>27</v>
      </c>
      <c r="R499">
        <v>1000018652</v>
      </c>
      <c r="S499" t="s">
        <v>972</v>
      </c>
      <c r="T499" s="1">
        <v>45947</v>
      </c>
      <c r="U499">
        <v>702.06</v>
      </c>
      <c r="V499">
        <v>702.06</v>
      </c>
    </row>
    <row r="500" spans="1:22" x14ac:dyDescent="0.3">
      <c r="A500" t="s">
        <v>1150</v>
      </c>
      <c r="B500" t="s">
        <v>1151</v>
      </c>
      <c r="C500" t="s">
        <v>13</v>
      </c>
      <c r="D500" t="s">
        <v>5509</v>
      </c>
      <c r="E500" t="s">
        <v>15</v>
      </c>
      <c r="J500" s="1">
        <v>46035</v>
      </c>
      <c r="K500">
        <v>49</v>
      </c>
      <c r="L500" t="s">
        <v>1176</v>
      </c>
      <c r="M500">
        <v>13</v>
      </c>
      <c r="N500" t="str">
        <f>VLOOKUP(M500,[1]LOJA!$A:$B,2,0)</f>
        <v>CEILÂNDIA</v>
      </c>
      <c r="O500">
        <v>20</v>
      </c>
      <c r="P500" t="str">
        <f>VLOOKUP(O500,[1]OPERADORES!$A:$B,2,0)</f>
        <v>MAYARA</v>
      </c>
      <c r="Q500">
        <v>27</v>
      </c>
      <c r="R500">
        <v>1000018142</v>
      </c>
      <c r="S500" t="s">
        <v>1177</v>
      </c>
      <c r="T500" s="1">
        <v>45905</v>
      </c>
      <c r="U500" s="2">
        <v>3475</v>
      </c>
      <c r="V500" s="2">
        <v>3475</v>
      </c>
    </row>
    <row r="501" spans="1:22" x14ac:dyDescent="0.3">
      <c r="A501" t="s">
        <v>1150</v>
      </c>
      <c r="B501" t="s">
        <v>1151</v>
      </c>
      <c r="C501" t="s">
        <v>13</v>
      </c>
      <c r="D501" t="s">
        <v>5509</v>
      </c>
      <c r="E501" t="s">
        <v>15</v>
      </c>
      <c r="J501" s="1">
        <v>46037</v>
      </c>
      <c r="K501">
        <v>47</v>
      </c>
      <c r="L501" t="s">
        <v>1178</v>
      </c>
      <c r="M501">
        <v>13</v>
      </c>
      <c r="N501" t="str">
        <f>VLOOKUP(M501,[1]LOJA!$A:$B,2,0)</f>
        <v>CEILÂNDIA</v>
      </c>
      <c r="O501">
        <v>86</v>
      </c>
      <c r="P501" t="str">
        <f>VLOOKUP(O501,[1]OPERADORES!$A:$B,2,0)</f>
        <v>AMANDA</v>
      </c>
      <c r="Q501">
        <v>27</v>
      </c>
      <c r="R501">
        <v>1000018653</v>
      </c>
      <c r="S501" t="s">
        <v>976</v>
      </c>
      <c r="T501" s="1">
        <v>45947</v>
      </c>
      <c r="U501">
        <v>702.06</v>
      </c>
      <c r="V501">
        <v>702.06</v>
      </c>
    </row>
    <row r="502" spans="1:22" x14ac:dyDescent="0.3">
      <c r="A502" t="s">
        <v>1150</v>
      </c>
      <c r="B502" t="s">
        <v>1151</v>
      </c>
      <c r="C502" t="s">
        <v>13</v>
      </c>
      <c r="D502" t="s">
        <v>5509</v>
      </c>
      <c r="E502" t="s">
        <v>15</v>
      </c>
      <c r="J502" s="1">
        <v>46037</v>
      </c>
      <c r="K502">
        <v>47</v>
      </c>
      <c r="L502" t="s">
        <v>1179</v>
      </c>
      <c r="M502">
        <v>13</v>
      </c>
      <c r="N502" t="str">
        <f>VLOOKUP(M502,[1]LOJA!$A:$B,2,0)</f>
        <v>CEILÂNDIA</v>
      </c>
      <c r="O502">
        <v>67</v>
      </c>
      <c r="P502" t="str">
        <f>VLOOKUP(O502,[1]OPERADORES!$A:$B,2,0)</f>
        <v>ERIKA</v>
      </c>
      <c r="Q502">
        <v>10</v>
      </c>
      <c r="S502" t="s">
        <v>1180</v>
      </c>
      <c r="T502" s="1">
        <v>46037</v>
      </c>
      <c r="U502">
        <v>-0.02</v>
      </c>
      <c r="V502">
        <v>-0.02</v>
      </c>
    </row>
    <row r="503" spans="1:22" x14ac:dyDescent="0.3">
      <c r="A503" t="s">
        <v>1150</v>
      </c>
      <c r="B503" t="s">
        <v>1151</v>
      </c>
      <c r="C503" t="s">
        <v>13</v>
      </c>
      <c r="D503" t="s">
        <v>5509</v>
      </c>
      <c r="E503" t="s">
        <v>15</v>
      </c>
      <c r="J503" s="1">
        <v>46065</v>
      </c>
      <c r="K503">
        <v>19</v>
      </c>
      <c r="L503" t="s">
        <v>5510</v>
      </c>
      <c r="M503">
        <v>13</v>
      </c>
      <c r="N503" t="str">
        <f>VLOOKUP(M503,[1]LOJA!$A:$B,2,0)</f>
        <v>CEILÂNDIA</v>
      </c>
      <c r="O503">
        <v>20</v>
      </c>
      <c r="P503" t="str">
        <f>VLOOKUP(O503,[1]OPERADORES!$A:$B,2,0)</f>
        <v>MAYARA</v>
      </c>
      <c r="Q503">
        <v>27</v>
      </c>
      <c r="R503">
        <v>1000018143</v>
      </c>
      <c r="S503" t="s">
        <v>5511</v>
      </c>
      <c r="T503" s="1">
        <v>45905</v>
      </c>
      <c r="U503" s="2">
        <v>3475</v>
      </c>
      <c r="V503" s="2">
        <v>3475</v>
      </c>
    </row>
    <row r="504" spans="1:22" x14ac:dyDescent="0.3">
      <c r="A504" t="s">
        <v>1150</v>
      </c>
      <c r="B504" t="s">
        <v>1151</v>
      </c>
      <c r="C504" t="s">
        <v>13</v>
      </c>
      <c r="D504" t="s">
        <v>5509</v>
      </c>
      <c r="E504" t="s">
        <v>15</v>
      </c>
      <c r="J504" s="1">
        <v>46067</v>
      </c>
      <c r="K504">
        <v>17</v>
      </c>
      <c r="L504" t="s">
        <v>5512</v>
      </c>
      <c r="M504">
        <v>13</v>
      </c>
      <c r="N504" t="str">
        <f>VLOOKUP(M504,[1]LOJA!$A:$B,2,0)</f>
        <v>CEILÂNDIA</v>
      </c>
      <c r="O504">
        <v>86</v>
      </c>
      <c r="P504" t="str">
        <f>VLOOKUP(O504,[1]OPERADORES!$A:$B,2,0)</f>
        <v>AMANDA</v>
      </c>
      <c r="Q504">
        <v>27</v>
      </c>
      <c r="R504">
        <v>1000018654</v>
      </c>
      <c r="S504" t="s">
        <v>780</v>
      </c>
      <c r="T504" s="1">
        <v>45947</v>
      </c>
      <c r="U504">
        <v>702.06</v>
      </c>
      <c r="V504">
        <v>702.06</v>
      </c>
    </row>
    <row r="505" spans="1:22" x14ac:dyDescent="0.3">
      <c r="A505" t="s">
        <v>1150</v>
      </c>
      <c r="B505" t="s">
        <v>1151</v>
      </c>
      <c r="C505" t="s">
        <v>13</v>
      </c>
      <c r="D505" t="s">
        <v>5509</v>
      </c>
      <c r="E505" t="s">
        <v>15</v>
      </c>
      <c r="J505" s="1">
        <v>46084</v>
      </c>
      <c r="K505">
        <v>0</v>
      </c>
      <c r="L505" t="s">
        <v>5513</v>
      </c>
      <c r="M505">
        <v>13</v>
      </c>
      <c r="N505" t="str">
        <f>VLOOKUP(M505,[1]LOJA!$A:$B,2,0)</f>
        <v>CEILÂNDIA</v>
      </c>
      <c r="O505">
        <v>86</v>
      </c>
      <c r="P505" t="str">
        <f>VLOOKUP(O505,[1]OPERADORES!$A:$B,2,0)</f>
        <v>AMANDA</v>
      </c>
      <c r="Q505">
        <v>7</v>
      </c>
      <c r="S505" t="s">
        <v>87</v>
      </c>
      <c r="T505" s="1">
        <v>46083</v>
      </c>
      <c r="U505">
        <v>134</v>
      </c>
      <c r="V505">
        <v>134</v>
      </c>
    </row>
    <row r="506" spans="1:22" x14ac:dyDescent="0.3">
      <c r="A506" t="s">
        <v>1150</v>
      </c>
      <c r="B506" t="s">
        <v>1151</v>
      </c>
      <c r="C506" t="s">
        <v>13</v>
      </c>
      <c r="D506" t="s">
        <v>5509</v>
      </c>
      <c r="E506" t="s">
        <v>15</v>
      </c>
      <c r="J506" s="1">
        <v>46084</v>
      </c>
      <c r="K506">
        <v>0</v>
      </c>
      <c r="L506" t="s">
        <v>5514</v>
      </c>
      <c r="M506">
        <v>13</v>
      </c>
      <c r="N506" t="str">
        <f>VLOOKUP(M506,[1]LOJA!$A:$B,2,0)</f>
        <v>CEILÂNDIA</v>
      </c>
      <c r="O506">
        <v>86</v>
      </c>
      <c r="P506" t="str">
        <f>VLOOKUP(O506,[1]OPERADORES!$A:$B,2,0)</f>
        <v>AMANDA</v>
      </c>
      <c r="Q506">
        <v>7</v>
      </c>
      <c r="S506" t="s">
        <v>87</v>
      </c>
      <c r="T506" s="1">
        <v>46083</v>
      </c>
      <c r="U506">
        <v>849.8</v>
      </c>
      <c r="V506">
        <v>849.8</v>
      </c>
    </row>
    <row r="507" spans="1:22" x14ac:dyDescent="0.3">
      <c r="A507" t="s">
        <v>1150</v>
      </c>
      <c r="B507" t="s">
        <v>1151</v>
      </c>
      <c r="C507" t="s">
        <v>13</v>
      </c>
      <c r="D507" t="s">
        <v>5509</v>
      </c>
      <c r="E507" t="s">
        <v>15</v>
      </c>
      <c r="J507" s="1">
        <v>46084</v>
      </c>
      <c r="K507">
        <v>0</v>
      </c>
      <c r="L507" t="s">
        <v>5515</v>
      </c>
      <c r="M507">
        <v>13</v>
      </c>
      <c r="N507" t="str">
        <f>VLOOKUP(M507,[1]LOJA!$A:$B,2,0)</f>
        <v>CEILÂNDIA</v>
      </c>
      <c r="O507">
        <v>67</v>
      </c>
      <c r="P507" t="str">
        <f>VLOOKUP(O507,[1]OPERADORES!$A:$B,2,0)</f>
        <v>ERIKA</v>
      </c>
      <c r="Q507">
        <v>10</v>
      </c>
      <c r="S507" t="s">
        <v>110</v>
      </c>
      <c r="T507" s="1">
        <v>46084</v>
      </c>
      <c r="U507">
        <v>-311</v>
      </c>
      <c r="V507">
        <v>-311</v>
      </c>
    </row>
    <row r="508" spans="1:22" x14ac:dyDescent="0.3">
      <c r="A508" t="s">
        <v>5516</v>
      </c>
      <c r="B508" t="s">
        <v>5517</v>
      </c>
      <c r="C508" t="s">
        <v>13</v>
      </c>
      <c r="D508" t="s">
        <v>5518</v>
      </c>
      <c r="E508" t="s">
        <v>15</v>
      </c>
      <c r="J508" s="1">
        <v>46076</v>
      </c>
      <c r="K508">
        <v>8</v>
      </c>
      <c r="L508" t="s">
        <v>5519</v>
      </c>
      <c r="M508">
        <v>6</v>
      </c>
      <c r="N508" t="str">
        <f>VLOOKUP(M508,[1]LOJA!$A:$B,2,0)</f>
        <v>GAMA</v>
      </c>
      <c r="O508">
        <v>246</v>
      </c>
      <c r="P508" t="str">
        <f>VLOOKUP(O508,[1]OPERADORES!$A:$B,2,0)</f>
        <v>VITORIA APARECIDA</v>
      </c>
      <c r="Q508">
        <v>4</v>
      </c>
      <c r="S508" t="s">
        <v>5520</v>
      </c>
      <c r="T508" s="1">
        <v>46076</v>
      </c>
      <c r="U508">
        <v>-78.98</v>
      </c>
      <c r="V508">
        <v>-78.98</v>
      </c>
    </row>
    <row r="509" spans="1:22" x14ac:dyDescent="0.3">
      <c r="A509" t="s">
        <v>1181</v>
      </c>
      <c r="B509" t="s">
        <v>1182</v>
      </c>
      <c r="C509" t="s">
        <v>1183</v>
      </c>
      <c r="D509" t="s">
        <v>1184</v>
      </c>
      <c r="E509" t="s">
        <v>15</v>
      </c>
      <c r="J509" s="1">
        <v>44531</v>
      </c>
      <c r="K509">
        <v>1553</v>
      </c>
      <c r="L509" t="s">
        <v>1185</v>
      </c>
      <c r="M509">
        <v>12</v>
      </c>
      <c r="N509" t="str">
        <f>VLOOKUP(M509,[1]LOJA!$A:$B,2,0)</f>
        <v>SOFNORTE</v>
      </c>
      <c r="O509">
        <v>127</v>
      </c>
      <c r="P509" t="str">
        <f>VLOOKUP(O509,[1]OPERADORES!$A:$B,2,0)</f>
        <v>KARLA CRISTYNA ALVES FIGUEIRED</v>
      </c>
      <c r="Q509">
        <v>7</v>
      </c>
      <c r="S509" t="s">
        <v>1186</v>
      </c>
      <c r="T509" s="1">
        <v>44530</v>
      </c>
      <c r="U509">
        <v>408.16</v>
      </c>
      <c r="V509">
        <v>408.16</v>
      </c>
    </row>
    <row r="510" spans="1:22" x14ac:dyDescent="0.3">
      <c r="A510" t="s">
        <v>1181</v>
      </c>
      <c r="B510" t="s">
        <v>1182</v>
      </c>
      <c r="C510" t="s">
        <v>1183</v>
      </c>
      <c r="D510" t="s">
        <v>1184</v>
      </c>
      <c r="E510" t="s">
        <v>15</v>
      </c>
      <c r="J510" s="1">
        <v>46008</v>
      </c>
      <c r="K510">
        <v>76</v>
      </c>
      <c r="L510" t="s">
        <v>1187</v>
      </c>
      <c r="M510">
        <v>12</v>
      </c>
      <c r="N510" t="str">
        <f>VLOOKUP(M510,[1]LOJA!$A:$B,2,0)</f>
        <v>SOFNORTE</v>
      </c>
      <c r="O510">
        <v>209</v>
      </c>
      <c r="P510" t="str">
        <f>VLOOKUP(O510,[1]OPERADORES!$A:$B,2,0)</f>
        <v>MARIA WITHALINA CUNHA DE SOUZA</v>
      </c>
      <c r="Q510">
        <v>4</v>
      </c>
      <c r="S510" t="s">
        <v>1188</v>
      </c>
      <c r="T510" s="1">
        <v>46008</v>
      </c>
      <c r="U510">
        <v>-0.38</v>
      </c>
      <c r="V510">
        <v>-0.38</v>
      </c>
    </row>
    <row r="511" spans="1:22" x14ac:dyDescent="0.3">
      <c r="A511" t="s">
        <v>1181</v>
      </c>
      <c r="B511" t="s">
        <v>1182</v>
      </c>
      <c r="C511" t="s">
        <v>1183</v>
      </c>
      <c r="D511" t="s">
        <v>1184</v>
      </c>
      <c r="E511" t="s">
        <v>15</v>
      </c>
      <c r="J511" s="1">
        <v>46008</v>
      </c>
      <c r="K511">
        <v>76</v>
      </c>
      <c r="L511" t="s">
        <v>1189</v>
      </c>
      <c r="M511">
        <v>12</v>
      </c>
      <c r="N511" t="str">
        <f>VLOOKUP(M511,[1]LOJA!$A:$B,2,0)</f>
        <v>SOFNORTE</v>
      </c>
      <c r="O511">
        <v>209</v>
      </c>
      <c r="P511" t="str">
        <f>VLOOKUP(O511,[1]OPERADORES!$A:$B,2,0)</f>
        <v>MARIA WITHALINA CUNHA DE SOUZA</v>
      </c>
      <c r="Q511">
        <v>4</v>
      </c>
      <c r="S511" t="s">
        <v>1190</v>
      </c>
      <c r="T511" s="1">
        <v>46008</v>
      </c>
      <c r="U511">
        <v>-1</v>
      </c>
      <c r="V511">
        <v>-1</v>
      </c>
    </row>
    <row r="512" spans="1:22" x14ac:dyDescent="0.3">
      <c r="A512" t="s">
        <v>1181</v>
      </c>
      <c r="B512" t="s">
        <v>1182</v>
      </c>
      <c r="C512" t="s">
        <v>1183</v>
      </c>
      <c r="D512" t="s">
        <v>1184</v>
      </c>
      <c r="E512" t="s">
        <v>15</v>
      </c>
      <c r="J512" s="1">
        <v>46031</v>
      </c>
      <c r="K512">
        <v>53</v>
      </c>
      <c r="L512" t="s">
        <v>1191</v>
      </c>
      <c r="M512">
        <v>12</v>
      </c>
      <c r="N512" t="str">
        <f>VLOOKUP(M512,[1]LOJA!$A:$B,2,0)</f>
        <v>SOFNORTE</v>
      </c>
      <c r="O512">
        <v>209</v>
      </c>
      <c r="P512" t="str">
        <f>VLOOKUP(O512,[1]OPERADORES!$A:$B,2,0)</f>
        <v>MARIA WITHALINA CUNHA DE SOUZA</v>
      </c>
      <c r="Q512">
        <v>4</v>
      </c>
      <c r="S512" t="s">
        <v>1192</v>
      </c>
      <c r="T512" s="1">
        <v>46031</v>
      </c>
      <c r="U512">
        <v>-0.1</v>
      </c>
      <c r="V512">
        <v>-0.1</v>
      </c>
    </row>
    <row r="513" spans="1:22" x14ac:dyDescent="0.3">
      <c r="A513" t="s">
        <v>5521</v>
      </c>
      <c r="B513" t="s">
        <v>5522</v>
      </c>
      <c r="C513" t="s">
        <v>848</v>
      </c>
      <c r="D513" t="s">
        <v>5523</v>
      </c>
      <c r="E513" t="s">
        <v>15</v>
      </c>
      <c r="J513" s="1">
        <v>46073</v>
      </c>
      <c r="K513">
        <v>11</v>
      </c>
      <c r="L513" t="s">
        <v>5524</v>
      </c>
      <c r="M513">
        <v>14</v>
      </c>
      <c r="N513" t="str">
        <f>VLOOKUP(M513,[1]LOJA!$A:$B,2,0)</f>
        <v>S IA</v>
      </c>
      <c r="O513">
        <v>20</v>
      </c>
      <c r="P513" t="str">
        <f>VLOOKUP(O513,[1]OPERADORES!$A:$B,2,0)</f>
        <v>MAYARA</v>
      </c>
      <c r="Q513">
        <v>12</v>
      </c>
      <c r="S513" t="s">
        <v>5525</v>
      </c>
      <c r="T513" s="1">
        <v>46056</v>
      </c>
      <c r="U513" s="2">
        <v>1673.23</v>
      </c>
      <c r="V513" s="2">
        <v>1673.23</v>
      </c>
    </row>
    <row r="514" spans="1:22" x14ac:dyDescent="0.3">
      <c r="A514" t="s">
        <v>1193</v>
      </c>
      <c r="B514" t="s">
        <v>1194</v>
      </c>
      <c r="C514" t="s">
        <v>13</v>
      </c>
      <c r="D514" t="s">
        <v>1195</v>
      </c>
      <c r="E514" t="s">
        <v>15</v>
      </c>
      <c r="J514" s="1">
        <v>45565</v>
      </c>
      <c r="K514">
        <v>519</v>
      </c>
      <c r="L514" t="s">
        <v>1196</v>
      </c>
      <c r="M514">
        <v>12</v>
      </c>
      <c r="N514" t="str">
        <f>VLOOKUP(M514,[1]LOJA!$A:$B,2,0)</f>
        <v>SOFNORTE</v>
      </c>
      <c r="O514">
        <v>209</v>
      </c>
      <c r="P514" t="str">
        <f>VLOOKUP(O514,[1]OPERADORES!$A:$B,2,0)</f>
        <v>MARIA WITHALINA CUNHA DE SOUZA</v>
      </c>
      <c r="Q514">
        <v>4</v>
      </c>
      <c r="S514" t="s">
        <v>1197</v>
      </c>
      <c r="T514" s="1">
        <v>45565</v>
      </c>
      <c r="U514">
        <v>-0.53</v>
      </c>
      <c r="V514">
        <v>-0.53</v>
      </c>
    </row>
    <row r="515" spans="1:22" x14ac:dyDescent="0.3">
      <c r="A515" t="s">
        <v>1193</v>
      </c>
      <c r="B515" t="s">
        <v>1194</v>
      </c>
      <c r="C515" t="s">
        <v>13</v>
      </c>
      <c r="D515" t="s">
        <v>1195</v>
      </c>
      <c r="E515" t="s">
        <v>15</v>
      </c>
      <c r="J515" s="1">
        <v>45576</v>
      </c>
      <c r="K515">
        <v>508</v>
      </c>
      <c r="L515" t="s">
        <v>1198</v>
      </c>
      <c r="M515">
        <v>12</v>
      </c>
      <c r="N515" t="str">
        <f>VLOOKUP(M515,[1]LOJA!$A:$B,2,0)</f>
        <v>SOFNORTE</v>
      </c>
      <c r="O515">
        <v>209</v>
      </c>
      <c r="P515" t="str">
        <f>VLOOKUP(O515,[1]OPERADORES!$A:$B,2,0)</f>
        <v>MARIA WITHALINA CUNHA DE SOUZA</v>
      </c>
      <c r="Q515">
        <v>4</v>
      </c>
      <c r="S515" t="s">
        <v>1199</v>
      </c>
      <c r="T515" s="1">
        <v>45576</v>
      </c>
      <c r="U515">
        <v>-1.03</v>
      </c>
      <c r="V515">
        <v>-1.03</v>
      </c>
    </row>
    <row r="516" spans="1:22" x14ac:dyDescent="0.3">
      <c r="A516" t="s">
        <v>1193</v>
      </c>
      <c r="B516" t="s">
        <v>1194</v>
      </c>
      <c r="C516" t="s">
        <v>13</v>
      </c>
      <c r="D516" t="s">
        <v>1195</v>
      </c>
      <c r="E516" t="s">
        <v>15</v>
      </c>
      <c r="J516" s="1">
        <v>45590</v>
      </c>
      <c r="K516">
        <v>494</v>
      </c>
      <c r="L516" t="s">
        <v>1200</v>
      </c>
      <c r="M516">
        <v>12</v>
      </c>
      <c r="N516" t="str">
        <f>VLOOKUP(M516,[1]LOJA!$A:$B,2,0)</f>
        <v>SOFNORTE</v>
      </c>
      <c r="O516">
        <v>209</v>
      </c>
      <c r="P516" t="str">
        <f>VLOOKUP(O516,[1]OPERADORES!$A:$B,2,0)</f>
        <v>MARIA WITHALINA CUNHA DE SOUZA</v>
      </c>
      <c r="Q516">
        <v>4</v>
      </c>
      <c r="S516" t="s">
        <v>1201</v>
      </c>
      <c r="T516" s="1">
        <v>45590</v>
      </c>
      <c r="U516">
        <v>-0.4</v>
      </c>
      <c r="V516">
        <v>-0.4</v>
      </c>
    </row>
    <row r="517" spans="1:22" x14ac:dyDescent="0.3">
      <c r="A517" t="s">
        <v>1193</v>
      </c>
      <c r="B517" t="s">
        <v>1194</v>
      </c>
      <c r="C517" t="s">
        <v>13</v>
      </c>
      <c r="D517" t="s">
        <v>1195</v>
      </c>
      <c r="E517" t="s">
        <v>15</v>
      </c>
      <c r="J517" s="1">
        <v>45736</v>
      </c>
      <c r="K517">
        <v>348</v>
      </c>
      <c r="L517" t="s">
        <v>1202</v>
      </c>
      <c r="M517">
        <v>12</v>
      </c>
      <c r="N517" t="str">
        <f>VLOOKUP(M517,[1]LOJA!$A:$B,2,0)</f>
        <v>SOFNORTE</v>
      </c>
      <c r="O517">
        <v>209</v>
      </c>
      <c r="P517" t="str">
        <f>VLOOKUP(O517,[1]OPERADORES!$A:$B,2,0)</f>
        <v>MARIA WITHALINA CUNHA DE SOUZA</v>
      </c>
      <c r="Q517">
        <v>4</v>
      </c>
      <c r="S517" t="s">
        <v>1203</v>
      </c>
      <c r="T517" s="1">
        <v>45736</v>
      </c>
      <c r="U517">
        <v>-0.12</v>
      </c>
      <c r="V517">
        <v>-0.12</v>
      </c>
    </row>
    <row r="518" spans="1:22" x14ac:dyDescent="0.3">
      <c r="A518" t="s">
        <v>1204</v>
      </c>
      <c r="B518" t="s">
        <v>1205</v>
      </c>
      <c r="C518" t="s">
        <v>226</v>
      </c>
      <c r="D518" t="s">
        <v>1206</v>
      </c>
      <c r="E518" t="s">
        <v>15</v>
      </c>
      <c r="J518" s="1">
        <v>45707</v>
      </c>
      <c r="K518">
        <v>377</v>
      </c>
      <c r="L518" t="s">
        <v>1207</v>
      </c>
      <c r="M518">
        <v>9</v>
      </c>
      <c r="N518" t="str">
        <f>VLOOKUP(M518,[1]LOJA!$A:$B,2,0)</f>
        <v>ÚNICA</v>
      </c>
      <c r="O518">
        <v>231</v>
      </c>
      <c r="P518" t="str">
        <f>VLOOKUP(O518,[1]OPERADORES!$A:$B,2,0)</f>
        <v>EDIJANE</v>
      </c>
      <c r="Q518">
        <v>23</v>
      </c>
      <c r="R518">
        <v>125272</v>
      </c>
      <c r="S518" t="s">
        <v>55</v>
      </c>
      <c r="T518" s="1">
        <v>45617</v>
      </c>
      <c r="U518">
        <v>565.99</v>
      </c>
      <c r="V518">
        <v>565.99</v>
      </c>
    </row>
    <row r="519" spans="1:22" x14ac:dyDescent="0.3">
      <c r="A519" t="s">
        <v>1208</v>
      </c>
      <c r="B519" t="s">
        <v>1209</v>
      </c>
      <c r="C519" t="s">
        <v>13</v>
      </c>
      <c r="D519" t="s">
        <v>1210</v>
      </c>
      <c r="E519" t="s">
        <v>15</v>
      </c>
      <c r="J519" s="1">
        <v>45540</v>
      </c>
      <c r="K519">
        <v>544</v>
      </c>
      <c r="L519" t="s">
        <v>1211</v>
      </c>
      <c r="M519">
        <v>22</v>
      </c>
      <c r="N519" t="str">
        <f>VLOOKUP(M519,[1]LOJA!$A:$B,2,0)</f>
        <v>GUARÁ</v>
      </c>
      <c r="O519">
        <v>93</v>
      </c>
      <c r="P519" t="str">
        <f>VLOOKUP(O519,[1]OPERADORES!$A:$B,2,0)</f>
        <v>PATRICIA</v>
      </c>
      <c r="Q519">
        <v>4</v>
      </c>
      <c r="S519" t="s">
        <v>1212</v>
      </c>
      <c r="T519" s="1">
        <v>45540</v>
      </c>
      <c r="U519">
        <v>-97.15</v>
      </c>
      <c r="V519">
        <v>-97.15</v>
      </c>
    </row>
    <row r="520" spans="1:22" x14ac:dyDescent="0.3">
      <c r="A520" t="s">
        <v>1213</v>
      </c>
      <c r="B520" t="s">
        <v>32</v>
      </c>
      <c r="C520" t="s">
        <v>13</v>
      </c>
      <c r="D520" t="s">
        <v>1214</v>
      </c>
      <c r="E520" t="s">
        <v>15</v>
      </c>
      <c r="J520" s="1">
        <v>45568</v>
      </c>
      <c r="K520">
        <v>516</v>
      </c>
      <c r="L520" t="s">
        <v>1215</v>
      </c>
      <c r="M520">
        <v>16</v>
      </c>
      <c r="N520" t="str">
        <f>VLOOKUP(M520,[1]LOJA!$A:$B,2,0)</f>
        <v>AG LINDAS</v>
      </c>
      <c r="O520">
        <v>107</v>
      </c>
      <c r="P520" t="str">
        <f>VLOOKUP(O520,[1]OPERADORES!$A:$B,2,0)</f>
        <v>DAIANA PORTELA</v>
      </c>
      <c r="Q520">
        <v>7</v>
      </c>
      <c r="S520" t="s">
        <v>1216</v>
      </c>
      <c r="T520" s="1">
        <v>45568</v>
      </c>
      <c r="U520">
        <v>-6.1</v>
      </c>
      <c r="V520">
        <v>-6.1</v>
      </c>
    </row>
    <row r="521" spans="1:22" x14ac:dyDescent="0.3">
      <c r="A521" t="s">
        <v>1217</v>
      </c>
      <c r="B521" t="s">
        <v>1218</v>
      </c>
      <c r="C521" t="s">
        <v>13</v>
      </c>
      <c r="D521" t="s">
        <v>1219</v>
      </c>
      <c r="E521" t="s">
        <v>15</v>
      </c>
      <c r="J521" s="1">
        <v>45836</v>
      </c>
      <c r="K521">
        <v>248</v>
      </c>
      <c r="L521" t="s">
        <v>1220</v>
      </c>
      <c r="M521">
        <v>12</v>
      </c>
      <c r="N521" t="str">
        <f>VLOOKUP(M521,[1]LOJA!$A:$B,2,0)</f>
        <v>SOFNORTE</v>
      </c>
      <c r="O521">
        <v>209</v>
      </c>
      <c r="P521" t="str">
        <f>VLOOKUP(O521,[1]OPERADORES!$A:$B,2,0)</f>
        <v>MARIA WITHALINA CUNHA DE SOUZA</v>
      </c>
      <c r="Q521">
        <v>4</v>
      </c>
      <c r="S521" t="s">
        <v>1221</v>
      </c>
      <c r="T521" s="1">
        <v>45833</v>
      </c>
      <c r="U521">
        <v>-0.7</v>
      </c>
      <c r="V521">
        <v>-0.7</v>
      </c>
    </row>
    <row r="522" spans="1:22" x14ac:dyDescent="0.3">
      <c r="A522" t="s">
        <v>1222</v>
      </c>
      <c r="B522" t="s">
        <v>1223</v>
      </c>
      <c r="C522" t="s">
        <v>13</v>
      </c>
      <c r="D522" t="s">
        <v>1224</v>
      </c>
      <c r="E522" t="s">
        <v>15</v>
      </c>
      <c r="J522" s="1">
        <v>45835</v>
      </c>
      <c r="K522">
        <v>249</v>
      </c>
      <c r="L522" t="s">
        <v>1225</v>
      </c>
      <c r="M522">
        <v>8</v>
      </c>
      <c r="N522" t="str">
        <f>VLOOKUP(M522,[1]LOJA!$A:$B,2,0)</f>
        <v>LUZIÂNIA</v>
      </c>
      <c r="O522">
        <v>170</v>
      </c>
      <c r="P522" t="str">
        <f>VLOOKUP(O522,[1]OPERADORES!$A:$B,2,0)</f>
        <v>MARIA LUISA</v>
      </c>
      <c r="Q522">
        <v>4</v>
      </c>
      <c r="S522" t="s">
        <v>1226</v>
      </c>
      <c r="T522" s="1">
        <v>45835</v>
      </c>
      <c r="U522">
        <v>-10.98</v>
      </c>
      <c r="V522">
        <v>-10.98</v>
      </c>
    </row>
    <row r="523" spans="1:22" x14ac:dyDescent="0.3">
      <c r="A523" t="s">
        <v>1227</v>
      </c>
      <c r="B523" t="s">
        <v>32</v>
      </c>
      <c r="C523" t="s">
        <v>13</v>
      </c>
      <c r="D523" t="s">
        <v>1228</v>
      </c>
      <c r="E523" t="s">
        <v>15</v>
      </c>
      <c r="J523" s="1">
        <v>44616</v>
      </c>
      <c r="K523">
        <v>1468</v>
      </c>
      <c r="L523" t="s">
        <v>1229</v>
      </c>
      <c r="M523">
        <v>12</v>
      </c>
      <c r="N523" t="str">
        <f>VLOOKUP(M523,[1]LOJA!$A:$B,2,0)</f>
        <v>SOFNORTE</v>
      </c>
      <c r="O523">
        <v>65</v>
      </c>
      <c r="P523" t="str">
        <f>VLOOKUP(O523,[1]OPERADORES!$A:$B,2,0)</f>
        <v>MICHAEL ALVES FERNANDES</v>
      </c>
      <c r="Q523">
        <v>7</v>
      </c>
      <c r="S523" t="s">
        <v>87</v>
      </c>
      <c r="T523" s="1">
        <v>44615</v>
      </c>
      <c r="U523">
        <v>914.86</v>
      </c>
      <c r="V523">
        <v>914.86</v>
      </c>
    </row>
    <row r="524" spans="1:22" x14ac:dyDescent="0.3">
      <c r="A524" t="s">
        <v>1230</v>
      </c>
      <c r="B524" t="s">
        <v>32</v>
      </c>
      <c r="C524" t="s">
        <v>13</v>
      </c>
      <c r="D524" t="s">
        <v>5526</v>
      </c>
      <c r="E524" t="s">
        <v>15</v>
      </c>
      <c r="J524" s="1">
        <v>46084</v>
      </c>
      <c r="K524">
        <v>0</v>
      </c>
      <c r="L524" t="s">
        <v>451</v>
      </c>
      <c r="M524">
        <v>24</v>
      </c>
      <c r="N524" t="str">
        <f>VLOOKUP(M524,[1]LOJA!$A:$B,2,0)</f>
        <v>LUZIÂNIA</v>
      </c>
      <c r="O524">
        <v>170</v>
      </c>
      <c r="P524" t="str">
        <f>VLOOKUP(O524,[1]OPERADORES!$A:$B,2,0)</f>
        <v>MARIA LUISA</v>
      </c>
      <c r="Q524">
        <v>4</v>
      </c>
      <c r="S524" t="s">
        <v>5527</v>
      </c>
      <c r="T524" s="1">
        <v>46084</v>
      </c>
      <c r="U524">
        <v>-2.0499999999999998</v>
      </c>
      <c r="V524">
        <v>-2.0499999999999998</v>
      </c>
    </row>
    <row r="525" spans="1:22" x14ac:dyDescent="0.3">
      <c r="A525" t="s">
        <v>1231</v>
      </c>
      <c r="B525" t="s">
        <v>1232</v>
      </c>
      <c r="C525" t="s">
        <v>13</v>
      </c>
      <c r="D525" t="s">
        <v>1233</v>
      </c>
      <c r="E525" t="s">
        <v>15</v>
      </c>
      <c r="J525" s="1">
        <v>44848</v>
      </c>
      <c r="K525">
        <v>1236</v>
      </c>
      <c r="L525" t="s">
        <v>1234</v>
      </c>
      <c r="M525">
        <v>13</v>
      </c>
      <c r="N525" t="str">
        <f>VLOOKUP(M525,[1]LOJA!$A:$B,2,0)</f>
        <v>CEILÂNDIA</v>
      </c>
      <c r="O525">
        <v>185</v>
      </c>
      <c r="P525" t="str">
        <f>VLOOKUP(O525,[1]OPERADORES!$A:$B,2,0)</f>
        <v>FELIPE OLIVEIRA PONTE</v>
      </c>
      <c r="Q525">
        <v>4</v>
      </c>
      <c r="S525" t="s">
        <v>1235</v>
      </c>
      <c r="T525" s="1">
        <v>44848</v>
      </c>
      <c r="U525">
        <v>-14.09</v>
      </c>
      <c r="V525">
        <v>-14.09</v>
      </c>
    </row>
    <row r="526" spans="1:22" x14ac:dyDescent="0.3">
      <c r="A526" t="s">
        <v>1236</v>
      </c>
      <c r="B526" t="s">
        <v>1237</v>
      </c>
      <c r="C526" t="s">
        <v>1238</v>
      </c>
      <c r="D526" t="s">
        <v>5528</v>
      </c>
      <c r="E526" t="s">
        <v>15</v>
      </c>
      <c r="J526" s="1">
        <v>45641</v>
      </c>
      <c r="K526">
        <v>443</v>
      </c>
      <c r="L526" t="s">
        <v>1239</v>
      </c>
      <c r="M526">
        <v>8</v>
      </c>
      <c r="N526" t="str">
        <f>VLOOKUP(M526,[1]LOJA!$A:$B,2,0)</f>
        <v>LUZIÂNIA</v>
      </c>
      <c r="O526">
        <v>20</v>
      </c>
      <c r="P526" t="str">
        <f>VLOOKUP(O526,[1]OPERADORES!$A:$B,2,0)</f>
        <v>MAYARA</v>
      </c>
      <c r="Q526">
        <v>12</v>
      </c>
      <c r="S526" t="s">
        <v>1240</v>
      </c>
      <c r="T526" s="1">
        <v>45632</v>
      </c>
      <c r="U526">
        <v>721.97</v>
      </c>
      <c r="V526">
        <v>721.97</v>
      </c>
    </row>
    <row r="527" spans="1:22" x14ac:dyDescent="0.3">
      <c r="A527" t="s">
        <v>1236</v>
      </c>
      <c r="B527" t="s">
        <v>1237</v>
      </c>
      <c r="C527" t="s">
        <v>1238</v>
      </c>
      <c r="D527" t="s">
        <v>5528</v>
      </c>
      <c r="E527" t="s">
        <v>15</v>
      </c>
      <c r="J527" s="1">
        <v>45677</v>
      </c>
      <c r="K527">
        <v>407</v>
      </c>
      <c r="L527" t="s">
        <v>1241</v>
      </c>
      <c r="M527">
        <v>8</v>
      </c>
      <c r="N527" t="str">
        <f>VLOOKUP(M527,[1]LOJA!$A:$B,2,0)</f>
        <v>LUZIÂNIA</v>
      </c>
      <c r="O527">
        <v>20</v>
      </c>
      <c r="P527" t="str">
        <f>VLOOKUP(O527,[1]OPERADORES!$A:$B,2,0)</f>
        <v>MAYARA</v>
      </c>
      <c r="Q527">
        <v>12</v>
      </c>
      <c r="S527" t="s">
        <v>1242</v>
      </c>
      <c r="T527" s="1">
        <v>45660</v>
      </c>
      <c r="U527" s="2">
        <v>3049.45</v>
      </c>
      <c r="V527" s="2">
        <v>3049.45</v>
      </c>
    </row>
    <row r="528" spans="1:22" x14ac:dyDescent="0.3">
      <c r="A528" t="s">
        <v>1236</v>
      </c>
      <c r="B528" t="s">
        <v>1237</v>
      </c>
      <c r="C528" t="s">
        <v>1238</v>
      </c>
      <c r="D528" t="s">
        <v>5528</v>
      </c>
      <c r="E528" t="s">
        <v>15</v>
      </c>
      <c r="J528" s="1">
        <v>45772</v>
      </c>
      <c r="K528">
        <v>312</v>
      </c>
      <c r="L528" t="s">
        <v>1243</v>
      </c>
      <c r="M528">
        <v>8</v>
      </c>
      <c r="N528" t="str">
        <f>VLOOKUP(M528,[1]LOJA!$A:$B,2,0)</f>
        <v>LUZIÂNIA</v>
      </c>
      <c r="O528">
        <v>20</v>
      </c>
      <c r="P528" t="str">
        <f>VLOOKUP(O528,[1]OPERADORES!$A:$B,2,0)</f>
        <v>MAYARA</v>
      </c>
      <c r="Q528">
        <v>12</v>
      </c>
      <c r="S528" t="s">
        <v>1244</v>
      </c>
      <c r="T528" s="1">
        <v>45756</v>
      </c>
      <c r="U528">
        <v>913.93</v>
      </c>
      <c r="V528">
        <v>913.93</v>
      </c>
    </row>
    <row r="529" spans="1:22" x14ac:dyDescent="0.3">
      <c r="A529" t="s">
        <v>1236</v>
      </c>
      <c r="B529" t="s">
        <v>1237</v>
      </c>
      <c r="C529" t="s">
        <v>1238</v>
      </c>
      <c r="D529" t="s">
        <v>5528</v>
      </c>
      <c r="E529" t="s">
        <v>15</v>
      </c>
      <c r="J529" s="1">
        <v>45797</v>
      </c>
      <c r="K529">
        <v>287</v>
      </c>
      <c r="L529" t="s">
        <v>1245</v>
      </c>
      <c r="M529">
        <v>8</v>
      </c>
      <c r="N529" t="str">
        <f>VLOOKUP(M529,[1]LOJA!$A:$B,2,0)</f>
        <v>LUZIÂNIA</v>
      </c>
      <c r="O529">
        <v>20</v>
      </c>
      <c r="P529" t="str">
        <f>VLOOKUP(O529,[1]OPERADORES!$A:$B,2,0)</f>
        <v>MAYARA</v>
      </c>
      <c r="Q529">
        <v>12</v>
      </c>
      <c r="S529" t="s">
        <v>1246</v>
      </c>
      <c r="T529" s="1">
        <v>45784</v>
      </c>
      <c r="U529">
        <v>667.4</v>
      </c>
      <c r="V529">
        <v>667.4</v>
      </c>
    </row>
    <row r="530" spans="1:22" x14ac:dyDescent="0.3">
      <c r="A530" t="s">
        <v>1247</v>
      </c>
      <c r="B530" t="s">
        <v>1248</v>
      </c>
      <c r="C530" t="s">
        <v>226</v>
      </c>
      <c r="D530" t="s">
        <v>1249</v>
      </c>
      <c r="E530" t="s">
        <v>15</v>
      </c>
      <c r="J530" s="1">
        <v>45838</v>
      </c>
      <c r="K530">
        <v>246</v>
      </c>
      <c r="L530" t="s">
        <v>1250</v>
      </c>
      <c r="M530">
        <v>8</v>
      </c>
      <c r="N530" t="str">
        <f>VLOOKUP(M530,[1]LOJA!$A:$B,2,0)</f>
        <v>LUZIÂNIA</v>
      </c>
      <c r="O530">
        <v>170</v>
      </c>
      <c r="P530" t="str">
        <f>VLOOKUP(O530,[1]OPERADORES!$A:$B,2,0)</f>
        <v>MARIA LUISA</v>
      </c>
      <c r="Q530">
        <v>4</v>
      </c>
      <c r="S530" t="s">
        <v>1251</v>
      </c>
      <c r="T530" s="1">
        <v>45838</v>
      </c>
      <c r="U530">
        <v>-11.49</v>
      </c>
      <c r="V530">
        <v>-11.49</v>
      </c>
    </row>
    <row r="531" spans="1:22" x14ac:dyDescent="0.3">
      <c r="A531" t="s">
        <v>1247</v>
      </c>
      <c r="B531" t="s">
        <v>1248</v>
      </c>
      <c r="C531" t="s">
        <v>226</v>
      </c>
      <c r="D531" t="s">
        <v>1249</v>
      </c>
      <c r="E531" t="s">
        <v>15</v>
      </c>
      <c r="J531" s="1">
        <v>46042</v>
      </c>
      <c r="K531">
        <v>42</v>
      </c>
      <c r="L531" t="s">
        <v>1252</v>
      </c>
      <c r="M531">
        <v>24</v>
      </c>
      <c r="N531" t="str">
        <f>VLOOKUP(M531,[1]LOJA!$A:$B,2,0)</f>
        <v>LUZIÂNIA</v>
      </c>
      <c r="O531">
        <v>20</v>
      </c>
      <c r="P531" t="str">
        <f>VLOOKUP(O531,[1]OPERADORES!$A:$B,2,0)</f>
        <v>MAYARA</v>
      </c>
      <c r="Q531">
        <v>12</v>
      </c>
      <c r="S531" t="s">
        <v>1253</v>
      </c>
      <c r="T531" s="1">
        <v>46029</v>
      </c>
      <c r="U531">
        <v>382.96</v>
      </c>
      <c r="V531">
        <v>382.96</v>
      </c>
    </row>
    <row r="532" spans="1:22" x14ac:dyDescent="0.3">
      <c r="A532" t="s">
        <v>1254</v>
      </c>
      <c r="B532" t="s">
        <v>32</v>
      </c>
      <c r="C532" t="s">
        <v>13</v>
      </c>
      <c r="D532" t="s">
        <v>1255</v>
      </c>
      <c r="E532" t="s">
        <v>15</v>
      </c>
      <c r="J532" s="1">
        <v>45906</v>
      </c>
      <c r="K532">
        <v>178</v>
      </c>
      <c r="L532" t="s">
        <v>1256</v>
      </c>
      <c r="M532">
        <v>24</v>
      </c>
      <c r="N532" t="str">
        <f>VLOOKUP(M532,[1]LOJA!$A:$B,2,0)</f>
        <v>LUZIÂNIA</v>
      </c>
      <c r="O532">
        <v>192</v>
      </c>
      <c r="P532" t="str">
        <f>VLOOKUP(O532,[1]OPERADORES!$A:$B,2,0)</f>
        <v>CIDA</v>
      </c>
      <c r="Q532">
        <v>4</v>
      </c>
      <c r="S532" t="s">
        <v>1257</v>
      </c>
      <c r="T532" s="1">
        <v>45906</v>
      </c>
      <c r="U532">
        <v>-0.95</v>
      </c>
      <c r="V532">
        <v>-0.95</v>
      </c>
    </row>
    <row r="533" spans="1:22" x14ac:dyDescent="0.3">
      <c r="A533" t="s">
        <v>1254</v>
      </c>
      <c r="B533" t="s">
        <v>32</v>
      </c>
      <c r="C533" t="s">
        <v>13</v>
      </c>
      <c r="D533" t="s">
        <v>1255</v>
      </c>
      <c r="E533" t="s">
        <v>15</v>
      </c>
      <c r="J533" s="1">
        <v>45988</v>
      </c>
      <c r="K533">
        <v>96</v>
      </c>
      <c r="L533" t="s">
        <v>1258</v>
      </c>
      <c r="M533">
        <v>24</v>
      </c>
      <c r="N533" t="str">
        <f>VLOOKUP(M533,[1]LOJA!$A:$B,2,0)</f>
        <v>LUZIÂNIA</v>
      </c>
      <c r="O533">
        <v>244</v>
      </c>
      <c r="P533" t="str">
        <f>VLOOKUP(O533,[1]OPERADORES!$A:$B,2,0)</f>
        <v>NATHALIA PEREIRA DA SILVA</v>
      </c>
      <c r="Q533">
        <v>4</v>
      </c>
      <c r="S533" t="s">
        <v>1259</v>
      </c>
      <c r="T533" s="1">
        <v>45988</v>
      </c>
      <c r="U533">
        <v>-0.05</v>
      </c>
      <c r="V533">
        <v>-0.05</v>
      </c>
    </row>
    <row r="534" spans="1:22" x14ac:dyDescent="0.3">
      <c r="A534" t="s">
        <v>1254</v>
      </c>
      <c r="B534" t="s">
        <v>32</v>
      </c>
      <c r="C534" t="s">
        <v>13</v>
      </c>
      <c r="D534" t="s">
        <v>1255</v>
      </c>
      <c r="E534" t="s">
        <v>15</v>
      </c>
      <c r="J534" s="1">
        <v>46022</v>
      </c>
      <c r="K534">
        <v>62</v>
      </c>
      <c r="L534" t="s">
        <v>1260</v>
      </c>
      <c r="M534">
        <v>24</v>
      </c>
      <c r="N534" t="str">
        <f>VLOOKUP(M534,[1]LOJA!$A:$B,2,0)</f>
        <v>LUZIÂNIA</v>
      </c>
      <c r="O534">
        <v>244</v>
      </c>
      <c r="P534" t="str">
        <f>VLOOKUP(O534,[1]OPERADORES!$A:$B,2,0)</f>
        <v>NATHALIA PEREIRA DA SILVA</v>
      </c>
      <c r="Q534">
        <v>4</v>
      </c>
      <c r="S534" t="s">
        <v>1259</v>
      </c>
      <c r="T534" s="1">
        <v>46022</v>
      </c>
      <c r="U534">
        <v>-0.2</v>
      </c>
      <c r="V534">
        <v>-0.2</v>
      </c>
    </row>
    <row r="535" spans="1:22" x14ac:dyDescent="0.3">
      <c r="A535" t="s">
        <v>1261</v>
      </c>
      <c r="B535" t="s">
        <v>32</v>
      </c>
      <c r="C535" t="s">
        <v>13</v>
      </c>
      <c r="D535" t="s">
        <v>1262</v>
      </c>
      <c r="E535" t="s">
        <v>15</v>
      </c>
      <c r="J535" s="1">
        <v>44475</v>
      </c>
      <c r="K535">
        <v>1609</v>
      </c>
      <c r="L535" t="s">
        <v>1263</v>
      </c>
      <c r="M535">
        <v>12</v>
      </c>
      <c r="N535" t="str">
        <f>VLOOKUP(M535,[1]LOJA!$A:$B,2,0)</f>
        <v>SOFNORTE</v>
      </c>
      <c r="O535">
        <v>65</v>
      </c>
      <c r="P535" t="str">
        <f>VLOOKUP(O535,[1]OPERADORES!$A:$B,2,0)</f>
        <v>MICHAEL ALVES FERNANDES</v>
      </c>
      <c r="Q535">
        <v>7</v>
      </c>
      <c r="S535" t="s">
        <v>1264</v>
      </c>
      <c r="T535" s="1">
        <v>44474</v>
      </c>
      <c r="U535">
        <v>178.79</v>
      </c>
      <c r="V535">
        <v>178.79</v>
      </c>
    </row>
    <row r="536" spans="1:22" x14ac:dyDescent="0.3">
      <c r="A536" t="s">
        <v>1261</v>
      </c>
      <c r="B536" t="s">
        <v>32</v>
      </c>
      <c r="C536" t="s">
        <v>13</v>
      </c>
      <c r="D536" t="s">
        <v>1262</v>
      </c>
      <c r="E536" t="s">
        <v>15</v>
      </c>
      <c r="J536" s="1">
        <v>44478</v>
      </c>
      <c r="K536">
        <v>1606</v>
      </c>
      <c r="L536" t="s">
        <v>1265</v>
      </c>
      <c r="M536">
        <v>12</v>
      </c>
      <c r="N536" t="str">
        <f>VLOOKUP(M536,[1]LOJA!$A:$B,2,0)</f>
        <v>SOFNORTE</v>
      </c>
      <c r="O536">
        <v>127</v>
      </c>
      <c r="P536" t="str">
        <f>VLOOKUP(O536,[1]OPERADORES!$A:$B,2,0)</f>
        <v>KARLA CRISTYNA ALVES FIGUEIRED</v>
      </c>
      <c r="Q536">
        <v>7</v>
      </c>
      <c r="S536" t="s">
        <v>87</v>
      </c>
      <c r="T536" s="1">
        <v>44477</v>
      </c>
      <c r="U536">
        <v>80</v>
      </c>
      <c r="V536">
        <v>80</v>
      </c>
    </row>
    <row r="537" spans="1:22" x14ac:dyDescent="0.3">
      <c r="A537" t="s">
        <v>1266</v>
      </c>
      <c r="B537" t="s">
        <v>32</v>
      </c>
      <c r="C537" t="s">
        <v>43</v>
      </c>
      <c r="D537" t="s">
        <v>1267</v>
      </c>
      <c r="E537" t="s">
        <v>15</v>
      </c>
      <c r="J537" s="1">
        <v>45978</v>
      </c>
      <c r="K537">
        <v>106</v>
      </c>
      <c r="L537" t="s">
        <v>1268</v>
      </c>
      <c r="M537">
        <v>24</v>
      </c>
      <c r="N537" t="str">
        <f>VLOOKUP(M537,[1]LOJA!$A:$B,2,0)</f>
        <v>LUZIÂNIA</v>
      </c>
      <c r="O537">
        <v>244</v>
      </c>
      <c r="P537" t="str">
        <f>VLOOKUP(O537,[1]OPERADORES!$A:$B,2,0)</f>
        <v>NATHALIA PEREIRA DA SILVA</v>
      </c>
      <c r="Q537">
        <v>4</v>
      </c>
      <c r="S537" t="s">
        <v>110</v>
      </c>
      <c r="T537" s="1">
        <v>45978</v>
      </c>
      <c r="U537">
        <v>-53</v>
      </c>
      <c r="V537">
        <v>-53</v>
      </c>
    </row>
    <row r="538" spans="1:22" x14ac:dyDescent="0.3">
      <c r="A538" t="s">
        <v>1269</v>
      </c>
      <c r="B538" t="s">
        <v>1270</v>
      </c>
      <c r="C538" t="s">
        <v>324</v>
      </c>
      <c r="D538" t="s">
        <v>1271</v>
      </c>
      <c r="E538" t="s">
        <v>15</v>
      </c>
      <c r="J538" s="1">
        <v>45252</v>
      </c>
      <c r="K538">
        <v>832</v>
      </c>
      <c r="L538" t="s">
        <v>1272</v>
      </c>
      <c r="M538">
        <v>1</v>
      </c>
      <c r="N538" t="str">
        <f>VLOOKUP(M538,[1]LOJA!$A:$B,2,0)</f>
        <v>GUARÁ</v>
      </c>
      <c r="O538">
        <v>206</v>
      </c>
      <c r="P538" t="str">
        <f>VLOOKUP(O538,[1]OPERADORES!$A:$B,2,0)</f>
        <v>LAURA LISBOA</v>
      </c>
      <c r="Q538">
        <v>4</v>
      </c>
      <c r="S538" t="s">
        <v>1273</v>
      </c>
      <c r="T538" s="1">
        <v>45252</v>
      </c>
      <c r="U538">
        <v>-0.18</v>
      </c>
      <c r="V538">
        <v>-0.18</v>
      </c>
    </row>
    <row r="539" spans="1:22" x14ac:dyDescent="0.3">
      <c r="A539" t="s">
        <v>1274</v>
      </c>
      <c r="B539" t="s">
        <v>1275</v>
      </c>
      <c r="C539" t="s">
        <v>13</v>
      </c>
      <c r="D539" t="s">
        <v>1276</v>
      </c>
      <c r="E539" t="s">
        <v>15</v>
      </c>
      <c r="J539" s="1">
        <v>45384</v>
      </c>
      <c r="K539">
        <v>700</v>
      </c>
      <c r="L539" t="s">
        <v>1277</v>
      </c>
      <c r="M539">
        <v>8</v>
      </c>
      <c r="N539" t="str">
        <f>VLOOKUP(M539,[1]LOJA!$A:$B,2,0)</f>
        <v>LUZIÂNIA</v>
      </c>
      <c r="O539">
        <v>170</v>
      </c>
      <c r="P539" t="str">
        <f>VLOOKUP(O539,[1]OPERADORES!$A:$B,2,0)</f>
        <v>MARIA LUISA</v>
      </c>
      <c r="Q539">
        <v>4</v>
      </c>
      <c r="S539" t="s">
        <v>1278</v>
      </c>
      <c r="T539" s="1">
        <v>45384</v>
      </c>
      <c r="U539">
        <v>-3.08</v>
      </c>
      <c r="V539">
        <v>-3.08</v>
      </c>
    </row>
    <row r="540" spans="1:22" x14ac:dyDescent="0.3">
      <c r="A540" t="s">
        <v>1279</v>
      </c>
      <c r="B540" t="s">
        <v>1280</v>
      </c>
      <c r="C540" t="s">
        <v>13</v>
      </c>
      <c r="D540" t="s">
        <v>1281</v>
      </c>
      <c r="E540" t="s">
        <v>15</v>
      </c>
      <c r="J540" s="1">
        <v>45881</v>
      </c>
      <c r="K540">
        <v>203</v>
      </c>
      <c r="L540" t="s">
        <v>1282</v>
      </c>
      <c r="M540">
        <v>6</v>
      </c>
      <c r="N540" t="str">
        <f>VLOOKUP(M540,[1]LOJA!$A:$B,2,0)</f>
        <v>GAMA</v>
      </c>
      <c r="O540">
        <v>185</v>
      </c>
      <c r="P540" t="str">
        <f>VLOOKUP(O540,[1]OPERADORES!$A:$B,2,0)</f>
        <v>FELIPE OLIVEIRA PONTE</v>
      </c>
      <c r="Q540">
        <v>7</v>
      </c>
      <c r="S540" t="s">
        <v>87</v>
      </c>
      <c r="T540" s="1">
        <v>45880</v>
      </c>
      <c r="U540">
        <v>399.6</v>
      </c>
      <c r="V540">
        <v>399.6</v>
      </c>
    </row>
    <row r="541" spans="1:22" x14ac:dyDescent="0.3">
      <c r="A541" t="s">
        <v>1283</v>
      </c>
      <c r="B541" t="s">
        <v>1284</v>
      </c>
      <c r="C541" t="s">
        <v>909</v>
      </c>
      <c r="D541" t="s">
        <v>5529</v>
      </c>
      <c r="E541" t="s">
        <v>15</v>
      </c>
      <c r="J541" s="1">
        <v>46084</v>
      </c>
      <c r="K541">
        <v>0</v>
      </c>
      <c r="L541" t="s">
        <v>5530</v>
      </c>
      <c r="M541">
        <v>9</v>
      </c>
      <c r="N541" t="str">
        <f>VLOOKUP(M541,[1]LOJA!$A:$B,2,0)</f>
        <v>ÚNICA</v>
      </c>
      <c r="O541">
        <v>231</v>
      </c>
      <c r="P541" t="str">
        <f>VLOOKUP(O541,[1]OPERADORES!$A:$B,2,0)</f>
        <v>EDIJANE</v>
      </c>
      <c r="Q541">
        <v>23</v>
      </c>
      <c r="R541">
        <v>211486</v>
      </c>
      <c r="S541" t="s">
        <v>46</v>
      </c>
      <c r="T541" s="1">
        <v>46028</v>
      </c>
      <c r="U541">
        <v>585.79999999999995</v>
      </c>
      <c r="V541">
        <v>585.79999999999995</v>
      </c>
    </row>
    <row r="542" spans="1:22" x14ac:dyDescent="0.3">
      <c r="A542" t="s">
        <v>1285</v>
      </c>
      <c r="B542" t="s">
        <v>32</v>
      </c>
      <c r="C542" t="s">
        <v>226</v>
      </c>
      <c r="D542" t="s">
        <v>5531</v>
      </c>
      <c r="E542" t="s">
        <v>15</v>
      </c>
      <c r="J542" s="1">
        <v>46042</v>
      </c>
      <c r="K542">
        <v>42</v>
      </c>
      <c r="L542" t="s">
        <v>1286</v>
      </c>
      <c r="M542">
        <v>9</v>
      </c>
      <c r="N542" t="str">
        <f>VLOOKUP(M542,[1]LOJA!$A:$B,2,0)</f>
        <v>ÚNICA</v>
      </c>
      <c r="O542">
        <v>197</v>
      </c>
      <c r="P542" t="str">
        <f>VLOOKUP(O542,[1]OPERADORES!$A:$B,2,0)</f>
        <v xml:space="preserve">POLIANA LORRANE DE AMORIM </v>
      </c>
      <c r="Q542">
        <v>4</v>
      </c>
      <c r="S542" t="s">
        <v>1287</v>
      </c>
      <c r="T542" s="1">
        <v>46042</v>
      </c>
      <c r="U542">
        <v>-749.5</v>
      </c>
      <c r="V542">
        <v>-749.5</v>
      </c>
    </row>
    <row r="543" spans="1:22" x14ac:dyDescent="0.3">
      <c r="A543" t="s">
        <v>1288</v>
      </c>
      <c r="B543" t="s">
        <v>1289</v>
      </c>
      <c r="C543" t="s">
        <v>13</v>
      </c>
      <c r="D543" t="s">
        <v>1290</v>
      </c>
      <c r="E543" t="s">
        <v>15</v>
      </c>
      <c r="J543" s="1">
        <v>44711</v>
      </c>
      <c r="K543">
        <v>1373</v>
      </c>
      <c r="L543" t="s">
        <v>1291</v>
      </c>
      <c r="M543">
        <v>9</v>
      </c>
      <c r="N543" t="str">
        <f>VLOOKUP(M543,[1]LOJA!$A:$B,2,0)</f>
        <v>ÚNICA</v>
      </c>
      <c r="O543">
        <v>145</v>
      </c>
      <c r="P543" t="str">
        <f>VLOOKUP(O543,[1]OPERADORES!$A:$B,2,0)</f>
        <v xml:space="preserve">FABRICIA </v>
      </c>
      <c r="Q543">
        <v>23</v>
      </c>
      <c r="R543">
        <v>20564</v>
      </c>
      <c r="S543" t="s">
        <v>53</v>
      </c>
      <c r="T543" s="1">
        <v>44651</v>
      </c>
      <c r="U543" s="2">
        <v>2216.88</v>
      </c>
      <c r="V543" s="2">
        <v>2216.88</v>
      </c>
    </row>
    <row r="544" spans="1:22" x14ac:dyDescent="0.3">
      <c r="A544" t="s">
        <v>1288</v>
      </c>
      <c r="B544" t="s">
        <v>1289</v>
      </c>
      <c r="C544" t="s">
        <v>13</v>
      </c>
      <c r="D544" t="s">
        <v>1290</v>
      </c>
      <c r="E544" t="s">
        <v>15</v>
      </c>
      <c r="J544" s="1">
        <v>44713</v>
      </c>
      <c r="K544">
        <v>1371</v>
      </c>
      <c r="L544" t="s">
        <v>1292</v>
      </c>
      <c r="M544">
        <v>9</v>
      </c>
      <c r="N544" t="str">
        <f>VLOOKUP(M544,[1]LOJA!$A:$B,2,0)</f>
        <v>ÚNICA</v>
      </c>
      <c r="O544">
        <v>145</v>
      </c>
      <c r="P544" t="str">
        <f>VLOOKUP(O544,[1]OPERADORES!$A:$B,2,0)</f>
        <v xml:space="preserve">FABRICIA </v>
      </c>
      <c r="Q544">
        <v>23</v>
      </c>
      <c r="R544">
        <v>19186</v>
      </c>
      <c r="S544" t="s">
        <v>55</v>
      </c>
      <c r="T544" s="1">
        <v>44623</v>
      </c>
      <c r="U544" s="2">
        <v>2148.46</v>
      </c>
      <c r="V544" s="2">
        <v>2148.46</v>
      </c>
    </row>
    <row r="545" spans="1:22" x14ac:dyDescent="0.3">
      <c r="A545" t="s">
        <v>1288</v>
      </c>
      <c r="B545" t="s">
        <v>1289</v>
      </c>
      <c r="C545" t="s">
        <v>13</v>
      </c>
      <c r="D545" t="s">
        <v>1290</v>
      </c>
      <c r="E545" t="s">
        <v>15</v>
      </c>
      <c r="J545" s="1">
        <v>44713</v>
      </c>
      <c r="K545">
        <v>1371</v>
      </c>
      <c r="L545" t="s">
        <v>1293</v>
      </c>
      <c r="M545">
        <v>9</v>
      </c>
      <c r="N545" t="str">
        <f>VLOOKUP(M545,[1]LOJA!$A:$B,2,0)</f>
        <v>ÚNICA</v>
      </c>
      <c r="O545">
        <v>145</v>
      </c>
      <c r="P545" t="str">
        <f>VLOOKUP(O545,[1]OPERADORES!$A:$B,2,0)</f>
        <v xml:space="preserve">FABRICIA </v>
      </c>
      <c r="Q545">
        <v>23</v>
      </c>
      <c r="R545">
        <v>19830</v>
      </c>
      <c r="S545" t="s">
        <v>780</v>
      </c>
      <c r="T545" s="1">
        <v>44641</v>
      </c>
      <c r="U545" s="2">
        <v>1699.5</v>
      </c>
      <c r="V545" s="2">
        <v>1699.5</v>
      </c>
    </row>
    <row r="546" spans="1:22" x14ac:dyDescent="0.3">
      <c r="A546" t="s">
        <v>1288</v>
      </c>
      <c r="B546" t="s">
        <v>1289</v>
      </c>
      <c r="C546" t="s">
        <v>13</v>
      </c>
      <c r="D546" t="s">
        <v>1290</v>
      </c>
      <c r="E546" t="s">
        <v>15</v>
      </c>
      <c r="J546" s="1">
        <v>44719</v>
      </c>
      <c r="K546">
        <v>1365</v>
      </c>
      <c r="L546" t="s">
        <v>1294</v>
      </c>
      <c r="M546">
        <v>9</v>
      </c>
      <c r="N546" t="str">
        <f>VLOOKUP(M546,[1]LOJA!$A:$B,2,0)</f>
        <v>ÚNICA</v>
      </c>
      <c r="O546">
        <v>145</v>
      </c>
      <c r="P546" t="str">
        <f>VLOOKUP(O546,[1]OPERADORES!$A:$B,2,0)</f>
        <v xml:space="preserve">FABRICIA </v>
      </c>
      <c r="Q546">
        <v>23</v>
      </c>
      <c r="R546">
        <v>21661</v>
      </c>
      <c r="S546" t="s">
        <v>1295</v>
      </c>
      <c r="T546" s="1">
        <v>44677</v>
      </c>
      <c r="U546">
        <v>998.41</v>
      </c>
      <c r="V546">
        <v>998.41</v>
      </c>
    </row>
    <row r="547" spans="1:22" x14ac:dyDescent="0.3">
      <c r="A547" t="s">
        <v>1288</v>
      </c>
      <c r="B547" t="s">
        <v>1289</v>
      </c>
      <c r="C547" t="s">
        <v>13</v>
      </c>
      <c r="D547" t="s">
        <v>1290</v>
      </c>
      <c r="E547" t="s">
        <v>15</v>
      </c>
      <c r="J547" s="1">
        <v>44720</v>
      </c>
      <c r="K547">
        <v>1364</v>
      </c>
      <c r="L547" t="s">
        <v>1296</v>
      </c>
      <c r="M547">
        <v>9</v>
      </c>
      <c r="N547" t="str">
        <f>VLOOKUP(M547,[1]LOJA!$A:$B,2,0)</f>
        <v>ÚNICA</v>
      </c>
      <c r="O547">
        <v>145</v>
      </c>
      <c r="P547" t="str">
        <f>VLOOKUP(O547,[1]OPERADORES!$A:$B,2,0)</f>
        <v xml:space="preserve">FABRICIA </v>
      </c>
      <c r="Q547">
        <v>23</v>
      </c>
      <c r="R547">
        <v>21752</v>
      </c>
      <c r="S547" t="s">
        <v>972</v>
      </c>
      <c r="T547" s="1">
        <v>44678</v>
      </c>
      <c r="U547">
        <v>455</v>
      </c>
      <c r="V547">
        <v>455</v>
      </c>
    </row>
    <row r="548" spans="1:22" x14ac:dyDescent="0.3">
      <c r="A548" t="s">
        <v>1288</v>
      </c>
      <c r="B548" t="s">
        <v>1289</v>
      </c>
      <c r="C548" t="s">
        <v>13</v>
      </c>
      <c r="D548" t="s">
        <v>1290</v>
      </c>
      <c r="E548" t="s">
        <v>15</v>
      </c>
      <c r="J548" s="1">
        <v>44722</v>
      </c>
      <c r="K548">
        <v>1362</v>
      </c>
      <c r="L548" t="s">
        <v>1297</v>
      </c>
      <c r="M548">
        <v>9</v>
      </c>
      <c r="N548" t="str">
        <f>VLOOKUP(M548,[1]LOJA!$A:$B,2,0)</f>
        <v>ÚNICA</v>
      </c>
      <c r="O548">
        <v>145</v>
      </c>
      <c r="P548" t="str">
        <f>VLOOKUP(O548,[1]OPERADORES!$A:$B,2,0)</f>
        <v xml:space="preserve">FABRICIA </v>
      </c>
      <c r="Q548">
        <v>23</v>
      </c>
      <c r="R548">
        <v>20960</v>
      </c>
      <c r="S548" t="s">
        <v>55</v>
      </c>
      <c r="T548" s="1">
        <v>44662</v>
      </c>
      <c r="U548">
        <v>703.52</v>
      </c>
      <c r="V548">
        <v>703.52</v>
      </c>
    </row>
    <row r="549" spans="1:22" x14ac:dyDescent="0.3">
      <c r="A549" t="s">
        <v>1288</v>
      </c>
      <c r="B549" t="s">
        <v>1289</v>
      </c>
      <c r="C549" t="s">
        <v>13</v>
      </c>
      <c r="D549" t="s">
        <v>1290</v>
      </c>
      <c r="E549" t="s">
        <v>15</v>
      </c>
      <c r="J549" s="1">
        <v>44722</v>
      </c>
      <c r="K549">
        <v>1362</v>
      </c>
      <c r="L549" t="s">
        <v>1298</v>
      </c>
      <c r="M549">
        <v>9</v>
      </c>
      <c r="N549" t="str">
        <f>VLOOKUP(M549,[1]LOJA!$A:$B,2,0)</f>
        <v>ÚNICA</v>
      </c>
      <c r="O549">
        <v>145</v>
      </c>
      <c r="P549" t="str">
        <f>VLOOKUP(O549,[1]OPERADORES!$A:$B,2,0)</f>
        <v xml:space="preserve">FABRICIA </v>
      </c>
      <c r="Q549">
        <v>23</v>
      </c>
      <c r="R549">
        <v>21927</v>
      </c>
      <c r="S549" t="s">
        <v>972</v>
      </c>
      <c r="T549" s="1">
        <v>44680</v>
      </c>
      <c r="U549">
        <v>328.24</v>
      </c>
      <c r="V549">
        <v>328.24</v>
      </c>
    </row>
    <row r="550" spans="1:22" x14ac:dyDescent="0.3">
      <c r="A550" t="s">
        <v>1288</v>
      </c>
      <c r="B550" t="s">
        <v>1289</v>
      </c>
      <c r="C550" t="s">
        <v>13</v>
      </c>
      <c r="D550" t="s">
        <v>1290</v>
      </c>
      <c r="E550" t="s">
        <v>15</v>
      </c>
      <c r="J550" s="1">
        <v>44723</v>
      </c>
      <c r="K550">
        <v>1361</v>
      </c>
      <c r="L550" t="s">
        <v>1299</v>
      </c>
      <c r="M550">
        <v>9</v>
      </c>
      <c r="N550" t="str">
        <f>VLOOKUP(M550,[1]LOJA!$A:$B,2,0)</f>
        <v>ÚNICA</v>
      </c>
      <c r="O550">
        <v>145</v>
      </c>
      <c r="P550" t="str">
        <f>VLOOKUP(O550,[1]OPERADORES!$A:$B,2,0)</f>
        <v xml:space="preserve">FABRICIA </v>
      </c>
      <c r="Q550">
        <v>23</v>
      </c>
      <c r="R550">
        <v>21026</v>
      </c>
      <c r="S550" t="s">
        <v>55</v>
      </c>
      <c r="T550" s="1">
        <v>44663</v>
      </c>
      <c r="U550">
        <v>294.62</v>
      </c>
      <c r="V550">
        <v>294.62</v>
      </c>
    </row>
    <row r="551" spans="1:22" x14ac:dyDescent="0.3">
      <c r="A551" t="s">
        <v>1288</v>
      </c>
      <c r="B551" t="s">
        <v>1289</v>
      </c>
      <c r="C551" t="s">
        <v>13</v>
      </c>
      <c r="D551" t="s">
        <v>1290</v>
      </c>
      <c r="E551" t="s">
        <v>15</v>
      </c>
      <c r="J551" s="1">
        <v>44725</v>
      </c>
      <c r="K551">
        <v>1359</v>
      </c>
      <c r="L551" t="s">
        <v>1300</v>
      </c>
      <c r="M551">
        <v>9</v>
      </c>
      <c r="N551" t="str">
        <f>VLOOKUP(M551,[1]LOJA!$A:$B,2,0)</f>
        <v>ÚNICA</v>
      </c>
      <c r="O551">
        <v>145</v>
      </c>
      <c r="P551" t="str">
        <f>VLOOKUP(O551,[1]OPERADORES!$A:$B,2,0)</f>
        <v xml:space="preserve">FABRICIA </v>
      </c>
      <c r="Q551">
        <v>23</v>
      </c>
      <c r="R551">
        <v>19624</v>
      </c>
      <c r="S551" t="s">
        <v>55</v>
      </c>
      <c r="T551" s="1">
        <v>44635</v>
      </c>
      <c r="U551" s="2">
        <v>1744.88</v>
      </c>
      <c r="V551" s="2">
        <v>1744.88</v>
      </c>
    </row>
    <row r="552" spans="1:22" x14ac:dyDescent="0.3">
      <c r="A552" t="s">
        <v>1288</v>
      </c>
      <c r="B552" t="s">
        <v>1289</v>
      </c>
      <c r="C552" t="s">
        <v>13</v>
      </c>
      <c r="D552" t="s">
        <v>1290</v>
      </c>
      <c r="E552" t="s">
        <v>15</v>
      </c>
      <c r="J552" s="1">
        <v>44725</v>
      </c>
      <c r="K552">
        <v>1359</v>
      </c>
      <c r="L552" t="s">
        <v>1301</v>
      </c>
      <c r="M552">
        <v>9</v>
      </c>
      <c r="N552" t="str">
        <f>VLOOKUP(M552,[1]LOJA!$A:$B,2,0)</f>
        <v>ÚNICA</v>
      </c>
      <c r="O552">
        <v>145</v>
      </c>
      <c r="P552" t="str">
        <f>VLOOKUP(O552,[1]OPERADORES!$A:$B,2,0)</f>
        <v xml:space="preserve">FABRICIA </v>
      </c>
      <c r="Q552">
        <v>23</v>
      </c>
      <c r="R552">
        <v>21265</v>
      </c>
      <c r="S552" t="s">
        <v>53</v>
      </c>
      <c r="T552" s="1">
        <v>44665</v>
      </c>
      <c r="U552" s="2">
        <v>2226</v>
      </c>
      <c r="V552" s="2">
        <v>2226</v>
      </c>
    </row>
    <row r="553" spans="1:22" x14ac:dyDescent="0.3">
      <c r="A553" t="s">
        <v>1288</v>
      </c>
      <c r="B553" t="s">
        <v>1289</v>
      </c>
      <c r="C553" t="s">
        <v>13</v>
      </c>
      <c r="D553" t="s">
        <v>1290</v>
      </c>
      <c r="E553" t="s">
        <v>15</v>
      </c>
      <c r="J553" s="1">
        <v>44725</v>
      </c>
      <c r="K553">
        <v>1359</v>
      </c>
      <c r="L553" t="s">
        <v>1302</v>
      </c>
      <c r="M553">
        <v>9</v>
      </c>
      <c r="N553" t="str">
        <f>VLOOKUP(M553,[1]LOJA!$A:$B,2,0)</f>
        <v>ÚNICA</v>
      </c>
      <c r="O553">
        <v>145</v>
      </c>
      <c r="P553" t="str">
        <f>VLOOKUP(O553,[1]OPERADORES!$A:$B,2,0)</f>
        <v xml:space="preserve">FABRICIA </v>
      </c>
      <c r="Q553">
        <v>23</v>
      </c>
      <c r="R553">
        <v>22032</v>
      </c>
      <c r="S553" t="s">
        <v>976</v>
      </c>
      <c r="T553" s="1">
        <v>44683</v>
      </c>
      <c r="U553">
        <v>415.5</v>
      </c>
      <c r="V553">
        <v>415.5</v>
      </c>
    </row>
    <row r="554" spans="1:22" x14ac:dyDescent="0.3">
      <c r="A554" t="s">
        <v>1288</v>
      </c>
      <c r="B554" t="s">
        <v>1289</v>
      </c>
      <c r="C554" t="s">
        <v>13</v>
      </c>
      <c r="D554" t="s">
        <v>1290</v>
      </c>
      <c r="E554" t="s">
        <v>15</v>
      </c>
      <c r="J554" s="1">
        <v>44727</v>
      </c>
      <c r="K554">
        <v>1357</v>
      </c>
      <c r="L554" t="s">
        <v>1303</v>
      </c>
      <c r="M554">
        <v>9</v>
      </c>
      <c r="N554" t="str">
        <f>VLOOKUP(M554,[1]LOJA!$A:$B,2,0)</f>
        <v>ÚNICA</v>
      </c>
      <c r="O554">
        <v>145</v>
      </c>
      <c r="P554" t="str">
        <f>VLOOKUP(O554,[1]OPERADORES!$A:$B,2,0)</f>
        <v xml:space="preserve">FABRICIA </v>
      </c>
      <c r="Q554">
        <v>23</v>
      </c>
      <c r="R554">
        <v>20788</v>
      </c>
      <c r="S554" t="s">
        <v>780</v>
      </c>
      <c r="T554" s="1">
        <v>44655</v>
      </c>
      <c r="U554">
        <v>506.06</v>
      </c>
      <c r="V554">
        <v>506.06</v>
      </c>
    </row>
    <row r="555" spans="1:22" x14ac:dyDescent="0.3">
      <c r="A555" t="s">
        <v>1288</v>
      </c>
      <c r="B555" t="s">
        <v>1289</v>
      </c>
      <c r="C555" t="s">
        <v>13</v>
      </c>
      <c r="D555" t="s">
        <v>1290</v>
      </c>
      <c r="E555" t="s">
        <v>15</v>
      </c>
      <c r="J555" s="1">
        <v>44733</v>
      </c>
      <c r="K555">
        <v>1351</v>
      </c>
      <c r="L555" t="s">
        <v>1304</v>
      </c>
      <c r="M555">
        <v>9</v>
      </c>
      <c r="N555" t="str">
        <f>VLOOKUP(M555,[1]LOJA!$A:$B,2,0)</f>
        <v>ÚNICA</v>
      </c>
      <c r="O555">
        <v>145</v>
      </c>
      <c r="P555" t="str">
        <f>VLOOKUP(O555,[1]OPERADORES!$A:$B,2,0)</f>
        <v xml:space="preserve">FABRICIA </v>
      </c>
      <c r="Q555">
        <v>23</v>
      </c>
      <c r="R555">
        <v>21679</v>
      </c>
      <c r="S555" t="s">
        <v>1305</v>
      </c>
      <c r="T555" s="1">
        <v>44677</v>
      </c>
      <c r="U555">
        <v>998.41</v>
      </c>
      <c r="V555">
        <v>998.41</v>
      </c>
    </row>
    <row r="556" spans="1:22" x14ac:dyDescent="0.3">
      <c r="A556" t="s">
        <v>1288</v>
      </c>
      <c r="B556" t="s">
        <v>1289</v>
      </c>
      <c r="C556" t="s">
        <v>13</v>
      </c>
      <c r="D556" t="s">
        <v>1290</v>
      </c>
      <c r="E556" t="s">
        <v>15</v>
      </c>
      <c r="J556" s="1">
        <v>44734</v>
      </c>
      <c r="K556">
        <v>1350</v>
      </c>
      <c r="L556" t="s">
        <v>1306</v>
      </c>
      <c r="M556">
        <v>9</v>
      </c>
      <c r="N556" t="str">
        <f>VLOOKUP(M556,[1]LOJA!$A:$B,2,0)</f>
        <v>ÚNICA</v>
      </c>
      <c r="O556">
        <v>145</v>
      </c>
      <c r="P556" t="str">
        <f>VLOOKUP(O556,[1]OPERADORES!$A:$B,2,0)</f>
        <v xml:space="preserve">FABRICIA </v>
      </c>
      <c r="Q556">
        <v>23</v>
      </c>
      <c r="R556">
        <v>21760</v>
      </c>
      <c r="S556" t="s">
        <v>976</v>
      </c>
      <c r="T556" s="1">
        <v>44678</v>
      </c>
      <c r="U556">
        <v>455</v>
      </c>
      <c r="V556">
        <v>455</v>
      </c>
    </row>
    <row r="557" spans="1:22" x14ac:dyDescent="0.3">
      <c r="A557" t="s">
        <v>1288</v>
      </c>
      <c r="B557" t="s">
        <v>1289</v>
      </c>
      <c r="C557" t="s">
        <v>13</v>
      </c>
      <c r="D557" t="s">
        <v>1290</v>
      </c>
      <c r="E557" t="s">
        <v>15</v>
      </c>
      <c r="J557" s="1">
        <v>44736</v>
      </c>
      <c r="K557">
        <v>1348</v>
      </c>
      <c r="L557" t="s">
        <v>1307</v>
      </c>
      <c r="M557">
        <v>9</v>
      </c>
      <c r="N557" t="str">
        <f>VLOOKUP(M557,[1]LOJA!$A:$B,2,0)</f>
        <v>ÚNICA</v>
      </c>
      <c r="O557">
        <v>145</v>
      </c>
      <c r="P557" t="str">
        <f>VLOOKUP(O557,[1]OPERADORES!$A:$B,2,0)</f>
        <v xml:space="preserve">FABRICIA </v>
      </c>
      <c r="Q557">
        <v>23</v>
      </c>
      <c r="R557">
        <v>21935</v>
      </c>
      <c r="S557" t="s">
        <v>976</v>
      </c>
      <c r="T557" s="1">
        <v>44680</v>
      </c>
      <c r="U557">
        <v>328.24</v>
      </c>
      <c r="V557">
        <v>328.24</v>
      </c>
    </row>
    <row r="558" spans="1:22" x14ac:dyDescent="0.3">
      <c r="A558" t="s">
        <v>1288</v>
      </c>
      <c r="B558" t="s">
        <v>1289</v>
      </c>
      <c r="C558" t="s">
        <v>13</v>
      </c>
      <c r="D558" t="s">
        <v>1290</v>
      </c>
      <c r="E558" t="s">
        <v>15</v>
      </c>
      <c r="J558" s="1">
        <v>44739</v>
      </c>
      <c r="K558">
        <v>1345</v>
      </c>
      <c r="L558" t="s">
        <v>1308</v>
      </c>
      <c r="M558">
        <v>9</v>
      </c>
      <c r="N558" t="str">
        <f>VLOOKUP(M558,[1]LOJA!$A:$B,2,0)</f>
        <v>ÚNICA</v>
      </c>
      <c r="O558">
        <v>145</v>
      </c>
      <c r="P558" t="str">
        <f>VLOOKUP(O558,[1]OPERADORES!$A:$B,2,0)</f>
        <v xml:space="preserve">FABRICIA </v>
      </c>
      <c r="Q558">
        <v>23</v>
      </c>
      <c r="R558">
        <v>22040</v>
      </c>
      <c r="S558" t="s">
        <v>780</v>
      </c>
      <c r="T558" s="1">
        <v>44683</v>
      </c>
      <c r="U558">
        <v>415.5</v>
      </c>
      <c r="V558">
        <v>415.5</v>
      </c>
    </row>
    <row r="559" spans="1:22" x14ac:dyDescent="0.3">
      <c r="A559" t="s">
        <v>1288</v>
      </c>
      <c r="B559" t="s">
        <v>1289</v>
      </c>
      <c r="C559" t="s">
        <v>13</v>
      </c>
      <c r="D559" t="s">
        <v>1290</v>
      </c>
      <c r="E559" t="s">
        <v>15</v>
      </c>
      <c r="J559" s="1">
        <v>44741</v>
      </c>
      <c r="K559">
        <v>1343</v>
      </c>
      <c r="L559" t="s">
        <v>1309</v>
      </c>
      <c r="M559">
        <v>9</v>
      </c>
      <c r="N559" t="str">
        <f>VLOOKUP(M559,[1]LOJA!$A:$B,2,0)</f>
        <v>ÚNICA</v>
      </c>
      <c r="O559">
        <v>145</v>
      </c>
      <c r="P559" t="str">
        <f>VLOOKUP(O559,[1]OPERADORES!$A:$B,2,0)</f>
        <v xml:space="preserve">FABRICIA </v>
      </c>
      <c r="Q559">
        <v>23</v>
      </c>
      <c r="R559">
        <v>20572</v>
      </c>
      <c r="S559" t="s">
        <v>55</v>
      </c>
      <c r="T559" s="1">
        <v>44651</v>
      </c>
      <c r="U559" s="2">
        <v>2216.88</v>
      </c>
      <c r="V559" s="2">
        <v>2216.88</v>
      </c>
    </row>
    <row r="560" spans="1:22" x14ac:dyDescent="0.3">
      <c r="A560" t="s">
        <v>1288</v>
      </c>
      <c r="B560" t="s">
        <v>1289</v>
      </c>
      <c r="C560" t="s">
        <v>13</v>
      </c>
      <c r="D560" t="s">
        <v>1290</v>
      </c>
      <c r="E560" t="s">
        <v>15</v>
      </c>
      <c r="J560" s="1">
        <v>44749</v>
      </c>
      <c r="K560">
        <v>1335</v>
      </c>
      <c r="L560" t="s">
        <v>1310</v>
      </c>
      <c r="M560">
        <v>9</v>
      </c>
      <c r="N560" t="str">
        <f>VLOOKUP(M560,[1]LOJA!$A:$B,2,0)</f>
        <v>ÚNICA</v>
      </c>
      <c r="O560">
        <v>145</v>
      </c>
      <c r="P560" t="str">
        <f>VLOOKUP(O560,[1]OPERADORES!$A:$B,2,0)</f>
        <v xml:space="preserve">FABRICIA </v>
      </c>
      <c r="Q560">
        <v>23</v>
      </c>
      <c r="R560">
        <v>21687</v>
      </c>
      <c r="S560" t="s">
        <v>1145</v>
      </c>
      <c r="T560" s="1">
        <v>44677</v>
      </c>
      <c r="U560">
        <v>998.4</v>
      </c>
      <c r="V560">
        <v>998.4</v>
      </c>
    </row>
    <row r="561" spans="1:22" x14ac:dyDescent="0.3">
      <c r="A561" t="s">
        <v>1288</v>
      </c>
      <c r="B561" t="s">
        <v>1289</v>
      </c>
      <c r="C561" t="s">
        <v>13</v>
      </c>
      <c r="D561" t="s">
        <v>1290</v>
      </c>
      <c r="E561" t="s">
        <v>15</v>
      </c>
      <c r="J561" s="1">
        <v>44750</v>
      </c>
      <c r="K561">
        <v>1334</v>
      </c>
      <c r="L561" t="s">
        <v>1311</v>
      </c>
      <c r="M561">
        <v>9</v>
      </c>
      <c r="N561" t="str">
        <f>VLOOKUP(M561,[1]LOJA!$A:$B,2,0)</f>
        <v>ÚNICA</v>
      </c>
      <c r="O561">
        <v>145</v>
      </c>
      <c r="P561" t="str">
        <f>VLOOKUP(O561,[1]OPERADORES!$A:$B,2,0)</f>
        <v xml:space="preserve">FABRICIA </v>
      </c>
      <c r="Q561">
        <v>23</v>
      </c>
      <c r="R561">
        <v>21778</v>
      </c>
      <c r="S561" t="s">
        <v>780</v>
      </c>
      <c r="T561" s="1">
        <v>44678</v>
      </c>
      <c r="U561">
        <v>455</v>
      </c>
      <c r="V561">
        <v>455</v>
      </c>
    </row>
    <row r="562" spans="1:22" x14ac:dyDescent="0.3">
      <c r="A562" t="s">
        <v>1288</v>
      </c>
      <c r="B562" t="s">
        <v>1289</v>
      </c>
      <c r="C562" t="s">
        <v>13</v>
      </c>
      <c r="D562" t="s">
        <v>1290</v>
      </c>
      <c r="E562" t="s">
        <v>15</v>
      </c>
      <c r="J562" s="1">
        <v>44752</v>
      </c>
      <c r="K562">
        <v>1332</v>
      </c>
      <c r="L562" t="s">
        <v>1312</v>
      </c>
      <c r="M562">
        <v>9</v>
      </c>
      <c r="N562" t="str">
        <f>VLOOKUP(M562,[1]LOJA!$A:$B,2,0)</f>
        <v>ÚNICA</v>
      </c>
      <c r="O562">
        <v>145</v>
      </c>
      <c r="P562" t="str">
        <f>VLOOKUP(O562,[1]OPERADORES!$A:$B,2,0)</f>
        <v xml:space="preserve">FABRICIA </v>
      </c>
      <c r="Q562">
        <v>23</v>
      </c>
      <c r="R562">
        <v>21943</v>
      </c>
      <c r="S562" t="s">
        <v>780</v>
      </c>
      <c r="T562" s="1">
        <v>44680</v>
      </c>
      <c r="U562">
        <v>328.24</v>
      </c>
      <c r="V562">
        <v>328.24</v>
      </c>
    </row>
    <row r="563" spans="1:22" x14ac:dyDescent="0.3">
      <c r="A563" t="s">
        <v>1288</v>
      </c>
      <c r="B563" t="s">
        <v>1289</v>
      </c>
      <c r="C563" t="s">
        <v>13</v>
      </c>
      <c r="D563" t="s">
        <v>1290</v>
      </c>
      <c r="E563" t="s">
        <v>15</v>
      </c>
      <c r="J563" s="1">
        <v>44755</v>
      </c>
      <c r="K563">
        <v>1329</v>
      </c>
      <c r="L563" t="s">
        <v>1313</v>
      </c>
      <c r="M563">
        <v>9</v>
      </c>
      <c r="N563" t="str">
        <f>VLOOKUP(M563,[1]LOJA!$A:$B,2,0)</f>
        <v>ÚNICA</v>
      </c>
      <c r="O563">
        <v>145</v>
      </c>
      <c r="P563" t="str">
        <f>VLOOKUP(O563,[1]OPERADORES!$A:$B,2,0)</f>
        <v xml:space="preserve">FABRICIA </v>
      </c>
      <c r="Q563">
        <v>23</v>
      </c>
      <c r="R563">
        <v>21273</v>
      </c>
      <c r="S563" t="s">
        <v>55</v>
      </c>
      <c r="T563" s="1">
        <v>44665</v>
      </c>
      <c r="U563" s="2">
        <v>2226</v>
      </c>
      <c r="V563" s="2">
        <v>2226</v>
      </c>
    </row>
    <row r="564" spans="1:22" x14ac:dyDescent="0.3">
      <c r="A564" t="s">
        <v>1314</v>
      </c>
      <c r="B564" t="s">
        <v>1315</v>
      </c>
      <c r="C564" t="s">
        <v>13</v>
      </c>
      <c r="D564" t="s">
        <v>1316</v>
      </c>
      <c r="E564" t="s">
        <v>15</v>
      </c>
      <c r="J564" s="1">
        <v>46021</v>
      </c>
      <c r="K564">
        <v>63</v>
      </c>
      <c r="L564" t="s">
        <v>227</v>
      </c>
      <c r="M564">
        <v>9</v>
      </c>
      <c r="N564" t="str">
        <f>VLOOKUP(M564,[1]LOJA!$A:$B,2,0)</f>
        <v>ÚNICA</v>
      </c>
      <c r="O564">
        <v>144</v>
      </c>
      <c r="P564" t="str">
        <f>VLOOKUP(O564,[1]OPERADORES!$A:$B,2,0)</f>
        <v>CINTIA DA SILVA CARLOS</v>
      </c>
      <c r="Q564">
        <v>4</v>
      </c>
      <c r="S564" t="s">
        <v>1317</v>
      </c>
      <c r="T564" s="1">
        <v>46021</v>
      </c>
      <c r="U564">
        <v>-2.14</v>
      </c>
      <c r="V564">
        <v>-2.14</v>
      </c>
    </row>
    <row r="565" spans="1:22" x14ac:dyDescent="0.3">
      <c r="A565" t="s">
        <v>5532</v>
      </c>
      <c r="B565" t="s">
        <v>32</v>
      </c>
      <c r="C565" t="s">
        <v>30</v>
      </c>
      <c r="D565" t="s">
        <v>5533</v>
      </c>
      <c r="E565" t="s">
        <v>15</v>
      </c>
      <c r="J565" s="1">
        <v>46073</v>
      </c>
      <c r="K565">
        <v>11</v>
      </c>
      <c r="L565" t="s">
        <v>5534</v>
      </c>
      <c r="M565">
        <v>9</v>
      </c>
      <c r="N565" t="str">
        <f>VLOOKUP(M565,[1]LOJA!$A:$B,2,0)</f>
        <v>ÚNICA</v>
      </c>
      <c r="O565">
        <v>236</v>
      </c>
      <c r="P565" t="str">
        <f>VLOOKUP(O565,[1]OPERADORES!$A:$B,2,0)</f>
        <v>DANIEL</v>
      </c>
      <c r="Q565">
        <v>4</v>
      </c>
      <c r="S565" t="s">
        <v>5535</v>
      </c>
      <c r="T565" s="1">
        <v>46073</v>
      </c>
      <c r="U565">
        <v>-619.63</v>
      </c>
      <c r="V565">
        <v>-619.63</v>
      </c>
    </row>
    <row r="566" spans="1:22" x14ac:dyDescent="0.3">
      <c r="A566" t="s">
        <v>1318</v>
      </c>
      <c r="B566" t="s">
        <v>1319</v>
      </c>
      <c r="C566" t="s">
        <v>207</v>
      </c>
      <c r="D566" t="s">
        <v>5536</v>
      </c>
      <c r="E566" t="s">
        <v>15</v>
      </c>
      <c r="J566" s="1">
        <v>45895</v>
      </c>
      <c r="K566">
        <v>189</v>
      </c>
      <c r="L566" t="s">
        <v>662</v>
      </c>
      <c r="M566">
        <v>9</v>
      </c>
      <c r="N566" t="str">
        <f>VLOOKUP(M566,[1]LOJA!$A:$B,2,0)</f>
        <v>ÚNICA</v>
      </c>
      <c r="O566">
        <v>144</v>
      </c>
      <c r="P566" t="str">
        <f>VLOOKUP(O566,[1]OPERADORES!$A:$B,2,0)</f>
        <v>CINTIA DA SILVA CARLOS</v>
      </c>
      <c r="Q566">
        <v>4</v>
      </c>
      <c r="S566" t="s">
        <v>1320</v>
      </c>
      <c r="T566" s="1">
        <v>45895</v>
      </c>
      <c r="U566">
        <v>-18.39</v>
      </c>
      <c r="V566">
        <v>-18.39</v>
      </c>
    </row>
    <row r="567" spans="1:22" x14ac:dyDescent="0.3">
      <c r="A567" t="s">
        <v>1321</v>
      </c>
      <c r="B567" t="s">
        <v>1322</v>
      </c>
      <c r="C567" t="s">
        <v>13</v>
      </c>
      <c r="D567" t="s">
        <v>5537</v>
      </c>
      <c r="E567" t="s">
        <v>15</v>
      </c>
      <c r="J567" s="1">
        <v>46003</v>
      </c>
      <c r="K567">
        <v>81</v>
      </c>
      <c r="L567" t="s">
        <v>1323</v>
      </c>
      <c r="M567">
        <v>24</v>
      </c>
      <c r="N567" t="str">
        <f>VLOOKUP(M567,[1]LOJA!$A:$B,2,0)</f>
        <v>LUZIÂNIA</v>
      </c>
      <c r="O567">
        <v>244</v>
      </c>
      <c r="P567" t="str">
        <f>VLOOKUP(O567,[1]OPERADORES!$A:$B,2,0)</f>
        <v>NATHALIA PEREIRA DA SILVA</v>
      </c>
      <c r="Q567">
        <v>4</v>
      </c>
      <c r="S567" t="s">
        <v>1324</v>
      </c>
      <c r="T567" s="1">
        <v>46003</v>
      </c>
      <c r="U567">
        <v>-19.84</v>
      </c>
      <c r="V567">
        <v>-19.84</v>
      </c>
    </row>
    <row r="568" spans="1:22" x14ac:dyDescent="0.3">
      <c r="A568" t="s">
        <v>1325</v>
      </c>
      <c r="B568" t="s">
        <v>32</v>
      </c>
      <c r="C568" t="s">
        <v>13</v>
      </c>
      <c r="D568" t="s">
        <v>1326</v>
      </c>
      <c r="E568" t="s">
        <v>15</v>
      </c>
      <c r="J568" s="1">
        <v>45613</v>
      </c>
      <c r="K568">
        <v>471</v>
      </c>
      <c r="L568" t="s">
        <v>1327</v>
      </c>
      <c r="M568">
        <v>9</v>
      </c>
      <c r="N568" t="str">
        <f>VLOOKUP(M568,[1]LOJA!$A:$B,2,0)</f>
        <v>ÚNICA</v>
      </c>
      <c r="O568">
        <v>231</v>
      </c>
      <c r="P568" t="str">
        <f>VLOOKUP(O568,[1]OPERADORES!$A:$B,2,0)</f>
        <v>EDIJANE</v>
      </c>
      <c r="Q568">
        <v>23</v>
      </c>
      <c r="R568">
        <v>107262</v>
      </c>
      <c r="S568" t="s">
        <v>55</v>
      </c>
      <c r="T568" s="1">
        <v>45523</v>
      </c>
      <c r="U568" s="2">
        <v>1435.26</v>
      </c>
      <c r="V568" s="2">
        <v>1435.26</v>
      </c>
    </row>
    <row r="569" spans="1:22" x14ac:dyDescent="0.3">
      <c r="A569" t="s">
        <v>5538</v>
      </c>
      <c r="B569" t="s">
        <v>5539</v>
      </c>
      <c r="C569" t="s">
        <v>226</v>
      </c>
      <c r="D569" t="s">
        <v>5540</v>
      </c>
      <c r="E569" t="s">
        <v>15</v>
      </c>
      <c r="J569" s="1">
        <v>46073</v>
      </c>
      <c r="K569">
        <v>11</v>
      </c>
      <c r="L569" t="s">
        <v>5541</v>
      </c>
      <c r="M569">
        <v>9</v>
      </c>
      <c r="N569" t="str">
        <f>VLOOKUP(M569,[1]LOJA!$A:$B,2,0)</f>
        <v>ÚNICA</v>
      </c>
      <c r="O569">
        <v>231</v>
      </c>
      <c r="P569" t="str">
        <f>VLOOKUP(O569,[1]OPERADORES!$A:$B,2,0)</f>
        <v>EDIJANE</v>
      </c>
      <c r="Q569">
        <v>23</v>
      </c>
      <c r="R569">
        <v>215222</v>
      </c>
      <c r="S569" t="s">
        <v>51</v>
      </c>
      <c r="T569" s="1">
        <v>46043</v>
      </c>
      <c r="U569" s="2">
        <v>1356.99</v>
      </c>
      <c r="V569" s="2">
        <v>1356.99</v>
      </c>
    </row>
    <row r="570" spans="1:22" x14ac:dyDescent="0.3">
      <c r="A570" t="s">
        <v>5538</v>
      </c>
      <c r="B570" t="s">
        <v>5539</v>
      </c>
      <c r="C570" t="s">
        <v>226</v>
      </c>
      <c r="D570" t="s">
        <v>5540</v>
      </c>
      <c r="E570" t="s">
        <v>15</v>
      </c>
      <c r="J570" s="1">
        <v>46082</v>
      </c>
      <c r="K570">
        <v>2</v>
      </c>
      <c r="L570" t="s">
        <v>5542</v>
      </c>
      <c r="M570">
        <v>9</v>
      </c>
      <c r="N570" t="str">
        <f>VLOOKUP(M570,[1]LOJA!$A:$B,2,0)</f>
        <v>ÚNICA</v>
      </c>
      <c r="O570">
        <v>231</v>
      </c>
      <c r="P570" t="str">
        <f>VLOOKUP(O570,[1]OPERADORES!$A:$B,2,0)</f>
        <v>EDIJANE</v>
      </c>
      <c r="Q570">
        <v>23</v>
      </c>
      <c r="R570">
        <v>217038</v>
      </c>
      <c r="S570" t="s">
        <v>87</v>
      </c>
      <c r="T570" s="1">
        <v>46052</v>
      </c>
      <c r="U570">
        <v>674.43</v>
      </c>
      <c r="V570">
        <v>674.43</v>
      </c>
    </row>
    <row r="571" spans="1:22" x14ac:dyDescent="0.3">
      <c r="A571" t="s">
        <v>1328</v>
      </c>
      <c r="B571" t="s">
        <v>1329</v>
      </c>
      <c r="C571" t="s">
        <v>13</v>
      </c>
      <c r="D571" t="s">
        <v>177</v>
      </c>
      <c r="E571" t="s">
        <v>15</v>
      </c>
      <c r="J571" s="1">
        <v>46027</v>
      </c>
      <c r="K571">
        <v>57</v>
      </c>
      <c r="L571" t="s">
        <v>1330</v>
      </c>
      <c r="M571">
        <v>4</v>
      </c>
      <c r="N571" t="str">
        <f>VLOOKUP(M571,[1]LOJA!$A:$B,2,0)</f>
        <v>ADE</v>
      </c>
      <c r="O571">
        <v>132</v>
      </c>
      <c r="P571" t="str">
        <f>VLOOKUP(O571,[1]OPERADORES!$A:$B,2,0)</f>
        <v>PAMELA GONÇALVES ROSA</v>
      </c>
      <c r="Q571">
        <v>4</v>
      </c>
      <c r="S571" t="s">
        <v>1331</v>
      </c>
      <c r="T571" s="1">
        <v>46027</v>
      </c>
      <c r="U571">
        <v>-18.079999999999998</v>
      </c>
      <c r="V571">
        <v>-18.079999999999998</v>
      </c>
    </row>
    <row r="572" spans="1:22" x14ac:dyDescent="0.3">
      <c r="A572" t="s">
        <v>1332</v>
      </c>
      <c r="B572" t="s">
        <v>32</v>
      </c>
      <c r="C572" t="s">
        <v>1238</v>
      </c>
      <c r="D572" t="s">
        <v>1333</v>
      </c>
      <c r="E572" t="s">
        <v>15</v>
      </c>
      <c r="J572" s="1">
        <v>45650</v>
      </c>
      <c r="K572">
        <v>434</v>
      </c>
      <c r="L572" t="s">
        <v>1334</v>
      </c>
      <c r="M572">
        <v>8</v>
      </c>
      <c r="N572" t="str">
        <f>VLOOKUP(M572,[1]LOJA!$A:$B,2,0)</f>
        <v>LUZIÂNIA</v>
      </c>
      <c r="O572">
        <v>229</v>
      </c>
      <c r="P572" t="str">
        <f>VLOOKUP(O572,[1]OPERADORES!$A:$B,2,0)</f>
        <v>FRED</v>
      </c>
      <c r="Q572">
        <v>7</v>
      </c>
      <c r="S572" t="s">
        <v>1335</v>
      </c>
      <c r="T572" s="1">
        <v>45649</v>
      </c>
      <c r="U572">
        <v>7.0000000000000007E-2</v>
      </c>
      <c r="V572">
        <v>7.0000000000000007E-2</v>
      </c>
    </row>
    <row r="573" spans="1:22" x14ac:dyDescent="0.3">
      <c r="A573" t="s">
        <v>5543</v>
      </c>
      <c r="B573" t="s">
        <v>5544</v>
      </c>
      <c r="C573" t="s">
        <v>30</v>
      </c>
      <c r="D573" t="s">
        <v>5545</v>
      </c>
      <c r="E573" t="s">
        <v>15</v>
      </c>
      <c r="J573" s="1">
        <v>46084</v>
      </c>
      <c r="K573">
        <v>0</v>
      </c>
      <c r="L573" t="s">
        <v>5546</v>
      </c>
      <c r="M573">
        <v>9</v>
      </c>
      <c r="N573" t="str">
        <f>VLOOKUP(M573,[1]LOJA!$A:$B,2,0)</f>
        <v>ÚNICA</v>
      </c>
      <c r="O573">
        <v>174</v>
      </c>
      <c r="P573" t="str">
        <f>VLOOKUP(O573,[1]OPERADORES!$A:$B,2,0)</f>
        <v>MIRIÃ LOBATO RODRIGUES</v>
      </c>
      <c r="Q573">
        <v>23</v>
      </c>
      <c r="R573">
        <v>206007</v>
      </c>
      <c r="S573" t="s">
        <v>55</v>
      </c>
      <c r="T573" s="1">
        <v>45994</v>
      </c>
      <c r="U573">
        <v>414.5</v>
      </c>
      <c r="V573">
        <v>414.5</v>
      </c>
    </row>
    <row r="574" spans="1:22" x14ac:dyDescent="0.3">
      <c r="A574" t="s">
        <v>1336</v>
      </c>
      <c r="B574" t="s">
        <v>1337</v>
      </c>
      <c r="C574" t="s">
        <v>13</v>
      </c>
      <c r="D574" t="s">
        <v>1338</v>
      </c>
      <c r="E574" t="s">
        <v>15</v>
      </c>
      <c r="J574" s="1">
        <v>45706</v>
      </c>
      <c r="K574">
        <v>378</v>
      </c>
      <c r="L574" t="s">
        <v>1339</v>
      </c>
      <c r="M574">
        <v>8</v>
      </c>
      <c r="N574" t="str">
        <f>VLOOKUP(M574,[1]LOJA!$A:$B,2,0)</f>
        <v>LUZIÂNIA</v>
      </c>
      <c r="O574">
        <v>229</v>
      </c>
      <c r="P574" t="str">
        <f>VLOOKUP(O574,[1]OPERADORES!$A:$B,2,0)</f>
        <v>FRED</v>
      </c>
      <c r="Q574">
        <v>4</v>
      </c>
      <c r="S574" t="s">
        <v>1340</v>
      </c>
      <c r="T574" s="1">
        <v>45688</v>
      </c>
      <c r="U574">
        <v>-2.99</v>
      </c>
      <c r="V574">
        <v>-2.99</v>
      </c>
    </row>
    <row r="575" spans="1:22" x14ac:dyDescent="0.3">
      <c r="A575" t="s">
        <v>1341</v>
      </c>
      <c r="B575" t="s">
        <v>1342</v>
      </c>
      <c r="C575" t="s">
        <v>13</v>
      </c>
      <c r="D575" t="s">
        <v>1343</v>
      </c>
      <c r="E575" t="s">
        <v>15</v>
      </c>
      <c r="J575" s="1">
        <v>45693</v>
      </c>
      <c r="K575">
        <v>391</v>
      </c>
      <c r="L575" t="s">
        <v>1344</v>
      </c>
      <c r="M575">
        <v>9</v>
      </c>
      <c r="N575" t="str">
        <f>VLOOKUP(M575,[1]LOJA!$A:$B,2,0)</f>
        <v>ÚNICA</v>
      </c>
      <c r="O575">
        <v>144</v>
      </c>
      <c r="P575" t="str">
        <f>VLOOKUP(O575,[1]OPERADORES!$A:$B,2,0)</f>
        <v>CINTIA DA SILVA CARLOS</v>
      </c>
      <c r="Q575">
        <v>4</v>
      </c>
      <c r="S575" t="s">
        <v>1345</v>
      </c>
      <c r="T575" s="1">
        <v>45693</v>
      </c>
      <c r="U575">
        <v>-4.04</v>
      </c>
      <c r="V575">
        <v>-4.04</v>
      </c>
    </row>
    <row r="576" spans="1:22" x14ac:dyDescent="0.3">
      <c r="A576" t="s">
        <v>1346</v>
      </c>
      <c r="B576" t="s">
        <v>32</v>
      </c>
      <c r="C576" t="s">
        <v>13</v>
      </c>
      <c r="D576" t="s">
        <v>98</v>
      </c>
      <c r="E576" t="s">
        <v>15</v>
      </c>
      <c r="J576" s="1">
        <v>46006</v>
      </c>
      <c r="K576">
        <v>78</v>
      </c>
      <c r="L576" t="s">
        <v>1347</v>
      </c>
      <c r="M576">
        <v>24</v>
      </c>
      <c r="N576" t="str">
        <f>VLOOKUP(M576,[1]LOJA!$A:$B,2,0)</f>
        <v>LUZIÂNIA</v>
      </c>
      <c r="O576">
        <v>244</v>
      </c>
      <c r="P576" t="str">
        <f>VLOOKUP(O576,[1]OPERADORES!$A:$B,2,0)</f>
        <v>NATHALIA PEREIRA DA SILVA</v>
      </c>
      <c r="Q576">
        <v>4</v>
      </c>
      <c r="S576" t="s">
        <v>1348</v>
      </c>
      <c r="T576" s="1">
        <v>46006</v>
      </c>
      <c r="U576">
        <v>-2</v>
      </c>
      <c r="V576">
        <v>-2</v>
      </c>
    </row>
    <row r="577" spans="1:22" x14ac:dyDescent="0.3">
      <c r="A577" t="s">
        <v>1349</v>
      </c>
      <c r="B577" t="s">
        <v>1350</v>
      </c>
      <c r="C577" t="s">
        <v>13</v>
      </c>
      <c r="D577" t="s">
        <v>137</v>
      </c>
      <c r="E577" t="s">
        <v>15</v>
      </c>
      <c r="J577" s="1">
        <v>44678</v>
      </c>
      <c r="K577">
        <v>1406</v>
      </c>
      <c r="L577" t="s">
        <v>195</v>
      </c>
      <c r="M577">
        <v>13</v>
      </c>
      <c r="N577" t="str">
        <f>VLOOKUP(M577,[1]LOJA!$A:$B,2,0)</f>
        <v>CEILÂNDIA</v>
      </c>
      <c r="O577">
        <v>67</v>
      </c>
      <c r="P577" t="str">
        <f>VLOOKUP(O577,[1]OPERADORES!$A:$B,2,0)</f>
        <v>ERIKA</v>
      </c>
      <c r="Q577">
        <v>4</v>
      </c>
      <c r="S577" t="s">
        <v>142</v>
      </c>
      <c r="T577" s="1">
        <v>44678</v>
      </c>
      <c r="U577">
        <v>-0.1</v>
      </c>
      <c r="V577">
        <v>-0.1</v>
      </c>
    </row>
    <row r="578" spans="1:22" x14ac:dyDescent="0.3">
      <c r="A578" t="s">
        <v>1351</v>
      </c>
      <c r="B578" t="s">
        <v>1352</v>
      </c>
      <c r="C578" t="s">
        <v>1039</v>
      </c>
      <c r="D578" t="s">
        <v>5547</v>
      </c>
      <c r="E578" t="s">
        <v>15</v>
      </c>
      <c r="J578" s="1">
        <v>46057</v>
      </c>
      <c r="K578">
        <v>27</v>
      </c>
      <c r="L578" t="s">
        <v>1353</v>
      </c>
      <c r="M578">
        <v>14</v>
      </c>
      <c r="N578" t="str">
        <f>VLOOKUP(M578,[1]LOJA!$A:$B,2,0)</f>
        <v>S IA</v>
      </c>
      <c r="O578">
        <v>212</v>
      </c>
      <c r="P578" t="str">
        <f>VLOOKUP(O578,[1]OPERADORES!$A:$B,2,0)</f>
        <v>YASMIN</v>
      </c>
      <c r="Q578">
        <v>7</v>
      </c>
      <c r="S578" t="s">
        <v>5548</v>
      </c>
      <c r="T578" s="1">
        <v>46027</v>
      </c>
      <c r="U578">
        <v>590.62</v>
      </c>
      <c r="V578">
        <v>590.62</v>
      </c>
    </row>
    <row r="579" spans="1:22" x14ac:dyDescent="0.3">
      <c r="A579" t="s">
        <v>1354</v>
      </c>
      <c r="B579" t="s">
        <v>32</v>
      </c>
      <c r="C579" t="s">
        <v>13</v>
      </c>
      <c r="D579" t="s">
        <v>1355</v>
      </c>
      <c r="E579" t="s">
        <v>15</v>
      </c>
      <c r="J579" s="1">
        <v>46030</v>
      </c>
      <c r="K579">
        <v>54</v>
      </c>
      <c r="L579" t="s">
        <v>1356</v>
      </c>
      <c r="M579">
        <v>24</v>
      </c>
      <c r="N579" t="str">
        <f>VLOOKUP(M579,[1]LOJA!$A:$B,2,0)</f>
        <v>LUZIÂNIA</v>
      </c>
      <c r="O579">
        <v>242</v>
      </c>
      <c r="P579" t="str">
        <f>VLOOKUP(O579,[1]OPERADORES!$A:$B,2,0)</f>
        <v>CRISTIANO</v>
      </c>
      <c r="Q579">
        <v>4</v>
      </c>
      <c r="S579" t="s">
        <v>1357</v>
      </c>
      <c r="T579" s="1">
        <v>46030</v>
      </c>
      <c r="U579">
        <v>-107.8</v>
      </c>
      <c r="V579">
        <v>-107.8</v>
      </c>
    </row>
    <row r="580" spans="1:22" x14ac:dyDescent="0.3">
      <c r="A580" t="s">
        <v>5549</v>
      </c>
      <c r="B580" t="s">
        <v>5550</v>
      </c>
      <c r="C580" t="s">
        <v>13</v>
      </c>
      <c r="D580" t="s">
        <v>5551</v>
      </c>
      <c r="E580" t="s">
        <v>15</v>
      </c>
      <c r="J580" s="1">
        <v>46077</v>
      </c>
      <c r="K580">
        <v>7</v>
      </c>
      <c r="L580" t="s">
        <v>5552</v>
      </c>
      <c r="M580">
        <v>4</v>
      </c>
      <c r="N580" t="str">
        <f>VLOOKUP(M580,[1]LOJA!$A:$B,2,0)</f>
        <v>ADE</v>
      </c>
      <c r="O580">
        <v>191</v>
      </c>
      <c r="P580" t="str">
        <f>VLOOKUP(O580,[1]OPERADORES!$A:$B,2,0)</f>
        <v xml:space="preserve">NATHAN DE LIMA SOUSA </v>
      </c>
      <c r="Q580">
        <v>7</v>
      </c>
      <c r="S580" t="s">
        <v>87</v>
      </c>
      <c r="T580" s="1">
        <v>46076</v>
      </c>
      <c r="U580">
        <v>281</v>
      </c>
      <c r="V580">
        <v>281</v>
      </c>
    </row>
    <row r="581" spans="1:22" x14ac:dyDescent="0.3">
      <c r="A581" t="s">
        <v>1358</v>
      </c>
      <c r="B581" t="s">
        <v>1359</v>
      </c>
      <c r="C581" t="s">
        <v>13</v>
      </c>
      <c r="D581" t="s">
        <v>1360</v>
      </c>
      <c r="E581" t="s">
        <v>15</v>
      </c>
      <c r="J581" s="1">
        <v>44202</v>
      </c>
      <c r="K581">
        <v>1882</v>
      </c>
      <c r="L581" t="s">
        <v>1361</v>
      </c>
      <c r="M581">
        <v>9</v>
      </c>
      <c r="N581" t="str">
        <f>VLOOKUP(M581,[1]LOJA!$A:$B,2,0)</f>
        <v>ÚNICA</v>
      </c>
      <c r="O581">
        <v>24</v>
      </c>
      <c r="P581" t="str">
        <f>VLOOKUP(O581,[1]OPERADORES!$A:$B,2,0)</f>
        <v>ROGERIO</v>
      </c>
      <c r="Q581">
        <v>7</v>
      </c>
      <c r="S581" t="s">
        <v>87</v>
      </c>
      <c r="T581" s="1">
        <v>44172</v>
      </c>
      <c r="U581" s="2">
        <v>2000.45</v>
      </c>
      <c r="V581" s="2">
        <v>2000.45</v>
      </c>
    </row>
    <row r="582" spans="1:22" x14ac:dyDescent="0.3">
      <c r="A582" t="s">
        <v>1362</v>
      </c>
      <c r="B582" t="s">
        <v>1363</v>
      </c>
      <c r="C582" t="s">
        <v>848</v>
      </c>
      <c r="D582" t="s">
        <v>5553</v>
      </c>
      <c r="E582" t="s">
        <v>15</v>
      </c>
      <c r="J582" s="1">
        <v>45671</v>
      </c>
      <c r="K582">
        <v>413</v>
      </c>
      <c r="L582" t="s">
        <v>1364</v>
      </c>
      <c r="M582">
        <v>9</v>
      </c>
      <c r="N582" t="str">
        <f>VLOOKUP(M582,[1]LOJA!$A:$B,2,0)</f>
        <v>ÚNICA</v>
      </c>
      <c r="O582">
        <v>84</v>
      </c>
      <c r="P582" t="str">
        <f>VLOOKUP(O582,[1]OPERADORES!$A:$B,2,0)</f>
        <v>JEICY AZEVEDO</v>
      </c>
      <c r="Q582">
        <v>4</v>
      </c>
      <c r="S582" t="s">
        <v>1365</v>
      </c>
      <c r="T582" s="1">
        <v>45671</v>
      </c>
      <c r="U582">
        <v>-371.3</v>
      </c>
      <c r="V582">
        <v>-371.3</v>
      </c>
    </row>
    <row r="583" spans="1:22" x14ac:dyDescent="0.3">
      <c r="A583" t="s">
        <v>1362</v>
      </c>
      <c r="B583" t="s">
        <v>1363</v>
      </c>
      <c r="C583" t="s">
        <v>848</v>
      </c>
      <c r="D583" t="s">
        <v>5553</v>
      </c>
      <c r="E583" t="s">
        <v>15</v>
      </c>
      <c r="J583" s="1">
        <v>45757</v>
      </c>
      <c r="K583">
        <v>327</v>
      </c>
      <c r="L583" t="s">
        <v>1366</v>
      </c>
      <c r="M583">
        <v>9</v>
      </c>
      <c r="N583" t="str">
        <f>VLOOKUP(M583,[1]LOJA!$A:$B,2,0)</f>
        <v>ÚNICA</v>
      </c>
      <c r="O583">
        <v>144</v>
      </c>
      <c r="P583" t="str">
        <f>VLOOKUP(O583,[1]OPERADORES!$A:$B,2,0)</f>
        <v>CINTIA DA SILVA CARLOS</v>
      </c>
      <c r="Q583">
        <v>4</v>
      </c>
      <c r="S583" t="s">
        <v>1367</v>
      </c>
      <c r="T583" s="1">
        <v>45757</v>
      </c>
      <c r="U583">
        <v>-1.44</v>
      </c>
      <c r="V583">
        <v>-1.44</v>
      </c>
    </row>
    <row r="584" spans="1:22" x14ac:dyDescent="0.3">
      <c r="A584" t="s">
        <v>1368</v>
      </c>
      <c r="B584" t="s">
        <v>1369</v>
      </c>
      <c r="C584" t="s">
        <v>30</v>
      </c>
      <c r="D584" t="s">
        <v>1370</v>
      </c>
      <c r="E584" t="s">
        <v>15</v>
      </c>
      <c r="J584" s="1">
        <v>45370</v>
      </c>
      <c r="K584">
        <v>714</v>
      </c>
      <c r="L584" t="s">
        <v>1371</v>
      </c>
      <c r="M584">
        <v>14</v>
      </c>
      <c r="N584" t="str">
        <f>VLOOKUP(M584,[1]LOJA!$A:$B,2,0)</f>
        <v>S IA</v>
      </c>
      <c r="O584">
        <v>207</v>
      </c>
      <c r="P584" t="str">
        <f>VLOOKUP(O584,[1]OPERADORES!$A:$B,2,0)</f>
        <v>KETILE SABRINE</v>
      </c>
      <c r="Q584">
        <v>4</v>
      </c>
      <c r="S584" t="s">
        <v>1372</v>
      </c>
      <c r="T584" s="1">
        <v>45370</v>
      </c>
      <c r="U584">
        <v>-0.27</v>
      </c>
      <c r="V584">
        <v>-0.27</v>
      </c>
    </row>
    <row r="585" spans="1:22" x14ac:dyDescent="0.3">
      <c r="A585" t="s">
        <v>1373</v>
      </c>
      <c r="B585" t="s">
        <v>1374</v>
      </c>
      <c r="C585" t="s">
        <v>13</v>
      </c>
      <c r="D585" t="s">
        <v>1375</v>
      </c>
      <c r="E585" t="s">
        <v>15</v>
      </c>
      <c r="J585" s="1">
        <v>45492</v>
      </c>
      <c r="K585">
        <v>592</v>
      </c>
      <c r="L585" t="s">
        <v>1376</v>
      </c>
      <c r="M585">
        <v>22</v>
      </c>
      <c r="N585" t="str">
        <f>VLOOKUP(M585,[1]LOJA!$A:$B,2,0)</f>
        <v>GUARÁ</v>
      </c>
      <c r="O585">
        <v>212</v>
      </c>
      <c r="P585" t="str">
        <f>VLOOKUP(O585,[1]OPERADORES!$A:$B,2,0)</f>
        <v>YASMIN</v>
      </c>
      <c r="Q585">
        <v>4</v>
      </c>
      <c r="S585" t="s">
        <v>1377</v>
      </c>
      <c r="T585" s="1">
        <v>45492</v>
      </c>
      <c r="U585">
        <v>-52</v>
      </c>
      <c r="V585">
        <v>-52</v>
      </c>
    </row>
    <row r="586" spans="1:22" x14ac:dyDescent="0.3">
      <c r="A586" t="s">
        <v>1378</v>
      </c>
      <c r="B586" t="s">
        <v>1379</v>
      </c>
      <c r="C586" t="s">
        <v>13</v>
      </c>
      <c r="D586" t="s">
        <v>1380</v>
      </c>
      <c r="E586" t="s">
        <v>15</v>
      </c>
      <c r="J586" s="1">
        <v>45601</v>
      </c>
      <c r="K586">
        <v>483</v>
      </c>
      <c r="L586" t="s">
        <v>1381</v>
      </c>
      <c r="M586">
        <v>16</v>
      </c>
      <c r="N586" t="str">
        <f>VLOOKUP(M586,[1]LOJA!$A:$B,2,0)</f>
        <v>AG LINDAS</v>
      </c>
      <c r="O586">
        <v>228</v>
      </c>
      <c r="P586" t="str">
        <f>VLOOKUP(O586,[1]OPERADORES!$A:$B,2,0)</f>
        <v>LUCAS</v>
      </c>
      <c r="Q586">
        <v>4</v>
      </c>
      <c r="S586" t="s">
        <v>1382</v>
      </c>
      <c r="T586" s="1">
        <v>45588</v>
      </c>
      <c r="U586">
        <v>-0.13</v>
      </c>
      <c r="V586">
        <v>-0.13</v>
      </c>
    </row>
    <row r="587" spans="1:22" x14ac:dyDescent="0.3">
      <c r="A587" t="s">
        <v>1383</v>
      </c>
      <c r="B587" t="s">
        <v>1384</v>
      </c>
      <c r="C587" t="s">
        <v>13</v>
      </c>
      <c r="D587" t="s">
        <v>1385</v>
      </c>
      <c r="E587" t="s">
        <v>15</v>
      </c>
      <c r="J587" s="1">
        <v>45758</v>
      </c>
      <c r="K587">
        <v>326</v>
      </c>
      <c r="L587" t="s">
        <v>1386</v>
      </c>
      <c r="M587">
        <v>9</v>
      </c>
      <c r="N587" t="str">
        <f>VLOOKUP(M587,[1]LOJA!$A:$B,2,0)</f>
        <v>ÚNICA</v>
      </c>
      <c r="O587">
        <v>144</v>
      </c>
      <c r="P587" t="str">
        <f>VLOOKUP(O587,[1]OPERADORES!$A:$B,2,0)</f>
        <v>CINTIA DA SILVA CARLOS</v>
      </c>
      <c r="Q587">
        <v>4</v>
      </c>
      <c r="S587" t="s">
        <v>1387</v>
      </c>
      <c r="T587" s="1">
        <v>45758</v>
      </c>
      <c r="U587">
        <v>-1.3</v>
      </c>
      <c r="V587">
        <v>-1.3</v>
      </c>
    </row>
    <row r="588" spans="1:22" x14ac:dyDescent="0.3">
      <c r="A588" t="s">
        <v>1388</v>
      </c>
      <c r="B588" t="s">
        <v>1389</v>
      </c>
      <c r="C588" t="s">
        <v>43</v>
      </c>
      <c r="D588" t="s">
        <v>1390</v>
      </c>
      <c r="E588" t="s">
        <v>15</v>
      </c>
      <c r="J588" s="1">
        <v>45672</v>
      </c>
      <c r="K588">
        <v>412</v>
      </c>
      <c r="L588" t="s">
        <v>1391</v>
      </c>
      <c r="M588">
        <v>14</v>
      </c>
      <c r="N588" t="str">
        <f>VLOOKUP(M588,[1]LOJA!$A:$B,2,0)</f>
        <v>S IA</v>
      </c>
      <c r="O588">
        <v>54</v>
      </c>
      <c r="P588" t="str">
        <f>VLOOKUP(O588,[1]OPERADORES!$A:$B,2,0)</f>
        <v>ROBSON</v>
      </c>
      <c r="Q588">
        <v>7</v>
      </c>
      <c r="S588" t="s">
        <v>87</v>
      </c>
      <c r="T588" s="1">
        <v>45667</v>
      </c>
      <c r="U588">
        <v>79</v>
      </c>
      <c r="V588">
        <v>79</v>
      </c>
    </row>
    <row r="589" spans="1:22" x14ac:dyDescent="0.3">
      <c r="A589" t="s">
        <v>1388</v>
      </c>
      <c r="B589" t="s">
        <v>1389</v>
      </c>
      <c r="C589" t="s">
        <v>43</v>
      </c>
      <c r="D589" t="s">
        <v>1390</v>
      </c>
      <c r="E589" t="s">
        <v>15</v>
      </c>
      <c r="J589" s="1">
        <v>45672</v>
      </c>
      <c r="K589">
        <v>412</v>
      </c>
      <c r="L589" t="s">
        <v>1392</v>
      </c>
      <c r="M589">
        <v>14</v>
      </c>
      <c r="N589" t="str">
        <f>VLOOKUP(M589,[1]LOJA!$A:$B,2,0)</f>
        <v>S IA</v>
      </c>
      <c r="O589">
        <v>54</v>
      </c>
      <c r="P589" t="str">
        <f>VLOOKUP(O589,[1]OPERADORES!$A:$B,2,0)</f>
        <v>ROBSON</v>
      </c>
      <c r="Q589">
        <v>7</v>
      </c>
      <c r="S589" t="s">
        <v>87</v>
      </c>
      <c r="T589" s="1">
        <v>45667</v>
      </c>
      <c r="U589">
        <v>269.10000000000002</v>
      </c>
      <c r="V589">
        <v>269.10000000000002</v>
      </c>
    </row>
    <row r="590" spans="1:22" x14ac:dyDescent="0.3">
      <c r="A590" t="s">
        <v>1388</v>
      </c>
      <c r="B590" t="s">
        <v>1389</v>
      </c>
      <c r="C590" t="s">
        <v>43</v>
      </c>
      <c r="D590" t="s">
        <v>1390</v>
      </c>
      <c r="E590" t="s">
        <v>15</v>
      </c>
      <c r="J590" s="1">
        <v>45672</v>
      </c>
      <c r="K590">
        <v>412</v>
      </c>
      <c r="L590" t="s">
        <v>1393</v>
      </c>
      <c r="M590">
        <v>14</v>
      </c>
      <c r="N590" t="str">
        <f>VLOOKUP(M590,[1]LOJA!$A:$B,2,0)</f>
        <v>S IA</v>
      </c>
      <c r="O590">
        <v>227</v>
      </c>
      <c r="P590" t="str">
        <f>VLOOKUP(O590,[1]OPERADORES!$A:$B,2,0)</f>
        <v>WHALISSON</v>
      </c>
      <c r="Q590">
        <v>7</v>
      </c>
      <c r="S590" t="s">
        <v>87</v>
      </c>
      <c r="T590" s="1">
        <v>45667</v>
      </c>
      <c r="U590">
        <v>76.87</v>
      </c>
      <c r="V590">
        <v>76.87</v>
      </c>
    </row>
    <row r="591" spans="1:22" x14ac:dyDescent="0.3">
      <c r="A591" t="s">
        <v>1394</v>
      </c>
      <c r="B591" t="s">
        <v>32</v>
      </c>
      <c r="C591" t="s">
        <v>1395</v>
      </c>
      <c r="D591" t="s">
        <v>1396</v>
      </c>
      <c r="E591" t="s">
        <v>15</v>
      </c>
      <c r="J591" s="1">
        <v>45825</v>
      </c>
      <c r="K591">
        <v>259</v>
      </c>
      <c r="L591" t="s">
        <v>1397</v>
      </c>
      <c r="M591">
        <v>12</v>
      </c>
      <c r="N591" t="str">
        <f>VLOOKUP(M591,[1]LOJA!$A:$B,2,0)</f>
        <v>SOFNORTE</v>
      </c>
      <c r="O591">
        <v>209</v>
      </c>
      <c r="P591" t="str">
        <f>VLOOKUP(O591,[1]OPERADORES!$A:$B,2,0)</f>
        <v>MARIA WITHALINA CUNHA DE SOUZA</v>
      </c>
      <c r="Q591">
        <v>4</v>
      </c>
      <c r="S591" t="s">
        <v>1398</v>
      </c>
      <c r="T591" s="1">
        <v>45824</v>
      </c>
      <c r="U591">
        <v>-0.41</v>
      </c>
      <c r="V591">
        <v>-0.41</v>
      </c>
    </row>
    <row r="592" spans="1:22" x14ac:dyDescent="0.3">
      <c r="A592" t="s">
        <v>1399</v>
      </c>
      <c r="B592" t="s">
        <v>1400</v>
      </c>
      <c r="C592" t="s">
        <v>13</v>
      </c>
      <c r="D592" t="s">
        <v>5554</v>
      </c>
      <c r="E592" t="s">
        <v>15</v>
      </c>
      <c r="J592" s="1">
        <v>46073</v>
      </c>
      <c r="K592">
        <v>11</v>
      </c>
      <c r="L592" t="s">
        <v>5555</v>
      </c>
      <c r="M592">
        <v>24</v>
      </c>
      <c r="N592" t="str">
        <f>VLOOKUP(M592,[1]LOJA!$A:$B,2,0)</f>
        <v>LUZIÂNIA</v>
      </c>
      <c r="O592">
        <v>192</v>
      </c>
      <c r="P592" t="str">
        <f>VLOOKUP(O592,[1]OPERADORES!$A:$B,2,0)</f>
        <v>CIDA</v>
      </c>
      <c r="Q592">
        <v>4</v>
      </c>
      <c r="S592" t="s">
        <v>5556</v>
      </c>
      <c r="T592" s="1">
        <v>46073</v>
      </c>
      <c r="U592">
        <v>-5.84</v>
      </c>
      <c r="V592">
        <v>-5.84</v>
      </c>
    </row>
    <row r="593" spans="1:22" x14ac:dyDescent="0.3">
      <c r="A593" t="s">
        <v>1399</v>
      </c>
      <c r="B593" t="s">
        <v>1400</v>
      </c>
      <c r="C593" t="s">
        <v>13</v>
      </c>
      <c r="D593" t="s">
        <v>5554</v>
      </c>
      <c r="E593" t="s">
        <v>15</v>
      </c>
      <c r="J593" s="1">
        <v>46080</v>
      </c>
      <c r="K593">
        <v>4</v>
      </c>
      <c r="L593" t="s">
        <v>5557</v>
      </c>
      <c r="M593">
        <v>24</v>
      </c>
      <c r="N593" t="str">
        <f>VLOOKUP(M593,[1]LOJA!$A:$B,2,0)</f>
        <v>LUZIÂNIA</v>
      </c>
      <c r="O593">
        <v>170</v>
      </c>
      <c r="P593" t="str">
        <f>VLOOKUP(O593,[1]OPERADORES!$A:$B,2,0)</f>
        <v>MARIA LUISA</v>
      </c>
      <c r="Q593">
        <v>4</v>
      </c>
      <c r="S593" t="s">
        <v>110</v>
      </c>
      <c r="T593" s="1">
        <v>46080</v>
      </c>
      <c r="U593">
        <v>-16</v>
      </c>
      <c r="V593">
        <v>-16</v>
      </c>
    </row>
    <row r="594" spans="1:22" x14ac:dyDescent="0.3">
      <c r="A594" t="s">
        <v>1401</v>
      </c>
      <c r="B594" t="s">
        <v>1402</v>
      </c>
      <c r="C594" t="s">
        <v>13</v>
      </c>
      <c r="D594" t="s">
        <v>5558</v>
      </c>
      <c r="E594" t="s">
        <v>15</v>
      </c>
      <c r="J594" s="1">
        <v>46071</v>
      </c>
      <c r="K594">
        <v>13</v>
      </c>
      <c r="L594" t="s">
        <v>5559</v>
      </c>
      <c r="M594">
        <v>4</v>
      </c>
      <c r="N594" t="str">
        <f>VLOOKUP(M594,[1]LOJA!$A:$B,2,0)</f>
        <v>ADE</v>
      </c>
      <c r="O594">
        <v>247</v>
      </c>
      <c r="P594" t="str">
        <f>VLOOKUP(O594,[1]OPERADORES!$A:$B,2,0)</f>
        <v>TATIELE BRITO</v>
      </c>
      <c r="Q594">
        <v>4</v>
      </c>
      <c r="S594" t="s">
        <v>5560</v>
      </c>
      <c r="T594" s="1">
        <v>46071</v>
      </c>
      <c r="U594">
        <v>-7.34</v>
      </c>
      <c r="V594">
        <v>-7.34</v>
      </c>
    </row>
    <row r="595" spans="1:22" x14ac:dyDescent="0.3">
      <c r="A595" t="s">
        <v>1403</v>
      </c>
      <c r="B595" t="s">
        <v>1404</v>
      </c>
      <c r="C595" t="s">
        <v>1405</v>
      </c>
      <c r="D595" t="s">
        <v>5561</v>
      </c>
      <c r="E595" t="s">
        <v>15</v>
      </c>
      <c r="J595" s="1">
        <v>45215</v>
      </c>
      <c r="K595">
        <v>869</v>
      </c>
      <c r="L595" t="s">
        <v>1406</v>
      </c>
      <c r="M595">
        <v>9</v>
      </c>
      <c r="N595" t="str">
        <f>VLOOKUP(M595,[1]LOJA!$A:$B,2,0)</f>
        <v>ÚNICA</v>
      </c>
      <c r="O595">
        <v>84</v>
      </c>
      <c r="P595" t="str">
        <f>VLOOKUP(O595,[1]OPERADORES!$A:$B,2,0)</f>
        <v>JEICY AZEVEDO</v>
      </c>
      <c r="Q595">
        <v>27</v>
      </c>
      <c r="S595" t="s">
        <v>1407</v>
      </c>
      <c r="T595" s="1">
        <v>45215</v>
      </c>
      <c r="U595" s="2">
        <v>-1560.69</v>
      </c>
      <c r="V595" s="2">
        <v>-1560.69</v>
      </c>
    </row>
    <row r="596" spans="1:22" x14ac:dyDescent="0.3">
      <c r="A596" t="s">
        <v>1403</v>
      </c>
      <c r="B596" t="s">
        <v>1404</v>
      </c>
      <c r="C596" t="s">
        <v>1405</v>
      </c>
      <c r="D596" t="s">
        <v>5561</v>
      </c>
      <c r="E596" t="s">
        <v>15</v>
      </c>
      <c r="J596" s="1">
        <v>45533</v>
      </c>
      <c r="K596">
        <v>551</v>
      </c>
      <c r="L596" t="s">
        <v>1408</v>
      </c>
      <c r="M596">
        <v>9</v>
      </c>
      <c r="N596" t="str">
        <f>VLOOKUP(M596,[1]LOJA!$A:$B,2,0)</f>
        <v>ÚNICA</v>
      </c>
      <c r="O596">
        <v>135</v>
      </c>
      <c r="P596" t="str">
        <f>VLOOKUP(O596,[1]OPERADORES!$A:$B,2,0)</f>
        <v>SAMUEL DA COSTA F. CARVALHO</v>
      </c>
      <c r="Q596">
        <v>4</v>
      </c>
      <c r="S596" t="s">
        <v>1409</v>
      </c>
      <c r="T596" s="1">
        <v>45533</v>
      </c>
      <c r="U596" s="2">
        <v>-2090.9699999999998</v>
      </c>
      <c r="V596" s="2">
        <v>-2090.9699999999998</v>
      </c>
    </row>
    <row r="597" spans="1:22" x14ac:dyDescent="0.3">
      <c r="A597" t="s">
        <v>1403</v>
      </c>
      <c r="B597" t="s">
        <v>1404</v>
      </c>
      <c r="C597" t="s">
        <v>1405</v>
      </c>
      <c r="D597" t="s">
        <v>5561</v>
      </c>
      <c r="E597" t="s">
        <v>15</v>
      </c>
      <c r="J597" s="1">
        <v>45533</v>
      </c>
      <c r="K597">
        <v>551</v>
      </c>
      <c r="L597" t="s">
        <v>1410</v>
      </c>
      <c r="M597">
        <v>9</v>
      </c>
      <c r="N597" t="str">
        <f>VLOOKUP(M597,[1]LOJA!$A:$B,2,0)</f>
        <v>ÚNICA</v>
      </c>
      <c r="O597">
        <v>176</v>
      </c>
      <c r="P597" t="str">
        <f>VLOOKUP(O597,[1]OPERADORES!$A:$B,2,0)</f>
        <v>EDUARDO DE JESUS BALDUINO</v>
      </c>
      <c r="Q597">
        <v>4</v>
      </c>
      <c r="S597" t="s">
        <v>1411</v>
      </c>
      <c r="T597" s="1">
        <v>45533</v>
      </c>
      <c r="U597" s="2">
        <v>-1614.81</v>
      </c>
      <c r="V597" s="2">
        <v>-1614.81</v>
      </c>
    </row>
    <row r="598" spans="1:22" x14ac:dyDescent="0.3">
      <c r="A598" t="s">
        <v>1403</v>
      </c>
      <c r="B598" t="s">
        <v>1404</v>
      </c>
      <c r="C598" t="s">
        <v>1405</v>
      </c>
      <c r="D598" t="s">
        <v>5561</v>
      </c>
      <c r="E598" t="s">
        <v>15</v>
      </c>
      <c r="J598" s="1">
        <v>45533</v>
      </c>
      <c r="K598">
        <v>551</v>
      </c>
      <c r="L598" t="s">
        <v>1412</v>
      </c>
      <c r="M598">
        <v>9</v>
      </c>
      <c r="N598" t="str">
        <f>VLOOKUP(M598,[1]LOJA!$A:$B,2,0)</f>
        <v>ÚNICA</v>
      </c>
      <c r="O598">
        <v>176</v>
      </c>
      <c r="P598" t="str">
        <f>VLOOKUP(O598,[1]OPERADORES!$A:$B,2,0)</f>
        <v>EDUARDO DE JESUS BALDUINO</v>
      </c>
      <c r="Q598">
        <v>4</v>
      </c>
      <c r="S598" t="s">
        <v>1413</v>
      </c>
      <c r="T598" s="1">
        <v>45533</v>
      </c>
      <c r="U598">
        <v>-172.51</v>
      </c>
      <c r="V598">
        <v>-172.51</v>
      </c>
    </row>
    <row r="599" spans="1:22" x14ac:dyDescent="0.3">
      <c r="A599" t="s">
        <v>1403</v>
      </c>
      <c r="B599" t="s">
        <v>1404</v>
      </c>
      <c r="C599" t="s">
        <v>1405</v>
      </c>
      <c r="D599" t="s">
        <v>5561</v>
      </c>
      <c r="E599" t="s">
        <v>15</v>
      </c>
      <c r="J599" s="1">
        <v>45533</v>
      </c>
      <c r="K599">
        <v>551</v>
      </c>
      <c r="L599" t="s">
        <v>1414</v>
      </c>
      <c r="M599">
        <v>9</v>
      </c>
      <c r="N599" t="str">
        <f>VLOOKUP(M599,[1]LOJA!$A:$B,2,0)</f>
        <v>ÚNICA</v>
      </c>
      <c r="O599">
        <v>176</v>
      </c>
      <c r="P599" t="str">
        <f>VLOOKUP(O599,[1]OPERADORES!$A:$B,2,0)</f>
        <v>EDUARDO DE JESUS BALDUINO</v>
      </c>
      <c r="Q599">
        <v>4</v>
      </c>
      <c r="S599" t="s">
        <v>1415</v>
      </c>
      <c r="T599" s="1">
        <v>45533</v>
      </c>
      <c r="U599" s="2">
        <v>-1862.73</v>
      </c>
      <c r="V599" s="2">
        <v>-1862.73</v>
      </c>
    </row>
    <row r="600" spans="1:22" x14ac:dyDescent="0.3">
      <c r="A600" t="s">
        <v>1403</v>
      </c>
      <c r="B600" t="s">
        <v>1404</v>
      </c>
      <c r="C600" t="s">
        <v>1405</v>
      </c>
      <c r="D600" t="s">
        <v>5561</v>
      </c>
      <c r="E600" t="s">
        <v>15</v>
      </c>
      <c r="J600" s="1">
        <v>45718</v>
      </c>
      <c r="K600">
        <v>366</v>
      </c>
      <c r="L600" t="s">
        <v>1416</v>
      </c>
      <c r="M600">
        <v>9</v>
      </c>
      <c r="N600" t="str">
        <f>VLOOKUP(M600,[1]LOJA!$A:$B,2,0)</f>
        <v>ÚNICA</v>
      </c>
      <c r="O600">
        <v>135</v>
      </c>
      <c r="P600" t="str">
        <f>VLOOKUP(O600,[1]OPERADORES!$A:$B,2,0)</f>
        <v>SAMUEL DA COSTA F. CARVALHO</v>
      </c>
      <c r="Q600">
        <v>7</v>
      </c>
      <c r="S600" t="s">
        <v>87</v>
      </c>
      <c r="T600" s="1">
        <v>45688</v>
      </c>
      <c r="U600" s="2">
        <v>3511.36</v>
      </c>
      <c r="V600" s="2">
        <v>3511.36</v>
      </c>
    </row>
    <row r="601" spans="1:22" x14ac:dyDescent="0.3">
      <c r="A601" t="s">
        <v>1403</v>
      </c>
      <c r="B601" t="s">
        <v>1404</v>
      </c>
      <c r="C601" t="s">
        <v>1405</v>
      </c>
      <c r="D601" t="s">
        <v>5561</v>
      </c>
      <c r="E601" t="s">
        <v>15</v>
      </c>
      <c r="J601" s="1">
        <v>45801</v>
      </c>
      <c r="K601">
        <v>283</v>
      </c>
      <c r="L601" t="s">
        <v>1417</v>
      </c>
      <c r="M601">
        <v>9</v>
      </c>
      <c r="N601" t="str">
        <f>VLOOKUP(M601,[1]LOJA!$A:$B,2,0)</f>
        <v>ÚNICA</v>
      </c>
      <c r="O601">
        <v>135</v>
      </c>
      <c r="P601" t="str">
        <f>VLOOKUP(O601,[1]OPERADORES!$A:$B,2,0)</f>
        <v>SAMUEL DA COSTA F. CARVALHO</v>
      </c>
      <c r="Q601">
        <v>7</v>
      </c>
      <c r="S601" t="s">
        <v>87</v>
      </c>
      <c r="T601" s="1">
        <v>45771</v>
      </c>
      <c r="U601" s="2">
        <v>5242.0200000000004</v>
      </c>
      <c r="V601" s="2">
        <v>5242.0200000000004</v>
      </c>
    </row>
    <row r="602" spans="1:22" x14ac:dyDescent="0.3">
      <c r="A602" t="s">
        <v>1403</v>
      </c>
      <c r="B602" t="s">
        <v>1404</v>
      </c>
      <c r="C602" t="s">
        <v>1405</v>
      </c>
      <c r="D602" t="s">
        <v>5561</v>
      </c>
      <c r="E602" t="s">
        <v>15</v>
      </c>
      <c r="J602" s="1">
        <v>46048</v>
      </c>
      <c r="K602">
        <v>36</v>
      </c>
      <c r="L602" t="s">
        <v>1418</v>
      </c>
      <c r="M602">
        <v>9</v>
      </c>
      <c r="N602" t="str">
        <f>VLOOKUP(M602,[1]LOJA!$A:$B,2,0)</f>
        <v>ÚNICA</v>
      </c>
      <c r="O602">
        <v>222</v>
      </c>
      <c r="P602" t="str">
        <f>VLOOKUP(O602,[1]OPERADORES!$A:$B,2,0)</f>
        <v>VENDAS AGREGADAS</v>
      </c>
      <c r="Q602">
        <v>4</v>
      </c>
      <c r="S602" t="s">
        <v>1419</v>
      </c>
      <c r="T602" s="1">
        <v>46048</v>
      </c>
      <c r="U602">
        <v>-797.8</v>
      </c>
      <c r="V602">
        <v>-797.8</v>
      </c>
    </row>
    <row r="603" spans="1:22" x14ac:dyDescent="0.3">
      <c r="A603" t="s">
        <v>1403</v>
      </c>
      <c r="B603" t="s">
        <v>1404</v>
      </c>
      <c r="C603" t="s">
        <v>1405</v>
      </c>
      <c r="D603" t="s">
        <v>5561</v>
      </c>
      <c r="E603" t="s">
        <v>15</v>
      </c>
      <c r="J603" s="1">
        <v>46074</v>
      </c>
      <c r="K603">
        <v>10</v>
      </c>
      <c r="L603" t="s">
        <v>5562</v>
      </c>
      <c r="M603">
        <v>9</v>
      </c>
      <c r="N603" t="str">
        <f>VLOOKUP(M603,[1]LOJA!$A:$B,2,0)</f>
        <v>ÚNICA</v>
      </c>
      <c r="O603">
        <v>222</v>
      </c>
      <c r="P603" t="str">
        <f>VLOOKUP(O603,[1]OPERADORES!$A:$B,2,0)</f>
        <v>VENDAS AGREGADAS</v>
      </c>
      <c r="Q603">
        <v>7</v>
      </c>
      <c r="S603" t="s">
        <v>87</v>
      </c>
      <c r="T603" s="1">
        <v>46044</v>
      </c>
      <c r="U603">
        <v>797.8</v>
      </c>
      <c r="V603">
        <v>797.8</v>
      </c>
    </row>
    <row r="604" spans="1:22" x14ac:dyDescent="0.3">
      <c r="A604" t="s">
        <v>5563</v>
      </c>
      <c r="B604" t="s">
        <v>5564</v>
      </c>
      <c r="C604" t="s">
        <v>1405</v>
      </c>
      <c r="D604" t="s">
        <v>5565</v>
      </c>
      <c r="E604" t="s">
        <v>15</v>
      </c>
      <c r="J604" s="1">
        <v>46080</v>
      </c>
      <c r="K604">
        <v>4</v>
      </c>
      <c r="L604" t="s">
        <v>5566</v>
      </c>
      <c r="M604">
        <v>9</v>
      </c>
      <c r="N604" t="str">
        <f>VLOOKUP(M604,[1]LOJA!$A:$B,2,0)</f>
        <v>ÚNICA</v>
      </c>
      <c r="O604">
        <v>135</v>
      </c>
      <c r="P604" t="str">
        <f>VLOOKUP(O604,[1]OPERADORES!$A:$B,2,0)</f>
        <v>SAMUEL DA COSTA F. CARVALHO</v>
      </c>
      <c r="Q604">
        <v>4</v>
      </c>
      <c r="S604" t="s">
        <v>5567</v>
      </c>
      <c r="T604" s="1">
        <v>46080</v>
      </c>
      <c r="U604" s="2">
        <v>-1139.1600000000001</v>
      </c>
      <c r="V604" s="2">
        <v>-1139.1600000000001</v>
      </c>
    </row>
    <row r="605" spans="1:22" x14ac:dyDescent="0.3">
      <c r="A605" t="s">
        <v>1420</v>
      </c>
      <c r="B605" t="s">
        <v>1421</v>
      </c>
      <c r="C605" t="s">
        <v>297</v>
      </c>
      <c r="D605" t="s">
        <v>1422</v>
      </c>
      <c r="E605" t="s">
        <v>15</v>
      </c>
      <c r="J605" s="1">
        <v>45694</v>
      </c>
      <c r="K605">
        <v>390</v>
      </c>
      <c r="L605" t="s">
        <v>1423</v>
      </c>
      <c r="M605">
        <v>6</v>
      </c>
      <c r="N605" t="str">
        <f>VLOOKUP(M605,[1]LOJA!$A:$B,2,0)</f>
        <v>GAMA</v>
      </c>
      <c r="O605">
        <v>46</v>
      </c>
      <c r="P605" t="str">
        <f>VLOOKUP(O605,[1]OPERADORES!$A:$B,2,0)</f>
        <v xml:space="preserve">CLAUDMIRO </v>
      </c>
      <c r="Q605">
        <v>4</v>
      </c>
      <c r="S605" t="s">
        <v>87</v>
      </c>
      <c r="T605" s="1">
        <v>45694</v>
      </c>
      <c r="U605">
        <v>19</v>
      </c>
      <c r="V605">
        <v>19</v>
      </c>
    </row>
    <row r="606" spans="1:22" x14ac:dyDescent="0.3">
      <c r="A606" t="s">
        <v>1424</v>
      </c>
      <c r="B606" t="s">
        <v>1425</v>
      </c>
      <c r="C606" t="s">
        <v>1426</v>
      </c>
      <c r="D606" t="s">
        <v>5568</v>
      </c>
      <c r="E606" t="s">
        <v>15</v>
      </c>
      <c r="J606" s="1">
        <v>45933</v>
      </c>
      <c r="K606">
        <v>151</v>
      </c>
      <c r="L606" t="s">
        <v>1427</v>
      </c>
      <c r="M606">
        <v>9</v>
      </c>
      <c r="N606" t="str">
        <f>VLOOKUP(M606,[1]LOJA!$A:$B,2,0)</f>
        <v>ÚNICA</v>
      </c>
      <c r="O606">
        <v>205</v>
      </c>
      <c r="P606" t="str">
        <f>VLOOKUP(O606,[1]OPERADORES!$A:$B,2,0)</f>
        <v>RONAN PARACATU</v>
      </c>
      <c r="Q606">
        <v>4</v>
      </c>
      <c r="S606" t="s">
        <v>1428</v>
      </c>
      <c r="T606" s="1">
        <v>45933</v>
      </c>
      <c r="U606">
        <v>-326.2</v>
      </c>
      <c r="V606">
        <v>-326.2</v>
      </c>
    </row>
    <row r="607" spans="1:22" x14ac:dyDescent="0.3">
      <c r="A607" t="s">
        <v>1429</v>
      </c>
      <c r="B607" t="s">
        <v>32</v>
      </c>
      <c r="C607" t="s">
        <v>13</v>
      </c>
      <c r="D607" t="s">
        <v>5569</v>
      </c>
      <c r="E607" t="s">
        <v>15</v>
      </c>
      <c r="J607" s="1">
        <v>46084</v>
      </c>
      <c r="K607">
        <v>0</v>
      </c>
      <c r="L607" t="s">
        <v>5570</v>
      </c>
      <c r="M607">
        <v>16</v>
      </c>
      <c r="N607" t="str">
        <f>VLOOKUP(M607,[1]LOJA!$A:$B,2,0)</f>
        <v>AG LINDAS</v>
      </c>
      <c r="O607">
        <v>107</v>
      </c>
      <c r="P607" t="str">
        <f>VLOOKUP(O607,[1]OPERADORES!$A:$B,2,0)</f>
        <v>DAIANA PORTELA</v>
      </c>
      <c r="Q607">
        <v>7</v>
      </c>
      <c r="S607" t="s">
        <v>1430</v>
      </c>
      <c r="T607" s="1">
        <v>46084</v>
      </c>
      <c r="U607">
        <v>-0.34</v>
      </c>
      <c r="V607">
        <v>-0.34</v>
      </c>
    </row>
    <row r="608" spans="1:22" x14ac:dyDescent="0.3">
      <c r="A608" t="s">
        <v>1431</v>
      </c>
      <c r="B608" t="s">
        <v>1432</v>
      </c>
      <c r="C608" t="s">
        <v>13</v>
      </c>
      <c r="D608" t="s">
        <v>1433</v>
      </c>
      <c r="E608" t="s">
        <v>15</v>
      </c>
      <c r="J608" s="1">
        <v>45547</v>
      </c>
      <c r="K608">
        <v>537</v>
      </c>
      <c r="L608" t="s">
        <v>1434</v>
      </c>
      <c r="M608">
        <v>4</v>
      </c>
      <c r="N608" t="str">
        <f>VLOOKUP(M608,[1]LOJA!$A:$B,2,0)</f>
        <v>ADE</v>
      </c>
      <c r="O608">
        <v>226</v>
      </c>
      <c r="P608" t="str">
        <f>VLOOKUP(O608,[1]OPERADORES!$A:$B,2,0)</f>
        <v>MARIA FÉLIX</v>
      </c>
      <c r="Q608">
        <v>4</v>
      </c>
      <c r="S608" t="s">
        <v>1435</v>
      </c>
      <c r="T608" s="1">
        <v>45547</v>
      </c>
      <c r="U608">
        <v>-0.56999999999999995</v>
      </c>
      <c r="V608">
        <v>-0.56999999999999995</v>
      </c>
    </row>
    <row r="609" spans="1:22" x14ac:dyDescent="0.3">
      <c r="A609" t="s">
        <v>1431</v>
      </c>
      <c r="B609" t="s">
        <v>1432</v>
      </c>
      <c r="C609" t="s">
        <v>13</v>
      </c>
      <c r="D609" t="s">
        <v>1433</v>
      </c>
      <c r="E609" t="s">
        <v>15</v>
      </c>
      <c r="J609" s="1">
        <v>45560</v>
      </c>
      <c r="K609">
        <v>524</v>
      </c>
      <c r="L609" t="s">
        <v>1436</v>
      </c>
      <c r="M609">
        <v>4</v>
      </c>
      <c r="N609" t="str">
        <f>VLOOKUP(M609,[1]LOJA!$A:$B,2,0)</f>
        <v>ADE</v>
      </c>
      <c r="O609">
        <v>226</v>
      </c>
      <c r="P609" t="str">
        <f>VLOOKUP(O609,[1]OPERADORES!$A:$B,2,0)</f>
        <v>MARIA FÉLIX</v>
      </c>
      <c r="Q609">
        <v>4</v>
      </c>
      <c r="S609" t="s">
        <v>1435</v>
      </c>
      <c r="T609" s="1">
        <v>45560</v>
      </c>
      <c r="U609">
        <v>-0.9</v>
      </c>
      <c r="V609">
        <v>-0.9</v>
      </c>
    </row>
    <row r="610" spans="1:22" x14ac:dyDescent="0.3">
      <c r="A610" t="s">
        <v>1437</v>
      </c>
      <c r="B610" t="s">
        <v>1438</v>
      </c>
      <c r="C610" t="s">
        <v>30</v>
      </c>
      <c r="D610" t="s">
        <v>1439</v>
      </c>
      <c r="E610" t="s">
        <v>15</v>
      </c>
      <c r="J610" s="1">
        <v>45560</v>
      </c>
      <c r="K610">
        <v>524</v>
      </c>
      <c r="L610" t="s">
        <v>1440</v>
      </c>
      <c r="M610">
        <v>9</v>
      </c>
      <c r="N610" t="str">
        <f>VLOOKUP(M610,[1]LOJA!$A:$B,2,0)</f>
        <v>ÚNICA</v>
      </c>
      <c r="O610">
        <v>196</v>
      </c>
      <c r="P610" t="str">
        <f>VLOOKUP(O610,[1]OPERADORES!$A:$B,2,0)</f>
        <v>KASSIANO MARCUS ALVES SILVA</v>
      </c>
      <c r="Q610">
        <v>4</v>
      </c>
      <c r="S610" t="s">
        <v>1441</v>
      </c>
      <c r="T610" s="1">
        <v>45560</v>
      </c>
      <c r="U610">
        <v>-0.14000000000000001</v>
      </c>
      <c r="V610">
        <v>-0.14000000000000001</v>
      </c>
    </row>
    <row r="611" spans="1:22" x14ac:dyDescent="0.3">
      <c r="A611" t="s">
        <v>1442</v>
      </c>
      <c r="B611" t="s">
        <v>32</v>
      </c>
      <c r="C611" t="s">
        <v>226</v>
      </c>
      <c r="D611" t="s">
        <v>1443</v>
      </c>
      <c r="E611" t="s">
        <v>15</v>
      </c>
      <c r="J611" s="1">
        <v>45946</v>
      </c>
      <c r="K611">
        <v>138</v>
      </c>
      <c r="L611" t="s">
        <v>1444</v>
      </c>
      <c r="M611">
        <v>9</v>
      </c>
      <c r="N611" t="str">
        <f>VLOOKUP(M611,[1]LOJA!$A:$B,2,0)</f>
        <v>ÚNICA</v>
      </c>
      <c r="O611">
        <v>231</v>
      </c>
      <c r="P611" t="str">
        <f>VLOOKUP(O611,[1]OPERADORES!$A:$B,2,0)</f>
        <v>EDIJANE</v>
      </c>
      <c r="Q611">
        <v>23</v>
      </c>
      <c r="R611">
        <v>188452</v>
      </c>
      <c r="S611" t="s">
        <v>1445</v>
      </c>
      <c r="T611" s="1">
        <v>45916</v>
      </c>
      <c r="U611">
        <v>284.97000000000003</v>
      </c>
      <c r="V611">
        <v>284.97000000000003</v>
      </c>
    </row>
    <row r="612" spans="1:22" x14ac:dyDescent="0.3">
      <c r="A612" t="s">
        <v>1442</v>
      </c>
      <c r="B612" t="s">
        <v>32</v>
      </c>
      <c r="C612" t="s">
        <v>226</v>
      </c>
      <c r="D612" t="s">
        <v>1443</v>
      </c>
      <c r="E612" t="s">
        <v>15</v>
      </c>
      <c r="J612" s="1">
        <v>45976</v>
      </c>
      <c r="K612">
        <v>108</v>
      </c>
      <c r="L612" t="s">
        <v>1446</v>
      </c>
      <c r="M612">
        <v>9</v>
      </c>
      <c r="N612" t="str">
        <f>VLOOKUP(M612,[1]LOJA!$A:$B,2,0)</f>
        <v>ÚNICA</v>
      </c>
      <c r="O612">
        <v>231</v>
      </c>
      <c r="P612" t="str">
        <f>VLOOKUP(O612,[1]OPERADORES!$A:$B,2,0)</f>
        <v>EDIJANE</v>
      </c>
      <c r="Q612">
        <v>23</v>
      </c>
      <c r="R612">
        <v>188460</v>
      </c>
      <c r="S612" t="s">
        <v>46</v>
      </c>
      <c r="T612" s="1">
        <v>45916</v>
      </c>
      <c r="U612">
        <v>284.97000000000003</v>
      </c>
      <c r="V612">
        <v>284.97000000000003</v>
      </c>
    </row>
    <row r="613" spans="1:22" x14ac:dyDescent="0.3">
      <c r="A613" t="s">
        <v>1447</v>
      </c>
      <c r="B613" t="s">
        <v>1448</v>
      </c>
      <c r="C613" t="s">
        <v>13</v>
      </c>
      <c r="D613" t="s">
        <v>1449</v>
      </c>
      <c r="E613" t="s">
        <v>15</v>
      </c>
      <c r="J613" s="1">
        <v>45608</v>
      </c>
      <c r="K613">
        <v>476</v>
      </c>
      <c r="L613" t="s">
        <v>1450</v>
      </c>
      <c r="M613">
        <v>14</v>
      </c>
      <c r="N613" t="str">
        <f>VLOOKUP(M613,[1]LOJA!$A:$B,2,0)</f>
        <v>S IA</v>
      </c>
      <c r="O613">
        <v>207</v>
      </c>
      <c r="P613" t="str">
        <f>VLOOKUP(O613,[1]OPERADORES!$A:$B,2,0)</f>
        <v>KETILE SABRINE</v>
      </c>
      <c r="Q613">
        <v>4</v>
      </c>
      <c r="S613" t="s">
        <v>1451</v>
      </c>
      <c r="T613" s="1">
        <v>45608</v>
      </c>
      <c r="U613">
        <v>-0.62</v>
      </c>
      <c r="V613">
        <v>-0.62</v>
      </c>
    </row>
    <row r="614" spans="1:22" x14ac:dyDescent="0.3">
      <c r="A614" t="s">
        <v>1452</v>
      </c>
      <c r="B614" t="s">
        <v>1453</v>
      </c>
      <c r="C614" t="s">
        <v>43</v>
      </c>
      <c r="D614" t="s">
        <v>1380</v>
      </c>
      <c r="E614" t="s">
        <v>15</v>
      </c>
      <c r="J614" s="1">
        <v>45796</v>
      </c>
      <c r="K614">
        <v>288</v>
      </c>
      <c r="L614" t="s">
        <v>1454</v>
      </c>
      <c r="M614">
        <v>14</v>
      </c>
      <c r="N614" t="str">
        <f>VLOOKUP(M614,[1]LOJA!$A:$B,2,0)</f>
        <v>S IA</v>
      </c>
      <c r="O614">
        <v>207</v>
      </c>
      <c r="P614" t="str">
        <f>VLOOKUP(O614,[1]OPERADORES!$A:$B,2,0)</f>
        <v>KETILE SABRINE</v>
      </c>
      <c r="Q614">
        <v>4</v>
      </c>
      <c r="S614" t="s">
        <v>1455</v>
      </c>
      <c r="T614" s="1">
        <v>45709</v>
      </c>
      <c r="U614">
        <v>-0.13</v>
      </c>
      <c r="V614">
        <v>-0.13</v>
      </c>
    </row>
    <row r="615" spans="1:22" x14ac:dyDescent="0.3">
      <c r="A615" t="s">
        <v>1456</v>
      </c>
      <c r="B615" t="s">
        <v>1457</v>
      </c>
      <c r="C615" t="s">
        <v>1238</v>
      </c>
      <c r="D615" t="s">
        <v>5571</v>
      </c>
      <c r="E615" t="s">
        <v>15</v>
      </c>
      <c r="J615" s="1">
        <v>46050</v>
      </c>
      <c r="K615">
        <v>34</v>
      </c>
      <c r="L615" t="s">
        <v>1458</v>
      </c>
      <c r="M615">
        <v>4</v>
      </c>
      <c r="N615" t="str">
        <f>VLOOKUP(M615,[1]LOJA!$A:$B,2,0)</f>
        <v>ADE</v>
      </c>
      <c r="O615">
        <v>132</v>
      </c>
      <c r="P615" t="str">
        <f>VLOOKUP(O615,[1]OPERADORES!$A:$B,2,0)</f>
        <v>PAMELA GONÇALVES ROSA</v>
      </c>
      <c r="Q615">
        <v>4</v>
      </c>
      <c r="S615" t="s">
        <v>1459</v>
      </c>
      <c r="T615" s="1">
        <v>46050</v>
      </c>
      <c r="U615">
        <v>-4.0999999999999996</v>
      </c>
      <c r="V615">
        <v>-4.0999999999999996</v>
      </c>
    </row>
    <row r="616" spans="1:22" x14ac:dyDescent="0.3">
      <c r="A616" t="s">
        <v>1460</v>
      </c>
      <c r="B616" t="s">
        <v>1461</v>
      </c>
      <c r="C616" t="s">
        <v>1238</v>
      </c>
      <c r="D616" t="s">
        <v>1462</v>
      </c>
      <c r="E616" t="s">
        <v>15</v>
      </c>
      <c r="J616" s="1">
        <v>45290</v>
      </c>
      <c r="K616">
        <v>794</v>
      </c>
      <c r="L616" t="s">
        <v>1463</v>
      </c>
      <c r="M616">
        <v>1</v>
      </c>
      <c r="N616" t="str">
        <f>VLOOKUP(M616,[1]LOJA!$A:$B,2,0)</f>
        <v>GUARÁ</v>
      </c>
      <c r="O616">
        <v>26</v>
      </c>
      <c r="P616" t="str">
        <f>VLOOKUP(O616,[1]OPERADORES!$A:$B,2,0)</f>
        <v>JANUARIO</v>
      </c>
      <c r="Q616">
        <v>4</v>
      </c>
      <c r="S616" t="s">
        <v>1464</v>
      </c>
      <c r="T616" s="1">
        <v>45290</v>
      </c>
      <c r="U616">
        <v>-0.92</v>
      </c>
      <c r="V616">
        <v>-0.92</v>
      </c>
    </row>
    <row r="617" spans="1:22" x14ac:dyDescent="0.3">
      <c r="A617" t="s">
        <v>1465</v>
      </c>
      <c r="B617" t="s">
        <v>1466</v>
      </c>
      <c r="C617" t="s">
        <v>324</v>
      </c>
      <c r="D617" t="s">
        <v>5572</v>
      </c>
      <c r="E617" t="s">
        <v>15</v>
      </c>
      <c r="J617" s="1">
        <v>45692</v>
      </c>
      <c r="K617">
        <v>392</v>
      </c>
      <c r="L617" t="s">
        <v>1467</v>
      </c>
      <c r="M617">
        <v>9</v>
      </c>
      <c r="N617" t="str">
        <f>VLOOKUP(M617,[1]LOJA!$A:$B,2,0)</f>
        <v>ÚNICA</v>
      </c>
      <c r="O617">
        <v>197</v>
      </c>
      <c r="P617" t="str">
        <f>VLOOKUP(O617,[1]OPERADORES!$A:$B,2,0)</f>
        <v xml:space="preserve">POLIANA LORRANE DE AMORIM </v>
      </c>
      <c r="Q617">
        <v>4</v>
      </c>
      <c r="S617" t="s">
        <v>1468</v>
      </c>
      <c r="T617" s="1">
        <v>45692</v>
      </c>
      <c r="U617">
        <v>-201.3</v>
      </c>
      <c r="V617">
        <v>-201.3</v>
      </c>
    </row>
    <row r="618" spans="1:22" x14ac:dyDescent="0.3">
      <c r="A618" t="s">
        <v>1469</v>
      </c>
      <c r="B618" t="s">
        <v>1470</v>
      </c>
      <c r="C618" t="s">
        <v>13</v>
      </c>
      <c r="D618" t="s">
        <v>5573</v>
      </c>
      <c r="E618" t="s">
        <v>15</v>
      </c>
      <c r="J618" s="1">
        <v>46071</v>
      </c>
      <c r="K618">
        <v>13</v>
      </c>
      <c r="L618" t="s">
        <v>2909</v>
      </c>
      <c r="M618">
        <v>9</v>
      </c>
      <c r="N618" t="str">
        <f>VLOOKUP(M618,[1]LOJA!$A:$B,2,0)</f>
        <v>ÚNICA</v>
      </c>
      <c r="O618">
        <v>144</v>
      </c>
      <c r="P618" t="str">
        <f>VLOOKUP(O618,[1]OPERADORES!$A:$B,2,0)</f>
        <v>CINTIA DA SILVA CARLOS</v>
      </c>
      <c r="Q618">
        <v>4</v>
      </c>
      <c r="S618" t="s">
        <v>1471</v>
      </c>
      <c r="T618" s="1">
        <v>46071</v>
      </c>
      <c r="U618">
        <v>-34.700000000000003</v>
      </c>
      <c r="V618">
        <v>-34.700000000000003</v>
      </c>
    </row>
    <row r="619" spans="1:22" x14ac:dyDescent="0.3">
      <c r="A619" t="s">
        <v>1472</v>
      </c>
      <c r="B619" t="s">
        <v>1473</v>
      </c>
      <c r="C619" t="s">
        <v>13</v>
      </c>
      <c r="D619" t="s">
        <v>1474</v>
      </c>
      <c r="E619" t="s">
        <v>15</v>
      </c>
      <c r="J619" s="1">
        <v>45968</v>
      </c>
      <c r="K619">
        <v>116</v>
      </c>
      <c r="L619" t="s">
        <v>1475</v>
      </c>
      <c r="M619">
        <v>12</v>
      </c>
      <c r="N619" t="str">
        <f>VLOOKUP(M619,[1]LOJA!$A:$B,2,0)</f>
        <v>SOFNORTE</v>
      </c>
      <c r="O619">
        <v>209</v>
      </c>
      <c r="P619" t="str">
        <f>VLOOKUP(O619,[1]OPERADORES!$A:$B,2,0)</f>
        <v>MARIA WITHALINA CUNHA DE SOUZA</v>
      </c>
      <c r="Q619">
        <v>4</v>
      </c>
      <c r="S619" t="s">
        <v>1476</v>
      </c>
      <c r="T619" s="1">
        <v>45968</v>
      </c>
      <c r="U619">
        <v>-0.56999999999999995</v>
      </c>
      <c r="V619">
        <v>-0.56999999999999995</v>
      </c>
    </row>
    <row r="620" spans="1:22" x14ac:dyDescent="0.3">
      <c r="A620" t="s">
        <v>1477</v>
      </c>
      <c r="B620" t="s">
        <v>32</v>
      </c>
      <c r="C620" t="s">
        <v>43</v>
      </c>
      <c r="D620" t="s">
        <v>1478</v>
      </c>
      <c r="E620" t="s">
        <v>15</v>
      </c>
      <c r="J620" s="1">
        <v>45959</v>
      </c>
      <c r="K620">
        <v>125</v>
      </c>
      <c r="L620" t="s">
        <v>1479</v>
      </c>
      <c r="M620">
        <v>12</v>
      </c>
      <c r="N620" t="str">
        <f>VLOOKUP(M620,[1]LOJA!$A:$B,2,0)</f>
        <v>SOFNORTE</v>
      </c>
      <c r="O620">
        <v>209</v>
      </c>
      <c r="P620" t="str">
        <f>VLOOKUP(O620,[1]OPERADORES!$A:$B,2,0)</f>
        <v>MARIA WITHALINA CUNHA DE SOUZA</v>
      </c>
      <c r="Q620">
        <v>4</v>
      </c>
      <c r="S620" t="s">
        <v>1480</v>
      </c>
      <c r="T620" s="1">
        <v>45959</v>
      </c>
      <c r="U620">
        <v>-0.54</v>
      </c>
      <c r="V620">
        <v>-0.54</v>
      </c>
    </row>
    <row r="621" spans="1:22" x14ac:dyDescent="0.3">
      <c r="A621" t="s">
        <v>1481</v>
      </c>
      <c r="B621" t="s">
        <v>32</v>
      </c>
      <c r="C621" t="s">
        <v>30</v>
      </c>
      <c r="D621" t="s">
        <v>5574</v>
      </c>
      <c r="E621" t="s">
        <v>15</v>
      </c>
      <c r="J621" s="1">
        <v>46055</v>
      </c>
      <c r="K621">
        <v>29</v>
      </c>
      <c r="L621" t="s">
        <v>1482</v>
      </c>
      <c r="M621">
        <v>9</v>
      </c>
      <c r="N621" t="str">
        <f>VLOOKUP(M621,[1]LOJA!$A:$B,2,0)</f>
        <v>ÚNICA</v>
      </c>
      <c r="O621">
        <v>174</v>
      </c>
      <c r="P621" t="str">
        <f>VLOOKUP(O621,[1]OPERADORES!$A:$B,2,0)</f>
        <v>MIRIÃ LOBATO RODRIGUES</v>
      </c>
      <c r="Q621">
        <v>23</v>
      </c>
      <c r="R621">
        <v>200851</v>
      </c>
      <c r="S621" t="s">
        <v>55</v>
      </c>
      <c r="T621" s="1">
        <v>45971</v>
      </c>
      <c r="U621">
        <v>906.98</v>
      </c>
      <c r="V621">
        <v>906.98</v>
      </c>
    </row>
    <row r="622" spans="1:22" x14ac:dyDescent="0.3">
      <c r="A622" t="s">
        <v>1481</v>
      </c>
      <c r="B622" t="s">
        <v>32</v>
      </c>
      <c r="C622" t="s">
        <v>30</v>
      </c>
      <c r="D622" t="s">
        <v>5574</v>
      </c>
      <c r="E622" t="s">
        <v>15</v>
      </c>
      <c r="J622" s="1">
        <v>46057</v>
      </c>
      <c r="K622">
        <v>27</v>
      </c>
      <c r="L622" t="s">
        <v>1483</v>
      </c>
      <c r="M622">
        <v>9</v>
      </c>
      <c r="N622" t="str">
        <f>VLOOKUP(M622,[1]LOJA!$A:$B,2,0)</f>
        <v>ÚNICA</v>
      </c>
      <c r="O622">
        <v>236</v>
      </c>
      <c r="P622" t="str">
        <f>VLOOKUP(O622,[1]OPERADORES!$A:$B,2,0)</f>
        <v>DANIEL</v>
      </c>
      <c r="Q622">
        <v>23</v>
      </c>
      <c r="R622">
        <v>200273</v>
      </c>
      <c r="S622" t="s">
        <v>55</v>
      </c>
      <c r="T622" s="1">
        <v>45967</v>
      </c>
      <c r="U622">
        <v>488.05</v>
      </c>
      <c r="V622">
        <v>488.05</v>
      </c>
    </row>
    <row r="623" spans="1:22" x14ac:dyDescent="0.3">
      <c r="A623" t="s">
        <v>1481</v>
      </c>
      <c r="B623" t="s">
        <v>32</v>
      </c>
      <c r="C623" t="s">
        <v>30</v>
      </c>
      <c r="D623" t="s">
        <v>5574</v>
      </c>
      <c r="E623" t="s">
        <v>15</v>
      </c>
      <c r="J623" s="1">
        <v>46061</v>
      </c>
      <c r="K623">
        <v>23</v>
      </c>
      <c r="L623" t="s">
        <v>1484</v>
      </c>
      <c r="M623">
        <v>9</v>
      </c>
      <c r="N623" t="str">
        <f>VLOOKUP(M623,[1]LOJA!$A:$B,2,0)</f>
        <v>ÚNICA</v>
      </c>
      <c r="O623">
        <v>174</v>
      </c>
      <c r="P623" t="str">
        <f>VLOOKUP(O623,[1]OPERADORES!$A:$B,2,0)</f>
        <v>MIRIÃ LOBATO RODRIGUES</v>
      </c>
      <c r="Q623">
        <v>23</v>
      </c>
      <c r="R623">
        <v>200927</v>
      </c>
      <c r="S623" t="s">
        <v>55</v>
      </c>
      <c r="T623" s="1">
        <v>45971</v>
      </c>
      <c r="U623">
        <v>679.98</v>
      </c>
      <c r="V623">
        <v>679.98</v>
      </c>
    </row>
    <row r="624" spans="1:22" x14ac:dyDescent="0.3">
      <c r="A624" t="s">
        <v>1481</v>
      </c>
      <c r="B624" t="s">
        <v>32</v>
      </c>
      <c r="C624" t="s">
        <v>30</v>
      </c>
      <c r="D624" t="s">
        <v>5574</v>
      </c>
      <c r="E624" t="s">
        <v>15</v>
      </c>
      <c r="J624" s="1">
        <v>46062</v>
      </c>
      <c r="K624">
        <v>22</v>
      </c>
      <c r="L624" t="s">
        <v>1485</v>
      </c>
      <c r="M624">
        <v>9</v>
      </c>
      <c r="N624" t="str">
        <f>VLOOKUP(M624,[1]LOJA!$A:$B,2,0)</f>
        <v>ÚNICA</v>
      </c>
      <c r="O624">
        <v>174</v>
      </c>
      <c r="P624" t="str">
        <f>VLOOKUP(O624,[1]OPERADORES!$A:$B,2,0)</f>
        <v>MIRIÃ LOBATO RODRIGUES</v>
      </c>
      <c r="Q624">
        <v>23</v>
      </c>
      <c r="R624">
        <v>201552</v>
      </c>
      <c r="S624" t="s">
        <v>55</v>
      </c>
      <c r="T624" s="1">
        <v>45972</v>
      </c>
      <c r="U624">
        <v>689.75</v>
      </c>
      <c r="V624">
        <v>689.75</v>
      </c>
    </row>
    <row r="625" spans="1:22" x14ac:dyDescent="0.3">
      <c r="A625" t="s">
        <v>1481</v>
      </c>
      <c r="B625" t="s">
        <v>32</v>
      </c>
      <c r="C625" t="s">
        <v>30</v>
      </c>
      <c r="D625" t="s">
        <v>5574</v>
      </c>
      <c r="E625" t="s">
        <v>15</v>
      </c>
      <c r="J625" s="1">
        <v>46069</v>
      </c>
      <c r="K625">
        <v>15</v>
      </c>
      <c r="L625" t="s">
        <v>5575</v>
      </c>
      <c r="M625">
        <v>9</v>
      </c>
      <c r="N625" t="str">
        <f>VLOOKUP(M625,[1]LOJA!$A:$B,2,0)</f>
        <v>ÚNICA</v>
      </c>
      <c r="O625">
        <v>236</v>
      </c>
      <c r="P625" t="str">
        <f>VLOOKUP(O625,[1]OPERADORES!$A:$B,2,0)</f>
        <v>DANIEL</v>
      </c>
      <c r="Q625">
        <v>23</v>
      </c>
      <c r="R625">
        <v>203558</v>
      </c>
      <c r="S625" t="s">
        <v>55</v>
      </c>
      <c r="T625" s="1">
        <v>45979</v>
      </c>
      <c r="U625">
        <v>579.82000000000005</v>
      </c>
      <c r="V625">
        <v>579.82000000000005</v>
      </c>
    </row>
    <row r="626" spans="1:22" x14ac:dyDescent="0.3">
      <c r="A626" t="s">
        <v>1481</v>
      </c>
      <c r="B626" t="s">
        <v>32</v>
      </c>
      <c r="C626" t="s">
        <v>30</v>
      </c>
      <c r="D626" t="s">
        <v>5574</v>
      </c>
      <c r="E626" t="s">
        <v>15</v>
      </c>
      <c r="J626" s="1">
        <v>46075</v>
      </c>
      <c r="K626">
        <v>9</v>
      </c>
      <c r="L626" t="s">
        <v>5576</v>
      </c>
      <c r="M626">
        <v>9</v>
      </c>
      <c r="N626" t="str">
        <f>VLOOKUP(M626,[1]LOJA!$A:$B,2,0)</f>
        <v>ÚNICA</v>
      </c>
      <c r="O626">
        <v>174</v>
      </c>
      <c r="P626" t="str">
        <f>VLOOKUP(O626,[1]OPERADORES!$A:$B,2,0)</f>
        <v>MIRIÃ LOBATO RODRIGUES</v>
      </c>
      <c r="Q626">
        <v>23</v>
      </c>
      <c r="R626">
        <v>204341</v>
      </c>
      <c r="S626" t="s">
        <v>55</v>
      </c>
      <c r="T626" s="1">
        <v>45985</v>
      </c>
      <c r="U626">
        <v>535.55999999999995</v>
      </c>
      <c r="V626">
        <v>535.55999999999995</v>
      </c>
    </row>
    <row r="627" spans="1:22" x14ac:dyDescent="0.3">
      <c r="A627" t="s">
        <v>1486</v>
      </c>
      <c r="B627" t="s">
        <v>1487</v>
      </c>
      <c r="C627" t="s">
        <v>13</v>
      </c>
      <c r="D627" t="s">
        <v>1478</v>
      </c>
      <c r="E627" t="s">
        <v>15</v>
      </c>
      <c r="J627" s="1">
        <v>46050</v>
      </c>
      <c r="K627">
        <v>34</v>
      </c>
      <c r="L627" t="s">
        <v>1488</v>
      </c>
      <c r="M627">
        <v>12</v>
      </c>
      <c r="N627" t="str">
        <f>VLOOKUP(M627,[1]LOJA!$A:$B,2,0)</f>
        <v>SOFNORTE</v>
      </c>
      <c r="O627">
        <v>209</v>
      </c>
      <c r="P627" t="str">
        <f>VLOOKUP(O627,[1]OPERADORES!$A:$B,2,0)</f>
        <v>MARIA WITHALINA CUNHA DE SOUZA</v>
      </c>
      <c r="Q627">
        <v>4</v>
      </c>
      <c r="S627" t="s">
        <v>1489</v>
      </c>
      <c r="T627" s="1">
        <v>46050</v>
      </c>
      <c r="U627">
        <v>-0.54</v>
      </c>
      <c r="V627">
        <v>-0.54</v>
      </c>
    </row>
    <row r="628" spans="1:22" x14ac:dyDescent="0.3">
      <c r="A628" t="s">
        <v>1490</v>
      </c>
      <c r="B628" t="s">
        <v>1491</v>
      </c>
      <c r="C628" t="s">
        <v>13</v>
      </c>
      <c r="D628" t="s">
        <v>1492</v>
      </c>
      <c r="E628" t="s">
        <v>15</v>
      </c>
      <c r="J628" s="1">
        <v>44753</v>
      </c>
      <c r="K628">
        <v>1331</v>
      </c>
      <c r="L628" t="s">
        <v>1493</v>
      </c>
      <c r="M628">
        <v>14</v>
      </c>
      <c r="N628" t="str">
        <f>VLOOKUP(M628,[1]LOJA!$A:$B,2,0)</f>
        <v>S IA</v>
      </c>
      <c r="O628">
        <v>84</v>
      </c>
      <c r="P628" t="str">
        <f>VLOOKUP(O628,[1]OPERADORES!$A:$B,2,0)</f>
        <v>JEICY AZEVEDO</v>
      </c>
      <c r="Q628">
        <v>12</v>
      </c>
      <c r="S628" t="s">
        <v>1494</v>
      </c>
      <c r="T628" s="1">
        <v>44694</v>
      </c>
      <c r="U628">
        <v>656.64</v>
      </c>
      <c r="V628">
        <v>656.64</v>
      </c>
    </row>
    <row r="629" spans="1:22" x14ac:dyDescent="0.3">
      <c r="A629" t="s">
        <v>1490</v>
      </c>
      <c r="B629" t="s">
        <v>1491</v>
      </c>
      <c r="C629" t="s">
        <v>13</v>
      </c>
      <c r="D629" t="s">
        <v>1492</v>
      </c>
      <c r="E629" t="s">
        <v>15</v>
      </c>
      <c r="J629" s="1">
        <v>44784</v>
      </c>
      <c r="K629">
        <v>1300</v>
      </c>
      <c r="L629" t="s">
        <v>1495</v>
      </c>
      <c r="M629">
        <v>14</v>
      </c>
      <c r="N629" t="str">
        <f>VLOOKUP(M629,[1]LOJA!$A:$B,2,0)</f>
        <v>S IA</v>
      </c>
      <c r="O629">
        <v>84</v>
      </c>
      <c r="P629" t="str">
        <f>VLOOKUP(O629,[1]OPERADORES!$A:$B,2,0)</f>
        <v>JEICY AZEVEDO</v>
      </c>
      <c r="Q629">
        <v>12</v>
      </c>
      <c r="S629" t="s">
        <v>1496</v>
      </c>
      <c r="T629" s="1">
        <v>44694</v>
      </c>
      <c r="U629" s="2">
        <v>1656.65</v>
      </c>
      <c r="V629" s="2">
        <v>1656.65</v>
      </c>
    </row>
    <row r="630" spans="1:22" x14ac:dyDescent="0.3">
      <c r="A630" t="s">
        <v>1497</v>
      </c>
      <c r="B630" t="s">
        <v>1498</v>
      </c>
      <c r="C630" t="s">
        <v>1499</v>
      </c>
      <c r="D630" t="s">
        <v>1500</v>
      </c>
      <c r="E630" t="s">
        <v>15</v>
      </c>
      <c r="J630" s="1">
        <v>45803</v>
      </c>
      <c r="K630">
        <v>281</v>
      </c>
      <c r="L630" t="s">
        <v>1501</v>
      </c>
      <c r="M630">
        <v>13</v>
      </c>
      <c r="N630" t="str">
        <f>VLOOKUP(M630,[1]LOJA!$A:$B,2,0)</f>
        <v>CEILÂNDIA</v>
      </c>
      <c r="O630">
        <v>67</v>
      </c>
      <c r="P630" t="str">
        <f>VLOOKUP(O630,[1]OPERADORES!$A:$B,2,0)</f>
        <v>ERIKA</v>
      </c>
      <c r="Q630">
        <v>4</v>
      </c>
      <c r="S630" t="s">
        <v>1502</v>
      </c>
      <c r="T630" s="1">
        <v>45737</v>
      </c>
      <c r="U630">
        <v>-0.12</v>
      </c>
      <c r="V630">
        <v>-0.12</v>
      </c>
    </row>
    <row r="631" spans="1:22" x14ac:dyDescent="0.3">
      <c r="A631" t="s">
        <v>1503</v>
      </c>
      <c r="B631" t="s">
        <v>1504</v>
      </c>
      <c r="C631" t="s">
        <v>13</v>
      </c>
      <c r="D631" t="s">
        <v>1505</v>
      </c>
      <c r="E631" t="s">
        <v>15</v>
      </c>
      <c r="J631" s="1">
        <v>45722</v>
      </c>
      <c r="K631">
        <v>362</v>
      </c>
      <c r="L631" t="s">
        <v>1506</v>
      </c>
      <c r="M631">
        <v>8</v>
      </c>
      <c r="N631" t="str">
        <f>VLOOKUP(M631,[1]LOJA!$A:$B,2,0)</f>
        <v>LUZIÂNIA</v>
      </c>
      <c r="O631">
        <v>20</v>
      </c>
      <c r="P631" t="str">
        <f>VLOOKUP(O631,[1]OPERADORES!$A:$B,2,0)</f>
        <v>MAYARA</v>
      </c>
      <c r="Q631">
        <v>22</v>
      </c>
      <c r="R631">
        <v>1000015008</v>
      </c>
      <c r="S631" t="s">
        <v>1507</v>
      </c>
      <c r="T631" s="1">
        <v>45632</v>
      </c>
      <c r="U631">
        <v>133.25</v>
      </c>
      <c r="V631">
        <v>133.25</v>
      </c>
    </row>
    <row r="632" spans="1:22" x14ac:dyDescent="0.3">
      <c r="A632" t="s">
        <v>1503</v>
      </c>
      <c r="B632" t="s">
        <v>1504</v>
      </c>
      <c r="C632" t="s">
        <v>13</v>
      </c>
      <c r="D632" t="s">
        <v>1505</v>
      </c>
      <c r="E632" t="s">
        <v>15</v>
      </c>
      <c r="J632" s="1">
        <v>45725</v>
      </c>
      <c r="K632">
        <v>359</v>
      </c>
      <c r="L632" t="s">
        <v>1508</v>
      </c>
      <c r="M632">
        <v>8</v>
      </c>
      <c r="N632" t="str">
        <f>VLOOKUP(M632,[1]LOJA!$A:$B,2,0)</f>
        <v>LUZIÂNIA</v>
      </c>
      <c r="O632">
        <v>20</v>
      </c>
      <c r="P632" t="str">
        <f>VLOOKUP(O632,[1]OPERADORES!$A:$B,2,0)</f>
        <v>MAYARA</v>
      </c>
      <c r="Q632">
        <v>22</v>
      </c>
      <c r="R632">
        <v>1000015602</v>
      </c>
      <c r="S632" t="s">
        <v>1509</v>
      </c>
      <c r="T632" s="1">
        <v>45695</v>
      </c>
      <c r="U632">
        <v>96.76</v>
      </c>
      <c r="V632">
        <v>96.76</v>
      </c>
    </row>
    <row r="633" spans="1:22" x14ac:dyDescent="0.3">
      <c r="A633" t="s">
        <v>1503</v>
      </c>
      <c r="B633" t="s">
        <v>1504</v>
      </c>
      <c r="C633" t="s">
        <v>13</v>
      </c>
      <c r="D633" t="s">
        <v>1505</v>
      </c>
      <c r="E633" t="s">
        <v>15</v>
      </c>
      <c r="J633" s="1">
        <v>45725</v>
      </c>
      <c r="K633">
        <v>359</v>
      </c>
      <c r="L633" t="s">
        <v>1510</v>
      </c>
      <c r="M633">
        <v>8</v>
      </c>
      <c r="N633" t="str">
        <f>VLOOKUP(M633,[1]LOJA!$A:$B,2,0)</f>
        <v>LUZIÂNIA</v>
      </c>
      <c r="O633">
        <v>20</v>
      </c>
      <c r="P633" t="str">
        <f>VLOOKUP(O633,[1]OPERADORES!$A:$B,2,0)</f>
        <v>MAYARA</v>
      </c>
      <c r="Q633">
        <v>22</v>
      </c>
      <c r="R633">
        <v>1000015603</v>
      </c>
      <c r="S633" t="s">
        <v>1511</v>
      </c>
      <c r="T633" s="1">
        <v>45695</v>
      </c>
      <c r="U633">
        <v>366.19</v>
      </c>
      <c r="V633">
        <v>366.19</v>
      </c>
    </row>
    <row r="634" spans="1:22" x14ac:dyDescent="0.3">
      <c r="A634" t="s">
        <v>1503</v>
      </c>
      <c r="B634" t="s">
        <v>1504</v>
      </c>
      <c r="C634" t="s">
        <v>13</v>
      </c>
      <c r="D634" t="s">
        <v>1505</v>
      </c>
      <c r="E634" t="s">
        <v>15</v>
      </c>
      <c r="J634" s="1">
        <v>45750</v>
      </c>
      <c r="K634">
        <v>334</v>
      </c>
      <c r="L634" t="s">
        <v>1512</v>
      </c>
      <c r="M634">
        <v>8</v>
      </c>
      <c r="N634" t="str">
        <f>VLOOKUP(M634,[1]LOJA!$A:$B,2,0)</f>
        <v>LUZIÂNIA</v>
      </c>
      <c r="O634">
        <v>20</v>
      </c>
      <c r="P634" t="str">
        <f>VLOOKUP(O634,[1]OPERADORES!$A:$B,2,0)</f>
        <v>MAYARA</v>
      </c>
      <c r="Q634">
        <v>22</v>
      </c>
      <c r="R634">
        <v>1000015255</v>
      </c>
      <c r="S634" t="s">
        <v>1513</v>
      </c>
      <c r="T634" s="1">
        <v>45660</v>
      </c>
      <c r="U634">
        <v>760</v>
      </c>
      <c r="V634">
        <v>760</v>
      </c>
    </row>
    <row r="635" spans="1:22" x14ac:dyDescent="0.3">
      <c r="A635" t="s">
        <v>1503</v>
      </c>
      <c r="B635" t="s">
        <v>1504</v>
      </c>
      <c r="C635" t="s">
        <v>13</v>
      </c>
      <c r="D635" t="s">
        <v>1505</v>
      </c>
      <c r="E635" t="s">
        <v>15</v>
      </c>
      <c r="J635" s="1">
        <v>45752</v>
      </c>
      <c r="K635">
        <v>332</v>
      </c>
      <c r="L635" t="s">
        <v>1514</v>
      </c>
      <c r="M635">
        <v>8</v>
      </c>
      <c r="N635" t="str">
        <f>VLOOKUP(M635,[1]LOJA!$A:$B,2,0)</f>
        <v>LUZIÂNIA</v>
      </c>
      <c r="O635">
        <v>20</v>
      </c>
      <c r="P635" t="str">
        <f>VLOOKUP(O635,[1]OPERADORES!$A:$B,2,0)</f>
        <v>MAYARA</v>
      </c>
      <c r="Q635">
        <v>22</v>
      </c>
      <c r="R635">
        <v>1000015009</v>
      </c>
      <c r="S635" t="s">
        <v>1515</v>
      </c>
      <c r="T635" s="1">
        <v>45632</v>
      </c>
      <c r="U635">
        <v>688</v>
      </c>
      <c r="V635">
        <v>688</v>
      </c>
    </row>
    <row r="636" spans="1:22" x14ac:dyDescent="0.3">
      <c r="A636" t="s">
        <v>1503</v>
      </c>
      <c r="B636" t="s">
        <v>1504</v>
      </c>
      <c r="C636" t="s">
        <v>13</v>
      </c>
      <c r="D636" t="s">
        <v>1505</v>
      </c>
      <c r="E636" t="s">
        <v>15</v>
      </c>
      <c r="J636" s="1">
        <v>45755</v>
      </c>
      <c r="K636">
        <v>329</v>
      </c>
      <c r="L636" t="s">
        <v>1516</v>
      </c>
      <c r="M636">
        <v>8</v>
      </c>
      <c r="N636" t="str">
        <f>VLOOKUP(M636,[1]LOJA!$A:$B,2,0)</f>
        <v>LUZIÂNIA</v>
      </c>
      <c r="O636">
        <v>20</v>
      </c>
      <c r="P636" t="str">
        <f>VLOOKUP(O636,[1]OPERADORES!$A:$B,2,0)</f>
        <v>MAYARA</v>
      </c>
      <c r="Q636">
        <v>22</v>
      </c>
      <c r="R636">
        <v>1000015604</v>
      </c>
      <c r="S636" t="s">
        <v>1517</v>
      </c>
      <c r="T636" s="1">
        <v>45695</v>
      </c>
      <c r="U636">
        <v>366</v>
      </c>
      <c r="V636">
        <v>366</v>
      </c>
    </row>
    <row r="637" spans="1:22" x14ac:dyDescent="0.3">
      <c r="A637" t="s">
        <v>1503</v>
      </c>
      <c r="B637" t="s">
        <v>1504</v>
      </c>
      <c r="C637" t="s">
        <v>13</v>
      </c>
      <c r="D637" t="s">
        <v>1505</v>
      </c>
      <c r="E637" t="s">
        <v>15</v>
      </c>
      <c r="J637" s="1">
        <v>45814</v>
      </c>
      <c r="K637">
        <v>270</v>
      </c>
      <c r="L637" t="s">
        <v>1518</v>
      </c>
      <c r="M637">
        <v>8</v>
      </c>
      <c r="N637" t="str">
        <f>VLOOKUP(M637,[1]LOJA!$A:$B,2,0)</f>
        <v>LUZIÂNIA</v>
      </c>
      <c r="O637">
        <v>20</v>
      </c>
      <c r="P637" t="str">
        <f>VLOOKUP(O637,[1]OPERADORES!$A:$B,2,0)</f>
        <v>MAYARA</v>
      </c>
      <c r="Q637">
        <v>22</v>
      </c>
      <c r="R637">
        <v>1000016572</v>
      </c>
      <c r="S637" t="s">
        <v>1519</v>
      </c>
      <c r="T637" s="1">
        <v>45784</v>
      </c>
      <c r="U637">
        <v>589.79999999999995</v>
      </c>
      <c r="V637">
        <v>589.79999999999995</v>
      </c>
    </row>
    <row r="638" spans="1:22" x14ac:dyDescent="0.3">
      <c r="A638" t="s">
        <v>1520</v>
      </c>
      <c r="B638" t="s">
        <v>1521</v>
      </c>
      <c r="C638" t="s">
        <v>13</v>
      </c>
      <c r="D638" t="s">
        <v>1522</v>
      </c>
      <c r="E638" t="s">
        <v>15</v>
      </c>
      <c r="J638" s="1">
        <v>44454</v>
      </c>
      <c r="K638">
        <v>1630</v>
      </c>
      <c r="L638" t="s">
        <v>1523</v>
      </c>
      <c r="M638">
        <v>13</v>
      </c>
      <c r="N638" t="str">
        <f>VLOOKUP(M638,[1]LOJA!$A:$B,2,0)</f>
        <v>CEILÂNDIA</v>
      </c>
      <c r="O638">
        <v>84</v>
      </c>
      <c r="P638" t="str">
        <f>VLOOKUP(O638,[1]OPERADORES!$A:$B,2,0)</f>
        <v>JEICY AZEVEDO</v>
      </c>
      <c r="Q638">
        <v>12</v>
      </c>
      <c r="S638" t="s">
        <v>1524</v>
      </c>
      <c r="T638" s="1">
        <v>44443</v>
      </c>
      <c r="U638" s="2">
        <v>1887.93</v>
      </c>
      <c r="V638" s="2">
        <v>1887.93</v>
      </c>
    </row>
    <row r="639" spans="1:22" x14ac:dyDescent="0.3">
      <c r="A639" t="s">
        <v>1520</v>
      </c>
      <c r="B639" t="s">
        <v>1521</v>
      </c>
      <c r="C639" t="s">
        <v>13</v>
      </c>
      <c r="D639" t="s">
        <v>1522</v>
      </c>
      <c r="E639" t="s">
        <v>15</v>
      </c>
      <c r="J639" s="1">
        <v>44467</v>
      </c>
      <c r="K639">
        <v>1617</v>
      </c>
      <c r="L639" t="s">
        <v>1525</v>
      </c>
      <c r="M639">
        <v>13</v>
      </c>
      <c r="N639" t="str">
        <f>VLOOKUP(M639,[1]LOJA!$A:$B,2,0)</f>
        <v>CEILÂNDIA</v>
      </c>
      <c r="O639">
        <v>126</v>
      </c>
      <c r="P639" t="str">
        <f>VLOOKUP(O639,[1]OPERADORES!$A:$B,2,0)</f>
        <v>CESAR OLIVIEIRA DE ARAUJO</v>
      </c>
      <c r="Q639">
        <v>11</v>
      </c>
      <c r="R639">
        <v>5000000617</v>
      </c>
      <c r="S639" t="s">
        <v>1526</v>
      </c>
      <c r="T639" s="1">
        <v>44377</v>
      </c>
      <c r="U639" s="2">
        <v>1298.5</v>
      </c>
      <c r="V639" s="2">
        <v>1298.5</v>
      </c>
    </row>
    <row r="640" spans="1:22" x14ac:dyDescent="0.3">
      <c r="A640" t="s">
        <v>1520</v>
      </c>
      <c r="B640" t="s">
        <v>1521</v>
      </c>
      <c r="C640" t="s">
        <v>13</v>
      </c>
      <c r="D640" t="s">
        <v>1522</v>
      </c>
      <c r="E640" t="s">
        <v>15</v>
      </c>
      <c r="J640" s="1">
        <v>44473</v>
      </c>
      <c r="K640">
        <v>1611</v>
      </c>
      <c r="L640" t="s">
        <v>1527</v>
      </c>
      <c r="M640">
        <v>13</v>
      </c>
      <c r="N640" t="str">
        <f>VLOOKUP(M640,[1]LOJA!$A:$B,2,0)</f>
        <v>CEILÂNDIA</v>
      </c>
      <c r="O640">
        <v>126</v>
      </c>
      <c r="P640" t="str">
        <f>VLOOKUP(O640,[1]OPERADORES!$A:$B,2,0)</f>
        <v>CESAR OLIVIEIRA DE ARAUJO</v>
      </c>
      <c r="Q640">
        <v>27</v>
      </c>
      <c r="R640">
        <v>5000000635</v>
      </c>
      <c r="S640" t="s">
        <v>1528</v>
      </c>
      <c r="T640" s="1">
        <v>44413</v>
      </c>
      <c r="U640">
        <v>610.33000000000004</v>
      </c>
      <c r="V640">
        <v>610.33000000000004</v>
      </c>
    </row>
    <row r="641" spans="1:22" x14ac:dyDescent="0.3">
      <c r="A641" t="s">
        <v>1520</v>
      </c>
      <c r="B641" t="s">
        <v>1521</v>
      </c>
      <c r="C641" t="s">
        <v>13</v>
      </c>
      <c r="D641" t="s">
        <v>1522</v>
      </c>
      <c r="E641" t="s">
        <v>15</v>
      </c>
      <c r="J641" s="1">
        <v>44479</v>
      </c>
      <c r="K641">
        <v>1605</v>
      </c>
      <c r="L641" t="s">
        <v>1529</v>
      </c>
      <c r="M641">
        <v>13</v>
      </c>
      <c r="N641" t="str">
        <f>VLOOKUP(M641,[1]LOJA!$A:$B,2,0)</f>
        <v>CEILÂNDIA</v>
      </c>
      <c r="O641">
        <v>84</v>
      </c>
      <c r="P641" t="str">
        <f>VLOOKUP(O641,[1]OPERADORES!$A:$B,2,0)</f>
        <v>JEICY AZEVEDO</v>
      </c>
      <c r="Q641">
        <v>4</v>
      </c>
      <c r="S641" t="s">
        <v>1530</v>
      </c>
      <c r="T641" s="1">
        <v>44417</v>
      </c>
      <c r="U641">
        <v>784</v>
      </c>
      <c r="V641">
        <v>784</v>
      </c>
    </row>
    <row r="642" spans="1:22" x14ac:dyDescent="0.3">
      <c r="A642" t="s">
        <v>1520</v>
      </c>
      <c r="B642" t="s">
        <v>1521</v>
      </c>
      <c r="C642" t="s">
        <v>13</v>
      </c>
      <c r="D642" t="s">
        <v>1522</v>
      </c>
      <c r="E642" t="s">
        <v>15</v>
      </c>
      <c r="J642" s="1">
        <v>44484</v>
      </c>
      <c r="K642">
        <v>1600</v>
      </c>
      <c r="L642" t="s">
        <v>1531</v>
      </c>
      <c r="M642">
        <v>13</v>
      </c>
      <c r="N642" t="str">
        <f>VLOOKUP(M642,[1]LOJA!$A:$B,2,0)</f>
        <v>CEILÂNDIA</v>
      </c>
      <c r="O642">
        <v>20</v>
      </c>
      <c r="P642" t="str">
        <f>VLOOKUP(O642,[1]OPERADORES!$A:$B,2,0)</f>
        <v>MAYARA</v>
      </c>
      <c r="Q642">
        <v>12</v>
      </c>
      <c r="S642" t="s">
        <v>1532</v>
      </c>
      <c r="T642" s="1">
        <v>44471</v>
      </c>
      <c r="U642">
        <v>945</v>
      </c>
      <c r="V642">
        <v>945</v>
      </c>
    </row>
    <row r="643" spans="1:22" x14ac:dyDescent="0.3">
      <c r="A643" t="s">
        <v>1520</v>
      </c>
      <c r="B643" t="s">
        <v>1521</v>
      </c>
      <c r="C643" t="s">
        <v>13</v>
      </c>
      <c r="D643" t="s">
        <v>1522</v>
      </c>
      <c r="E643" t="s">
        <v>15</v>
      </c>
      <c r="J643" s="1">
        <v>44494</v>
      </c>
      <c r="K643">
        <v>1590</v>
      </c>
      <c r="L643" t="s">
        <v>1533</v>
      </c>
      <c r="M643">
        <v>13</v>
      </c>
      <c r="N643" t="str">
        <f>VLOOKUP(M643,[1]LOJA!$A:$B,2,0)</f>
        <v>CEILÂNDIA</v>
      </c>
      <c r="O643">
        <v>126</v>
      </c>
      <c r="P643" t="str">
        <f>VLOOKUP(O643,[1]OPERADORES!$A:$B,2,0)</f>
        <v>CESAR OLIVIEIRA DE ARAUJO</v>
      </c>
      <c r="Q643">
        <v>27</v>
      </c>
      <c r="R643">
        <v>5000000650</v>
      </c>
      <c r="S643" t="s">
        <v>1534</v>
      </c>
      <c r="T643" s="1">
        <v>44434</v>
      </c>
      <c r="U643">
        <v>362.92</v>
      </c>
      <c r="V643">
        <v>362.92</v>
      </c>
    </row>
    <row r="644" spans="1:22" x14ac:dyDescent="0.3">
      <c r="A644" t="s">
        <v>1520</v>
      </c>
      <c r="B644" t="s">
        <v>1521</v>
      </c>
      <c r="C644" t="s">
        <v>13</v>
      </c>
      <c r="D644" t="s">
        <v>1522</v>
      </c>
      <c r="E644" t="s">
        <v>15</v>
      </c>
      <c r="J644" s="1">
        <v>44497</v>
      </c>
      <c r="K644">
        <v>1587</v>
      </c>
      <c r="L644" t="s">
        <v>1535</v>
      </c>
      <c r="M644">
        <v>13</v>
      </c>
      <c r="N644" t="str">
        <f>VLOOKUP(M644,[1]LOJA!$A:$B,2,0)</f>
        <v>CEILÂNDIA</v>
      </c>
      <c r="O644">
        <v>126</v>
      </c>
      <c r="P644" t="str">
        <f>VLOOKUP(O644,[1]OPERADORES!$A:$B,2,0)</f>
        <v>CESAR OLIVIEIRA DE ARAUJO</v>
      </c>
      <c r="Q644">
        <v>27</v>
      </c>
      <c r="R644">
        <v>5000000618</v>
      </c>
      <c r="S644" t="s">
        <v>1536</v>
      </c>
      <c r="T644" s="1">
        <v>44377</v>
      </c>
      <c r="U644" s="2">
        <v>1298.5</v>
      </c>
      <c r="V644" s="2">
        <v>1298.5</v>
      </c>
    </row>
    <row r="645" spans="1:22" x14ac:dyDescent="0.3">
      <c r="A645" t="s">
        <v>1520</v>
      </c>
      <c r="B645" t="s">
        <v>1521</v>
      </c>
      <c r="C645" t="s">
        <v>13</v>
      </c>
      <c r="D645" t="s">
        <v>1522</v>
      </c>
      <c r="E645" t="s">
        <v>15</v>
      </c>
      <c r="J645" s="1">
        <v>44503</v>
      </c>
      <c r="K645">
        <v>1581</v>
      </c>
      <c r="L645" t="s">
        <v>1537</v>
      </c>
      <c r="M645">
        <v>13</v>
      </c>
      <c r="N645" t="str">
        <f>VLOOKUP(M645,[1]LOJA!$A:$B,2,0)</f>
        <v>CEILÂNDIA</v>
      </c>
      <c r="O645">
        <v>126</v>
      </c>
      <c r="P645" t="str">
        <f>VLOOKUP(O645,[1]OPERADORES!$A:$B,2,0)</f>
        <v>CESAR OLIVIEIRA DE ARAUJO</v>
      </c>
      <c r="Q645">
        <v>27</v>
      </c>
      <c r="R645">
        <v>5000000636</v>
      </c>
      <c r="S645" t="s">
        <v>1526</v>
      </c>
      <c r="T645" s="1">
        <v>44413</v>
      </c>
      <c r="U645">
        <v>610.33000000000004</v>
      </c>
      <c r="V645">
        <v>610.33000000000004</v>
      </c>
    </row>
    <row r="646" spans="1:22" x14ac:dyDescent="0.3">
      <c r="A646" t="s">
        <v>1520</v>
      </c>
      <c r="B646" t="s">
        <v>1521</v>
      </c>
      <c r="C646" t="s">
        <v>13</v>
      </c>
      <c r="D646" t="s">
        <v>1522</v>
      </c>
      <c r="E646" t="s">
        <v>15</v>
      </c>
      <c r="J646" s="1">
        <v>44510</v>
      </c>
      <c r="K646">
        <v>1574</v>
      </c>
      <c r="L646" t="s">
        <v>1538</v>
      </c>
      <c r="M646">
        <v>13</v>
      </c>
      <c r="N646" t="str">
        <f>VLOOKUP(M646,[1]LOJA!$A:$B,2,0)</f>
        <v>CEILÂNDIA</v>
      </c>
      <c r="O646">
        <v>84</v>
      </c>
      <c r="P646" t="str">
        <f>VLOOKUP(O646,[1]OPERADORES!$A:$B,2,0)</f>
        <v>JEICY AZEVEDO</v>
      </c>
      <c r="Q646">
        <v>4</v>
      </c>
      <c r="S646" t="s">
        <v>1539</v>
      </c>
      <c r="T646" s="1">
        <v>44417</v>
      </c>
      <c r="U646">
        <v>784</v>
      </c>
      <c r="V646">
        <v>784</v>
      </c>
    </row>
    <row r="647" spans="1:22" x14ac:dyDescent="0.3">
      <c r="A647" t="s">
        <v>1520</v>
      </c>
      <c r="B647" t="s">
        <v>1521</v>
      </c>
      <c r="C647" t="s">
        <v>13</v>
      </c>
      <c r="D647" t="s">
        <v>1522</v>
      </c>
      <c r="E647" t="s">
        <v>15</v>
      </c>
      <c r="J647" s="1">
        <v>44524</v>
      </c>
      <c r="K647">
        <v>1560</v>
      </c>
      <c r="L647" t="s">
        <v>1540</v>
      </c>
      <c r="M647">
        <v>13</v>
      </c>
      <c r="N647" t="str">
        <f>VLOOKUP(M647,[1]LOJA!$A:$B,2,0)</f>
        <v>CEILÂNDIA</v>
      </c>
      <c r="O647">
        <v>126</v>
      </c>
      <c r="P647" t="str">
        <f>VLOOKUP(O647,[1]OPERADORES!$A:$B,2,0)</f>
        <v>CESAR OLIVIEIRA DE ARAUJO</v>
      </c>
      <c r="Q647">
        <v>27</v>
      </c>
      <c r="R647">
        <v>5000000651</v>
      </c>
      <c r="S647" t="s">
        <v>1295</v>
      </c>
      <c r="T647" s="1">
        <v>44434</v>
      </c>
      <c r="U647">
        <v>362.92</v>
      </c>
      <c r="V647">
        <v>362.92</v>
      </c>
    </row>
    <row r="648" spans="1:22" x14ac:dyDescent="0.3">
      <c r="A648" t="s">
        <v>1520</v>
      </c>
      <c r="B648" t="s">
        <v>1521</v>
      </c>
      <c r="C648" t="s">
        <v>13</v>
      </c>
      <c r="D648" t="s">
        <v>1522</v>
      </c>
      <c r="E648" t="s">
        <v>15</v>
      </c>
      <c r="J648" s="1">
        <v>44527</v>
      </c>
      <c r="K648">
        <v>1557</v>
      </c>
      <c r="L648" t="s">
        <v>1541</v>
      </c>
      <c r="M648">
        <v>13</v>
      </c>
      <c r="N648" t="str">
        <f>VLOOKUP(M648,[1]LOJA!$A:$B,2,0)</f>
        <v>CEILÂNDIA</v>
      </c>
      <c r="O648">
        <v>126</v>
      </c>
      <c r="P648" t="str">
        <f>VLOOKUP(O648,[1]OPERADORES!$A:$B,2,0)</f>
        <v>CESAR OLIVIEIRA DE ARAUJO</v>
      </c>
      <c r="Q648">
        <v>27</v>
      </c>
      <c r="R648">
        <v>5000000619</v>
      </c>
      <c r="S648" t="s">
        <v>1542</v>
      </c>
      <c r="T648" s="1">
        <v>44377</v>
      </c>
      <c r="U648" s="2">
        <v>1298.5</v>
      </c>
      <c r="V648" s="2">
        <v>1298.5</v>
      </c>
    </row>
    <row r="649" spans="1:22" x14ac:dyDescent="0.3">
      <c r="A649" t="s">
        <v>1520</v>
      </c>
      <c r="B649" t="s">
        <v>1521</v>
      </c>
      <c r="C649" t="s">
        <v>13</v>
      </c>
      <c r="D649" t="s">
        <v>1522</v>
      </c>
      <c r="E649" t="s">
        <v>15</v>
      </c>
      <c r="J649" s="1">
        <v>44533</v>
      </c>
      <c r="K649">
        <v>1551</v>
      </c>
      <c r="L649" t="s">
        <v>1543</v>
      </c>
      <c r="M649">
        <v>13</v>
      </c>
      <c r="N649" t="str">
        <f>VLOOKUP(M649,[1]LOJA!$A:$B,2,0)</f>
        <v>CEILÂNDIA</v>
      </c>
      <c r="O649">
        <v>126</v>
      </c>
      <c r="P649" t="str">
        <f>VLOOKUP(O649,[1]OPERADORES!$A:$B,2,0)</f>
        <v>CESAR OLIVIEIRA DE ARAUJO</v>
      </c>
      <c r="Q649">
        <v>27</v>
      </c>
      <c r="R649">
        <v>5000000637</v>
      </c>
      <c r="S649" t="s">
        <v>1536</v>
      </c>
      <c r="T649" s="1">
        <v>44413</v>
      </c>
      <c r="U649">
        <v>610.33000000000004</v>
      </c>
      <c r="V649">
        <v>610.33000000000004</v>
      </c>
    </row>
    <row r="650" spans="1:22" x14ac:dyDescent="0.3">
      <c r="A650" t="s">
        <v>1520</v>
      </c>
      <c r="B650" t="s">
        <v>1521</v>
      </c>
      <c r="C650" t="s">
        <v>13</v>
      </c>
      <c r="D650" t="s">
        <v>1522</v>
      </c>
      <c r="E650" t="s">
        <v>15</v>
      </c>
      <c r="J650" s="1">
        <v>44554</v>
      </c>
      <c r="K650">
        <v>1530</v>
      </c>
      <c r="L650" t="s">
        <v>1544</v>
      </c>
      <c r="M650">
        <v>13</v>
      </c>
      <c r="N650" t="str">
        <f>VLOOKUP(M650,[1]LOJA!$A:$B,2,0)</f>
        <v>CEILÂNDIA</v>
      </c>
      <c r="O650">
        <v>126</v>
      </c>
      <c r="P650" t="str">
        <f>VLOOKUP(O650,[1]OPERADORES!$A:$B,2,0)</f>
        <v>CESAR OLIVIEIRA DE ARAUJO</v>
      </c>
      <c r="Q650">
        <v>27</v>
      </c>
      <c r="R650">
        <v>5000000652</v>
      </c>
      <c r="S650" t="s">
        <v>1305</v>
      </c>
      <c r="T650" s="1">
        <v>44434</v>
      </c>
      <c r="U650">
        <v>362.92</v>
      </c>
      <c r="V650">
        <v>362.92</v>
      </c>
    </row>
    <row r="651" spans="1:22" x14ac:dyDescent="0.3">
      <c r="A651" t="s">
        <v>1520</v>
      </c>
      <c r="B651" t="s">
        <v>1521</v>
      </c>
      <c r="C651" t="s">
        <v>13</v>
      </c>
      <c r="D651" t="s">
        <v>1522</v>
      </c>
      <c r="E651" t="s">
        <v>15</v>
      </c>
      <c r="J651" s="1">
        <v>44557</v>
      </c>
      <c r="K651">
        <v>1527</v>
      </c>
      <c r="L651" t="s">
        <v>1545</v>
      </c>
      <c r="M651">
        <v>13</v>
      </c>
      <c r="N651" t="str">
        <f>VLOOKUP(M651,[1]LOJA!$A:$B,2,0)</f>
        <v>CEILÂNDIA</v>
      </c>
      <c r="O651">
        <v>126</v>
      </c>
      <c r="P651" t="str">
        <f>VLOOKUP(O651,[1]OPERADORES!$A:$B,2,0)</f>
        <v>CESAR OLIVIEIRA DE ARAUJO</v>
      </c>
      <c r="Q651">
        <v>27</v>
      </c>
      <c r="R651">
        <v>5000000620</v>
      </c>
      <c r="S651" t="s">
        <v>1546</v>
      </c>
      <c r="T651" s="1">
        <v>44377</v>
      </c>
      <c r="U651" s="2">
        <v>1298.5</v>
      </c>
      <c r="V651" s="2">
        <v>1298.5</v>
      </c>
    </row>
    <row r="652" spans="1:22" x14ac:dyDescent="0.3">
      <c r="A652" t="s">
        <v>1520</v>
      </c>
      <c r="B652" t="s">
        <v>1521</v>
      </c>
      <c r="C652" t="s">
        <v>13</v>
      </c>
      <c r="D652" t="s">
        <v>1522</v>
      </c>
      <c r="E652" t="s">
        <v>15</v>
      </c>
      <c r="J652" s="1">
        <v>44563</v>
      </c>
      <c r="K652">
        <v>1521</v>
      </c>
      <c r="L652" t="s">
        <v>1547</v>
      </c>
      <c r="M652">
        <v>13</v>
      </c>
      <c r="N652" t="str">
        <f>VLOOKUP(M652,[1]LOJA!$A:$B,2,0)</f>
        <v>CEILÂNDIA</v>
      </c>
      <c r="O652">
        <v>126</v>
      </c>
      <c r="P652" t="str">
        <f>VLOOKUP(O652,[1]OPERADORES!$A:$B,2,0)</f>
        <v>CESAR OLIVIEIRA DE ARAUJO</v>
      </c>
      <c r="Q652">
        <v>27</v>
      </c>
      <c r="R652">
        <v>5000000638</v>
      </c>
      <c r="S652" t="s">
        <v>1542</v>
      </c>
      <c r="T652" s="1">
        <v>44413</v>
      </c>
      <c r="U652">
        <v>610.33000000000004</v>
      </c>
      <c r="V652">
        <v>610.33000000000004</v>
      </c>
    </row>
    <row r="653" spans="1:22" x14ac:dyDescent="0.3">
      <c r="A653" t="s">
        <v>1520</v>
      </c>
      <c r="B653" t="s">
        <v>1521</v>
      </c>
      <c r="C653" t="s">
        <v>13</v>
      </c>
      <c r="D653" t="s">
        <v>1522</v>
      </c>
      <c r="E653" t="s">
        <v>15</v>
      </c>
      <c r="J653" s="1">
        <v>44584</v>
      </c>
      <c r="K653">
        <v>1500</v>
      </c>
      <c r="L653" t="s">
        <v>1548</v>
      </c>
      <c r="M653">
        <v>13</v>
      </c>
      <c r="N653" t="str">
        <f>VLOOKUP(M653,[1]LOJA!$A:$B,2,0)</f>
        <v>CEILÂNDIA</v>
      </c>
      <c r="O653">
        <v>126</v>
      </c>
      <c r="P653" t="str">
        <f>VLOOKUP(O653,[1]OPERADORES!$A:$B,2,0)</f>
        <v>CESAR OLIVIEIRA DE ARAUJO</v>
      </c>
      <c r="Q653">
        <v>27</v>
      </c>
      <c r="R653">
        <v>5000000653</v>
      </c>
      <c r="S653" t="s">
        <v>1145</v>
      </c>
      <c r="T653" s="1">
        <v>44434</v>
      </c>
      <c r="U653">
        <v>362.92</v>
      </c>
      <c r="V653">
        <v>362.92</v>
      </c>
    </row>
    <row r="654" spans="1:22" x14ac:dyDescent="0.3">
      <c r="A654" t="s">
        <v>1520</v>
      </c>
      <c r="B654" t="s">
        <v>1521</v>
      </c>
      <c r="C654" t="s">
        <v>13</v>
      </c>
      <c r="D654" t="s">
        <v>1522</v>
      </c>
      <c r="E654" t="s">
        <v>15</v>
      </c>
      <c r="J654" s="1">
        <v>44593</v>
      </c>
      <c r="K654">
        <v>1491</v>
      </c>
      <c r="L654" t="s">
        <v>1549</v>
      </c>
      <c r="M654">
        <v>13</v>
      </c>
      <c r="N654" t="str">
        <f>VLOOKUP(M654,[1]LOJA!$A:$B,2,0)</f>
        <v>CEILÂNDIA</v>
      </c>
      <c r="O654">
        <v>126</v>
      </c>
      <c r="P654" t="str">
        <f>VLOOKUP(O654,[1]OPERADORES!$A:$B,2,0)</f>
        <v>CESAR OLIVIEIRA DE ARAUJO</v>
      </c>
      <c r="Q654">
        <v>27</v>
      </c>
      <c r="R654">
        <v>5000000639</v>
      </c>
      <c r="S654" t="s">
        <v>1546</v>
      </c>
      <c r="T654" s="1">
        <v>44413</v>
      </c>
      <c r="U654">
        <v>610.33000000000004</v>
      </c>
      <c r="V654">
        <v>610.33000000000004</v>
      </c>
    </row>
    <row r="655" spans="1:22" x14ac:dyDescent="0.3">
      <c r="A655" t="s">
        <v>1520</v>
      </c>
      <c r="B655" t="s">
        <v>1521</v>
      </c>
      <c r="C655" t="s">
        <v>13</v>
      </c>
      <c r="D655" t="s">
        <v>1522</v>
      </c>
      <c r="E655" t="s">
        <v>15</v>
      </c>
      <c r="J655" s="1">
        <v>44825</v>
      </c>
      <c r="K655">
        <v>1259</v>
      </c>
      <c r="L655" t="s">
        <v>1550</v>
      </c>
      <c r="M655">
        <v>13</v>
      </c>
      <c r="N655" t="str">
        <f>VLOOKUP(M655,[1]LOJA!$A:$B,2,0)</f>
        <v>CEILÂNDIA</v>
      </c>
      <c r="O655">
        <v>67</v>
      </c>
      <c r="P655" t="str">
        <f>VLOOKUP(O655,[1]OPERADORES!$A:$B,2,0)</f>
        <v>ERIKA</v>
      </c>
      <c r="Q655">
        <v>4</v>
      </c>
      <c r="S655" t="s">
        <v>1551</v>
      </c>
      <c r="T655" s="1">
        <v>44825</v>
      </c>
      <c r="U655">
        <v>-0.9</v>
      </c>
      <c r="V655">
        <v>-0.9</v>
      </c>
    </row>
    <row r="656" spans="1:22" x14ac:dyDescent="0.3">
      <c r="A656" t="s">
        <v>1552</v>
      </c>
      <c r="B656" t="s">
        <v>1553</v>
      </c>
      <c r="C656" t="s">
        <v>13</v>
      </c>
      <c r="D656" t="s">
        <v>1554</v>
      </c>
      <c r="E656" t="s">
        <v>15</v>
      </c>
      <c r="J656" s="1">
        <v>45861</v>
      </c>
      <c r="K656">
        <v>223</v>
      </c>
      <c r="L656" t="s">
        <v>1555</v>
      </c>
      <c r="M656">
        <v>12</v>
      </c>
      <c r="N656" t="str">
        <f>VLOOKUP(M656,[1]LOJA!$A:$B,2,0)</f>
        <v>SOFNORTE</v>
      </c>
      <c r="O656">
        <v>44</v>
      </c>
      <c r="P656" t="str">
        <f>VLOOKUP(O656,[1]OPERADORES!$A:$B,2,0)</f>
        <v>LUIS JUNIO</v>
      </c>
      <c r="Q656">
        <v>4</v>
      </c>
      <c r="S656" t="s">
        <v>1556</v>
      </c>
      <c r="T656" s="1">
        <v>45861</v>
      </c>
      <c r="U656">
        <v>-16.559999999999999</v>
      </c>
      <c r="V656">
        <v>-16.559999999999999</v>
      </c>
    </row>
    <row r="657" spans="1:22" x14ac:dyDescent="0.3">
      <c r="A657" t="s">
        <v>1557</v>
      </c>
      <c r="B657" t="s">
        <v>1558</v>
      </c>
      <c r="C657" t="s">
        <v>207</v>
      </c>
      <c r="D657" t="s">
        <v>5577</v>
      </c>
      <c r="E657" t="s">
        <v>15</v>
      </c>
      <c r="J657" s="1">
        <v>45218</v>
      </c>
      <c r="K657">
        <v>866</v>
      </c>
      <c r="L657" t="s">
        <v>1559</v>
      </c>
      <c r="M657">
        <v>9</v>
      </c>
      <c r="N657" t="str">
        <f>VLOOKUP(M657,[1]LOJA!$A:$B,2,0)</f>
        <v>ÚNICA</v>
      </c>
      <c r="O657">
        <v>145</v>
      </c>
      <c r="P657" t="str">
        <f>VLOOKUP(O657,[1]OPERADORES!$A:$B,2,0)</f>
        <v xml:space="preserve">FABRICIA </v>
      </c>
      <c r="Q657">
        <v>4</v>
      </c>
      <c r="S657" t="s">
        <v>1560</v>
      </c>
      <c r="T657" s="1">
        <v>45218</v>
      </c>
      <c r="U657">
        <v>-4.7699999999999996</v>
      </c>
      <c r="V657">
        <v>-4.7699999999999996</v>
      </c>
    </row>
    <row r="658" spans="1:22" x14ac:dyDescent="0.3">
      <c r="A658" t="s">
        <v>1561</v>
      </c>
      <c r="B658" t="s">
        <v>1562</v>
      </c>
      <c r="C658" t="s">
        <v>255</v>
      </c>
      <c r="D658" t="s">
        <v>1563</v>
      </c>
      <c r="E658" t="s">
        <v>15</v>
      </c>
      <c r="J658" s="1">
        <v>45961</v>
      </c>
      <c r="K658">
        <v>123</v>
      </c>
      <c r="L658" t="s">
        <v>1564</v>
      </c>
      <c r="M658">
        <v>6</v>
      </c>
      <c r="N658" t="str">
        <f>VLOOKUP(M658,[1]LOJA!$A:$B,2,0)</f>
        <v>GAMA</v>
      </c>
      <c r="O658">
        <v>246</v>
      </c>
      <c r="P658" t="str">
        <f>VLOOKUP(O658,[1]OPERADORES!$A:$B,2,0)</f>
        <v>VITORIA APARECIDA</v>
      </c>
      <c r="Q658">
        <v>4</v>
      </c>
      <c r="S658" t="s">
        <v>1565</v>
      </c>
      <c r="T658" s="1">
        <v>45961</v>
      </c>
      <c r="U658">
        <v>-7.55</v>
      </c>
      <c r="V658">
        <v>-7.55</v>
      </c>
    </row>
    <row r="659" spans="1:22" x14ac:dyDescent="0.3">
      <c r="A659" t="s">
        <v>1566</v>
      </c>
      <c r="B659" t="s">
        <v>1567</v>
      </c>
      <c r="C659" t="s">
        <v>13</v>
      </c>
      <c r="D659" t="s">
        <v>1568</v>
      </c>
      <c r="E659" t="s">
        <v>15</v>
      </c>
      <c r="J659" s="1">
        <v>44838</v>
      </c>
      <c r="K659">
        <v>1246</v>
      </c>
      <c r="L659" t="s">
        <v>1569</v>
      </c>
      <c r="M659">
        <v>12</v>
      </c>
      <c r="N659" t="str">
        <f>VLOOKUP(M659,[1]LOJA!$A:$B,2,0)</f>
        <v>SOFNORTE</v>
      </c>
      <c r="O659">
        <v>44</v>
      </c>
      <c r="P659" t="str">
        <f>VLOOKUP(O659,[1]OPERADORES!$A:$B,2,0)</f>
        <v>LUIS JUNIO</v>
      </c>
      <c r="Q659">
        <v>4</v>
      </c>
      <c r="S659" t="s">
        <v>1570</v>
      </c>
      <c r="T659" s="1">
        <v>44838</v>
      </c>
      <c r="U659">
        <v>-0.94</v>
      </c>
      <c r="V659">
        <v>-0.94</v>
      </c>
    </row>
    <row r="660" spans="1:22" x14ac:dyDescent="0.3">
      <c r="A660" t="s">
        <v>1566</v>
      </c>
      <c r="B660" t="s">
        <v>1567</v>
      </c>
      <c r="C660" t="s">
        <v>13</v>
      </c>
      <c r="D660" t="s">
        <v>1568</v>
      </c>
      <c r="E660" t="s">
        <v>15</v>
      </c>
      <c r="J660" s="1">
        <v>45126</v>
      </c>
      <c r="K660">
        <v>958</v>
      </c>
      <c r="L660" t="s">
        <v>1571</v>
      </c>
      <c r="M660">
        <v>12</v>
      </c>
      <c r="N660" t="str">
        <f>VLOOKUP(M660,[1]LOJA!$A:$B,2,0)</f>
        <v>SOFNORTE</v>
      </c>
      <c r="O660">
        <v>147</v>
      </c>
      <c r="P660" t="str">
        <f>VLOOKUP(O660,[1]OPERADORES!$A:$B,2,0)</f>
        <v>MICAELE DA CONCEIÇAO SILVA</v>
      </c>
      <c r="Q660">
        <v>4</v>
      </c>
      <c r="S660" t="s">
        <v>1572</v>
      </c>
      <c r="T660" s="1">
        <v>45126</v>
      </c>
      <c r="U660">
        <v>-10.4</v>
      </c>
      <c r="V660">
        <v>-10.4</v>
      </c>
    </row>
    <row r="661" spans="1:22" x14ac:dyDescent="0.3">
      <c r="A661" t="s">
        <v>1573</v>
      </c>
      <c r="B661" t="s">
        <v>32</v>
      </c>
      <c r="C661" t="s">
        <v>226</v>
      </c>
      <c r="D661" t="s">
        <v>1574</v>
      </c>
      <c r="E661" t="s">
        <v>15</v>
      </c>
      <c r="J661" s="1">
        <v>46057</v>
      </c>
      <c r="K661">
        <v>27</v>
      </c>
      <c r="L661" t="s">
        <v>1575</v>
      </c>
      <c r="M661">
        <v>9</v>
      </c>
      <c r="N661" t="str">
        <f>VLOOKUP(M661,[1]LOJA!$A:$B,2,0)</f>
        <v>ÚNICA</v>
      </c>
      <c r="O661">
        <v>144</v>
      </c>
      <c r="P661" t="str">
        <f>VLOOKUP(O661,[1]OPERADORES!$A:$B,2,0)</f>
        <v>CINTIA DA SILVA CARLOS</v>
      </c>
      <c r="Q661">
        <v>4</v>
      </c>
      <c r="S661" t="s">
        <v>1576</v>
      </c>
      <c r="T661" s="1">
        <v>46057</v>
      </c>
      <c r="U661">
        <v>-112.77</v>
      </c>
      <c r="V661">
        <v>-112.77</v>
      </c>
    </row>
    <row r="662" spans="1:22" x14ac:dyDescent="0.3">
      <c r="A662" t="s">
        <v>1577</v>
      </c>
      <c r="B662" t="s">
        <v>1578</v>
      </c>
      <c r="C662" t="s">
        <v>13</v>
      </c>
      <c r="D662" t="s">
        <v>1579</v>
      </c>
      <c r="E662" t="s">
        <v>15</v>
      </c>
      <c r="J662" s="1">
        <v>45623</v>
      </c>
      <c r="K662">
        <v>461</v>
      </c>
      <c r="L662" t="s">
        <v>1580</v>
      </c>
      <c r="M662">
        <v>8</v>
      </c>
      <c r="N662" t="str">
        <f>VLOOKUP(M662,[1]LOJA!$A:$B,2,0)</f>
        <v>LUZIÂNIA</v>
      </c>
      <c r="O662">
        <v>170</v>
      </c>
      <c r="P662" t="str">
        <f>VLOOKUP(O662,[1]OPERADORES!$A:$B,2,0)</f>
        <v>MARIA LUISA</v>
      </c>
      <c r="Q662">
        <v>4</v>
      </c>
      <c r="S662" t="s">
        <v>1581</v>
      </c>
      <c r="T662" s="1">
        <v>45622</v>
      </c>
      <c r="U662">
        <v>-3.95</v>
      </c>
      <c r="V662">
        <v>-3.95</v>
      </c>
    </row>
    <row r="663" spans="1:22" x14ac:dyDescent="0.3">
      <c r="A663" t="s">
        <v>1582</v>
      </c>
      <c r="B663" t="s">
        <v>1583</v>
      </c>
      <c r="C663" t="s">
        <v>13</v>
      </c>
      <c r="D663" t="s">
        <v>1584</v>
      </c>
      <c r="E663" t="s">
        <v>15</v>
      </c>
      <c r="J663" s="1">
        <v>44540</v>
      </c>
      <c r="K663">
        <v>1544</v>
      </c>
      <c r="L663" t="s">
        <v>1585</v>
      </c>
      <c r="M663">
        <v>12</v>
      </c>
      <c r="N663" t="str">
        <f>VLOOKUP(M663,[1]LOJA!$A:$B,2,0)</f>
        <v>SOFNORTE</v>
      </c>
      <c r="O663">
        <v>127</v>
      </c>
      <c r="P663" t="str">
        <f>VLOOKUP(O663,[1]OPERADORES!$A:$B,2,0)</f>
        <v>KARLA CRISTYNA ALVES FIGUEIRED</v>
      </c>
      <c r="Q663">
        <v>7</v>
      </c>
      <c r="S663" t="s">
        <v>1586</v>
      </c>
      <c r="T663" s="1">
        <v>44510</v>
      </c>
      <c r="U663">
        <v>12.5</v>
      </c>
      <c r="V663">
        <v>12.5</v>
      </c>
    </row>
    <row r="664" spans="1:22" x14ac:dyDescent="0.3">
      <c r="A664" t="s">
        <v>1582</v>
      </c>
      <c r="B664" t="s">
        <v>1583</v>
      </c>
      <c r="C664" t="s">
        <v>13</v>
      </c>
      <c r="D664" t="s">
        <v>1584</v>
      </c>
      <c r="E664" t="s">
        <v>15</v>
      </c>
      <c r="J664" s="1">
        <v>44608</v>
      </c>
      <c r="K664">
        <v>1476</v>
      </c>
      <c r="L664" t="s">
        <v>1587</v>
      </c>
      <c r="M664">
        <v>12</v>
      </c>
      <c r="N664" t="str">
        <f>VLOOKUP(M664,[1]LOJA!$A:$B,2,0)</f>
        <v>SOFNORTE</v>
      </c>
      <c r="O664">
        <v>65</v>
      </c>
      <c r="P664" t="str">
        <f>VLOOKUP(O664,[1]OPERADORES!$A:$B,2,0)</f>
        <v>MICHAEL ALVES FERNANDES</v>
      </c>
      <c r="Q664">
        <v>7</v>
      </c>
      <c r="S664" t="s">
        <v>87</v>
      </c>
      <c r="T664" s="1">
        <v>44607</v>
      </c>
      <c r="U664" s="2">
        <v>1228.74</v>
      </c>
      <c r="V664" s="2">
        <v>1228.74</v>
      </c>
    </row>
    <row r="665" spans="1:22" x14ac:dyDescent="0.3">
      <c r="A665" t="s">
        <v>1588</v>
      </c>
      <c r="B665" t="s">
        <v>1589</v>
      </c>
      <c r="C665" t="s">
        <v>13</v>
      </c>
      <c r="D665" t="s">
        <v>1590</v>
      </c>
      <c r="E665" t="s">
        <v>15</v>
      </c>
      <c r="J665" s="1">
        <v>45959</v>
      </c>
      <c r="K665">
        <v>125</v>
      </c>
      <c r="L665" t="s">
        <v>1591</v>
      </c>
      <c r="M665">
        <v>6</v>
      </c>
      <c r="N665" t="str">
        <f>VLOOKUP(M665,[1]LOJA!$A:$B,2,0)</f>
        <v>GAMA</v>
      </c>
      <c r="O665">
        <v>185</v>
      </c>
      <c r="P665" t="str">
        <f>VLOOKUP(O665,[1]OPERADORES!$A:$B,2,0)</f>
        <v>FELIPE OLIVEIRA PONTE</v>
      </c>
      <c r="Q665">
        <v>4</v>
      </c>
      <c r="S665" t="s">
        <v>1592</v>
      </c>
      <c r="T665" s="1">
        <v>45959</v>
      </c>
      <c r="U665">
        <v>-2.9</v>
      </c>
      <c r="V665">
        <v>-2.9</v>
      </c>
    </row>
    <row r="666" spans="1:22" x14ac:dyDescent="0.3">
      <c r="A666" t="s">
        <v>1593</v>
      </c>
      <c r="B666" t="s">
        <v>1594</v>
      </c>
      <c r="C666" t="s">
        <v>207</v>
      </c>
      <c r="D666" t="s">
        <v>5578</v>
      </c>
      <c r="E666" t="s">
        <v>15</v>
      </c>
      <c r="J666" s="1">
        <v>45951</v>
      </c>
      <c r="K666">
        <v>133</v>
      </c>
      <c r="L666" t="s">
        <v>472</v>
      </c>
      <c r="M666">
        <v>14</v>
      </c>
      <c r="N666" t="str">
        <f>VLOOKUP(M666,[1]LOJA!$A:$B,2,0)</f>
        <v>S IA</v>
      </c>
      <c r="O666">
        <v>207</v>
      </c>
      <c r="P666" t="str">
        <f>VLOOKUP(O666,[1]OPERADORES!$A:$B,2,0)</f>
        <v>KETILE SABRINE</v>
      </c>
      <c r="Q666">
        <v>4</v>
      </c>
      <c r="S666" t="s">
        <v>1595</v>
      </c>
      <c r="T666" s="1">
        <v>45951</v>
      </c>
      <c r="U666">
        <v>-6.9</v>
      </c>
      <c r="V666">
        <v>-6.9</v>
      </c>
    </row>
    <row r="667" spans="1:22" x14ac:dyDescent="0.3">
      <c r="A667" t="s">
        <v>1593</v>
      </c>
      <c r="B667" t="s">
        <v>1594</v>
      </c>
      <c r="C667" t="s">
        <v>207</v>
      </c>
      <c r="D667" t="s">
        <v>5578</v>
      </c>
      <c r="E667" t="s">
        <v>15</v>
      </c>
      <c r="J667" s="1">
        <v>46076</v>
      </c>
      <c r="K667">
        <v>8</v>
      </c>
      <c r="L667" t="s">
        <v>5579</v>
      </c>
      <c r="M667">
        <v>22</v>
      </c>
      <c r="N667" t="str">
        <f>VLOOKUP(M667,[1]LOJA!$A:$B,2,0)</f>
        <v>GUARÁ</v>
      </c>
      <c r="O667">
        <v>16</v>
      </c>
      <c r="P667" t="str">
        <f>VLOOKUP(O667,[1]OPERADORES!$A:$B,2,0)</f>
        <v>AYSLAN</v>
      </c>
      <c r="Q667">
        <v>27</v>
      </c>
      <c r="R667">
        <v>1000020223</v>
      </c>
      <c r="S667" t="s">
        <v>87</v>
      </c>
      <c r="T667" s="1">
        <v>46046</v>
      </c>
      <c r="U667">
        <v>189.4</v>
      </c>
      <c r="V667">
        <v>189.4</v>
      </c>
    </row>
    <row r="668" spans="1:22" x14ac:dyDescent="0.3">
      <c r="A668" t="s">
        <v>1593</v>
      </c>
      <c r="B668" t="s">
        <v>1594</v>
      </c>
      <c r="C668" t="s">
        <v>207</v>
      </c>
      <c r="D668" t="s">
        <v>5578</v>
      </c>
      <c r="E668" t="s">
        <v>15</v>
      </c>
      <c r="J668" s="1">
        <v>46080</v>
      </c>
      <c r="K668">
        <v>4</v>
      </c>
      <c r="L668" t="s">
        <v>5580</v>
      </c>
      <c r="M668">
        <v>22</v>
      </c>
      <c r="N668" t="str">
        <f>VLOOKUP(M668,[1]LOJA!$A:$B,2,0)</f>
        <v>GUARÁ</v>
      </c>
      <c r="O668">
        <v>16</v>
      </c>
      <c r="P668" t="str">
        <f>VLOOKUP(O668,[1]OPERADORES!$A:$B,2,0)</f>
        <v>AYSLAN</v>
      </c>
      <c r="Q668">
        <v>27</v>
      </c>
      <c r="R668">
        <v>1000019716</v>
      </c>
      <c r="S668" t="s">
        <v>46</v>
      </c>
      <c r="T668" s="1">
        <v>46020</v>
      </c>
      <c r="U668">
        <v>198.79</v>
      </c>
      <c r="V668">
        <v>198.79</v>
      </c>
    </row>
    <row r="669" spans="1:22" x14ac:dyDescent="0.3">
      <c r="A669" t="s">
        <v>1593</v>
      </c>
      <c r="B669" t="s">
        <v>1594</v>
      </c>
      <c r="C669" t="s">
        <v>207</v>
      </c>
      <c r="D669" t="s">
        <v>5578</v>
      </c>
      <c r="E669" t="s">
        <v>15</v>
      </c>
      <c r="J669" s="1">
        <v>46080</v>
      </c>
      <c r="K669">
        <v>4</v>
      </c>
      <c r="L669" t="s">
        <v>5201</v>
      </c>
      <c r="M669">
        <v>22</v>
      </c>
      <c r="N669" t="str">
        <f>VLOOKUP(M669,[1]LOJA!$A:$B,2,0)</f>
        <v>GUARÁ</v>
      </c>
      <c r="O669">
        <v>16</v>
      </c>
      <c r="P669" t="str">
        <f>VLOOKUP(O669,[1]OPERADORES!$A:$B,2,0)</f>
        <v>AYSLAN</v>
      </c>
      <c r="Q669">
        <v>27</v>
      </c>
      <c r="R669">
        <v>1000020274</v>
      </c>
      <c r="S669" t="s">
        <v>87</v>
      </c>
      <c r="T669" s="1">
        <v>46050</v>
      </c>
      <c r="U669">
        <v>102</v>
      </c>
      <c r="V669">
        <v>102</v>
      </c>
    </row>
    <row r="670" spans="1:22" x14ac:dyDescent="0.3">
      <c r="A670" t="s">
        <v>1596</v>
      </c>
      <c r="B670" t="s">
        <v>1597</v>
      </c>
      <c r="C670" t="s">
        <v>848</v>
      </c>
      <c r="D670" t="s">
        <v>5581</v>
      </c>
      <c r="E670" t="s">
        <v>15</v>
      </c>
      <c r="J670" s="1">
        <v>46073</v>
      </c>
      <c r="K670">
        <v>11</v>
      </c>
      <c r="L670" t="s">
        <v>117</v>
      </c>
      <c r="M670">
        <v>24</v>
      </c>
      <c r="N670" t="str">
        <f>VLOOKUP(M670,[1]LOJA!$A:$B,2,0)</f>
        <v>LUZIÂNIA</v>
      </c>
      <c r="O670">
        <v>170</v>
      </c>
      <c r="P670" t="str">
        <f>VLOOKUP(O670,[1]OPERADORES!$A:$B,2,0)</f>
        <v>MARIA LUISA</v>
      </c>
      <c r="Q670">
        <v>4</v>
      </c>
      <c r="S670" t="s">
        <v>5582</v>
      </c>
      <c r="T670" s="1">
        <v>46073</v>
      </c>
      <c r="U670">
        <v>-54.02</v>
      </c>
      <c r="V670">
        <v>-54.02</v>
      </c>
    </row>
    <row r="671" spans="1:22" x14ac:dyDescent="0.3">
      <c r="A671" t="s">
        <v>5583</v>
      </c>
      <c r="B671" t="s">
        <v>5584</v>
      </c>
      <c r="C671" t="s">
        <v>207</v>
      </c>
      <c r="D671" t="s">
        <v>5585</v>
      </c>
      <c r="E671" t="s">
        <v>15</v>
      </c>
      <c r="J671" s="1">
        <v>46084</v>
      </c>
      <c r="K671">
        <v>0</v>
      </c>
      <c r="L671" t="s">
        <v>5586</v>
      </c>
      <c r="M671">
        <v>4</v>
      </c>
      <c r="N671" t="str">
        <f>VLOOKUP(M671,[1]LOJA!$A:$B,2,0)</f>
        <v>ADE</v>
      </c>
      <c r="O671">
        <v>20</v>
      </c>
      <c r="P671" t="str">
        <f>VLOOKUP(O671,[1]OPERADORES!$A:$B,2,0)</f>
        <v>MAYARA</v>
      </c>
      <c r="Q671">
        <v>20</v>
      </c>
      <c r="R671">
        <v>1000019308</v>
      </c>
      <c r="S671" t="s">
        <v>5587</v>
      </c>
      <c r="T671" s="1">
        <v>45994</v>
      </c>
      <c r="U671">
        <v>426</v>
      </c>
      <c r="V671">
        <v>426</v>
      </c>
    </row>
    <row r="672" spans="1:22" x14ac:dyDescent="0.3">
      <c r="A672" t="s">
        <v>1598</v>
      </c>
      <c r="B672" t="s">
        <v>1599</v>
      </c>
      <c r="C672" t="s">
        <v>43</v>
      </c>
      <c r="D672" t="s">
        <v>1600</v>
      </c>
      <c r="E672" t="s">
        <v>15</v>
      </c>
      <c r="J672" s="1">
        <v>45567</v>
      </c>
      <c r="K672">
        <v>517</v>
      </c>
      <c r="L672" t="s">
        <v>1601</v>
      </c>
      <c r="M672">
        <v>9</v>
      </c>
      <c r="N672" t="str">
        <f>VLOOKUP(M672,[1]LOJA!$A:$B,2,0)</f>
        <v>ÚNICA</v>
      </c>
      <c r="O672">
        <v>231</v>
      </c>
      <c r="P672" t="str">
        <f>VLOOKUP(O672,[1]OPERADORES!$A:$B,2,0)</f>
        <v>EDIJANE</v>
      </c>
      <c r="Q672">
        <v>23</v>
      </c>
      <c r="R672">
        <v>110688</v>
      </c>
      <c r="S672" t="s">
        <v>1445</v>
      </c>
      <c r="T672" s="1">
        <v>45539</v>
      </c>
      <c r="U672">
        <v>900.52</v>
      </c>
      <c r="V672">
        <v>900.52</v>
      </c>
    </row>
    <row r="673" spans="1:22" x14ac:dyDescent="0.3">
      <c r="A673" t="s">
        <v>1598</v>
      </c>
      <c r="B673" t="s">
        <v>1599</v>
      </c>
      <c r="C673" t="s">
        <v>43</v>
      </c>
      <c r="D673" t="s">
        <v>1600</v>
      </c>
      <c r="E673" t="s">
        <v>15</v>
      </c>
      <c r="J673" s="1">
        <v>45581</v>
      </c>
      <c r="K673">
        <v>503</v>
      </c>
      <c r="L673" t="s">
        <v>1602</v>
      </c>
      <c r="M673">
        <v>9</v>
      </c>
      <c r="N673" t="str">
        <f>VLOOKUP(M673,[1]LOJA!$A:$B,2,0)</f>
        <v>ÚNICA</v>
      </c>
      <c r="O673">
        <v>231</v>
      </c>
      <c r="P673" t="str">
        <f>VLOOKUP(O673,[1]OPERADORES!$A:$B,2,0)</f>
        <v>EDIJANE</v>
      </c>
      <c r="Q673">
        <v>23</v>
      </c>
      <c r="R673">
        <v>110696</v>
      </c>
      <c r="S673" t="s">
        <v>46</v>
      </c>
      <c r="T673" s="1">
        <v>45539</v>
      </c>
      <c r="U673">
        <v>900.52</v>
      </c>
      <c r="V673">
        <v>900.52</v>
      </c>
    </row>
    <row r="674" spans="1:22" x14ac:dyDescent="0.3">
      <c r="A674" t="s">
        <v>1603</v>
      </c>
      <c r="B674" t="s">
        <v>1604</v>
      </c>
      <c r="C674" t="s">
        <v>43</v>
      </c>
      <c r="D674" t="s">
        <v>5588</v>
      </c>
      <c r="E674" t="s">
        <v>15</v>
      </c>
      <c r="J674" s="1">
        <v>46070</v>
      </c>
      <c r="K674">
        <v>14</v>
      </c>
      <c r="L674" t="s">
        <v>5589</v>
      </c>
      <c r="M674">
        <v>22</v>
      </c>
      <c r="N674" t="str">
        <f>VLOOKUP(M674,[1]LOJA!$A:$B,2,0)</f>
        <v>GUARÁ</v>
      </c>
      <c r="O674">
        <v>93</v>
      </c>
      <c r="P674" t="str">
        <f>VLOOKUP(O674,[1]OPERADORES!$A:$B,2,0)</f>
        <v>PATRICIA</v>
      </c>
      <c r="Q674">
        <v>7</v>
      </c>
      <c r="S674" t="s">
        <v>87</v>
      </c>
      <c r="T674" s="1">
        <v>46055</v>
      </c>
      <c r="U674">
        <v>67.87</v>
      </c>
      <c r="V674">
        <v>67.87</v>
      </c>
    </row>
    <row r="675" spans="1:22" x14ac:dyDescent="0.3">
      <c r="A675" t="s">
        <v>1603</v>
      </c>
      <c r="B675" t="s">
        <v>1604</v>
      </c>
      <c r="C675" t="s">
        <v>43</v>
      </c>
      <c r="D675" t="s">
        <v>5588</v>
      </c>
      <c r="E675" t="s">
        <v>15</v>
      </c>
      <c r="J675" s="1">
        <v>46070</v>
      </c>
      <c r="K675">
        <v>14</v>
      </c>
      <c r="L675" t="s">
        <v>5590</v>
      </c>
      <c r="M675">
        <v>22</v>
      </c>
      <c r="N675" t="str">
        <f>VLOOKUP(M675,[1]LOJA!$A:$B,2,0)</f>
        <v>GUARÁ</v>
      </c>
      <c r="O675">
        <v>16</v>
      </c>
      <c r="P675" t="str">
        <f>VLOOKUP(O675,[1]OPERADORES!$A:$B,2,0)</f>
        <v>AYSLAN</v>
      </c>
      <c r="Q675">
        <v>7</v>
      </c>
      <c r="S675" t="s">
        <v>87</v>
      </c>
      <c r="T675" s="1">
        <v>46055</v>
      </c>
      <c r="U675">
        <v>70</v>
      </c>
      <c r="V675">
        <v>70</v>
      </c>
    </row>
    <row r="676" spans="1:22" x14ac:dyDescent="0.3">
      <c r="A676" t="s">
        <v>1603</v>
      </c>
      <c r="B676" t="s">
        <v>1604</v>
      </c>
      <c r="C676" t="s">
        <v>43</v>
      </c>
      <c r="D676" t="s">
        <v>5588</v>
      </c>
      <c r="E676" t="s">
        <v>15</v>
      </c>
      <c r="J676" s="1">
        <v>46080</v>
      </c>
      <c r="K676">
        <v>4</v>
      </c>
      <c r="L676" t="s">
        <v>5591</v>
      </c>
      <c r="M676">
        <v>22</v>
      </c>
      <c r="N676" t="str">
        <f>VLOOKUP(M676,[1]LOJA!$A:$B,2,0)</f>
        <v>GUARÁ</v>
      </c>
      <c r="O676">
        <v>93</v>
      </c>
      <c r="P676" t="str">
        <f>VLOOKUP(O676,[1]OPERADORES!$A:$B,2,0)</f>
        <v>PATRICIA</v>
      </c>
      <c r="Q676">
        <v>7</v>
      </c>
      <c r="S676" t="s">
        <v>87</v>
      </c>
      <c r="T676" s="1">
        <v>46065</v>
      </c>
      <c r="U676">
        <v>72.88</v>
      </c>
      <c r="V676">
        <v>72.88</v>
      </c>
    </row>
    <row r="677" spans="1:22" x14ac:dyDescent="0.3">
      <c r="A677" t="s">
        <v>1603</v>
      </c>
      <c r="B677" t="s">
        <v>1604</v>
      </c>
      <c r="C677" t="s">
        <v>43</v>
      </c>
      <c r="D677" t="s">
        <v>5588</v>
      </c>
      <c r="E677" t="s">
        <v>15</v>
      </c>
      <c r="J677" s="1">
        <v>46080</v>
      </c>
      <c r="K677">
        <v>4</v>
      </c>
      <c r="L677" t="s">
        <v>5592</v>
      </c>
      <c r="M677">
        <v>22</v>
      </c>
      <c r="N677" t="str">
        <f>VLOOKUP(M677,[1]LOJA!$A:$B,2,0)</f>
        <v>GUARÁ</v>
      </c>
      <c r="O677">
        <v>93</v>
      </c>
      <c r="P677" t="str">
        <f>VLOOKUP(O677,[1]OPERADORES!$A:$B,2,0)</f>
        <v>PATRICIA</v>
      </c>
      <c r="Q677">
        <v>7</v>
      </c>
      <c r="S677" t="s">
        <v>87</v>
      </c>
      <c r="T677" s="1">
        <v>46065</v>
      </c>
      <c r="U677">
        <v>447</v>
      </c>
      <c r="V677">
        <v>447</v>
      </c>
    </row>
    <row r="678" spans="1:22" x14ac:dyDescent="0.3">
      <c r="A678" t="s">
        <v>1605</v>
      </c>
      <c r="B678" t="s">
        <v>1606</v>
      </c>
      <c r="C678" t="s">
        <v>43</v>
      </c>
      <c r="D678" t="s">
        <v>1607</v>
      </c>
      <c r="E678" t="s">
        <v>15</v>
      </c>
      <c r="J678" s="1">
        <v>44952</v>
      </c>
      <c r="K678">
        <v>1132</v>
      </c>
      <c r="L678" t="s">
        <v>1608</v>
      </c>
      <c r="M678">
        <v>8</v>
      </c>
      <c r="N678" t="str">
        <f>VLOOKUP(M678,[1]LOJA!$A:$B,2,0)</f>
        <v>LUZIÂNIA</v>
      </c>
      <c r="O678">
        <v>170</v>
      </c>
      <c r="P678" t="str">
        <f>VLOOKUP(O678,[1]OPERADORES!$A:$B,2,0)</f>
        <v>MARIA LUISA</v>
      </c>
      <c r="Q678">
        <v>4</v>
      </c>
      <c r="S678" t="s">
        <v>1609</v>
      </c>
      <c r="T678" s="1">
        <v>44952</v>
      </c>
      <c r="U678">
        <v>-0.02</v>
      </c>
      <c r="V678">
        <v>-0.02</v>
      </c>
    </row>
    <row r="679" spans="1:22" x14ac:dyDescent="0.3">
      <c r="A679" t="s">
        <v>1605</v>
      </c>
      <c r="B679" t="s">
        <v>1606</v>
      </c>
      <c r="C679" t="s">
        <v>43</v>
      </c>
      <c r="D679" t="s">
        <v>1607</v>
      </c>
      <c r="E679" t="s">
        <v>15</v>
      </c>
      <c r="J679" s="1">
        <v>45379</v>
      </c>
      <c r="K679">
        <v>705</v>
      </c>
      <c r="L679" t="s">
        <v>1610</v>
      </c>
      <c r="M679">
        <v>8</v>
      </c>
      <c r="N679" t="str">
        <f>VLOOKUP(M679,[1]LOJA!$A:$B,2,0)</f>
        <v>LUZIÂNIA</v>
      </c>
      <c r="O679">
        <v>170</v>
      </c>
      <c r="P679" t="str">
        <f>VLOOKUP(O679,[1]OPERADORES!$A:$B,2,0)</f>
        <v>MARIA LUISA</v>
      </c>
      <c r="Q679">
        <v>4</v>
      </c>
      <c r="S679" t="s">
        <v>110</v>
      </c>
      <c r="T679" s="1">
        <v>45379</v>
      </c>
      <c r="U679">
        <v>-0.3</v>
      </c>
      <c r="V679">
        <v>-0.3</v>
      </c>
    </row>
    <row r="680" spans="1:22" x14ac:dyDescent="0.3">
      <c r="A680" t="s">
        <v>1605</v>
      </c>
      <c r="B680" t="s">
        <v>1606</v>
      </c>
      <c r="C680" t="s">
        <v>43</v>
      </c>
      <c r="D680" t="s">
        <v>1607</v>
      </c>
      <c r="E680" t="s">
        <v>15</v>
      </c>
      <c r="J680" s="1">
        <v>45402</v>
      </c>
      <c r="K680">
        <v>682</v>
      </c>
      <c r="L680" t="s">
        <v>1611</v>
      </c>
      <c r="M680">
        <v>8</v>
      </c>
      <c r="N680" t="str">
        <f>VLOOKUP(M680,[1]LOJA!$A:$B,2,0)</f>
        <v>LUZIÂNIA</v>
      </c>
      <c r="O680">
        <v>20</v>
      </c>
      <c r="P680" t="str">
        <f>VLOOKUP(O680,[1]OPERADORES!$A:$B,2,0)</f>
        <v>MAYARA</v>
      </c>
      <c r="Q680">
        <v>12</v>
      </c>
      <c r="S680" t="s">
        <v>1612</v>
      </c>
      <c r="T680" s="1">
        <v>45386</v>
      </c>
      <c r="U680">
        <v>600</v>
      </c>
      <c r="V680">
        <v>600</v>
      </c>
    </row>
    <row r="681" spans="1:22" x14ac:dyDescent="0.3">
      <c r="A681" t="s">
        <v>1605</v>
      </c>
      <c r="B681" t="s">
        <v>1606</v>
      </c>
      <c r="C681" t="s">
        <v>43</v>
      </c>
      <c r="D681" t="s">
        <v>1607</v>
      </c>
      <c r="E681" t="s">
        <v>15</v>
      </c>
      <c r="J681" s="1">
        <v>45432</v>
      </c>
      <c r="K681">
        <v>652</v>
      </c>
      <c r="L681" t="s">
        <v>1613</v>
      </c>
      <c r="M681">
        <v>8</v>
      </c>
      <c r="N681" t="str">
        <f>VLOOKUP(M681,[1]LOJA!$A:$B,2,0)</f>
        <v>LUZIÂNIA</v>
      </c>
      <c r="O681">
        <v>20</v>
      </c>
      <c r="P681" t="str">
        <f>VLOOKUP(O681,[1]OPERADORES!$A:$B,2,0)</f>
        <v>MAYARA</v>
      </c>
      <c r="Q681">
        <v>12</v>
      </c>
      <c r="S681" t="s">
        <v>1614</v>
      </c>
      <c r="T681" s="1">
        <v>45418</v>
      </c>
      <c r="U681" s="2">
        <v>4247.3599999999997</v>
      </c>
      <c r="V681" s="2">
        <v>4247.3599999999997</v>
      </c>
    </row>
    <row r="682" spans="1:22" x14ac:dyDescent="0.3">
      <c r="A682" t="s">
        <v>1615</v>
      </c>
      <c r="B682" t="s">
        <v>1616</v>
      </c>
      <c r="C682" t="s">
        <v>13</v>
      </c>
      <c r="D682" t="s">
        <v>1617</v>
      </c>
      <c r="E682" t="s">
        <v>15</v>
      </c>
      <c r="J682" s="1">
        <v>44974</v>
      </c>
      <c r="K682">
        <v>1110</v>
      </c>
      <c r="L682" t="s">
        <v>1618</v>
      </c>
      <c r="M682">
        <v>14</v>
      </c>
      <c r="N682" t="str">
        <f>VLOOKUP(M682,[1]LOJA!$A:$B,2,0)</f>
        <v>S IA</v>
      </c>
      <c r="O682">
        <v>16</v>
      </c>
      <c r="P682" t="str">
        <f>VLOOKUP(O682,[1]OPERADORES!$A:$B,2,0)</f>
        <v>AYSLAN</v>
      </c>
      <c r="Q682">
        <v>4</v>
      </c>
      <c r="S682" t="s">
        <v>1619</v>
      </c>
      <c r="T682" s="1">
        <v>44972</v>
      </c>
      <c r="U682">
        <v>-5.31</v>
      </c>
      <c r="V682">
        <v>-5.31</v>
      </c>
    </row>
    <row r="683" spans="1:22" x14ac:dyDescent="0.3">
      <c r="A683" t="s">
        <v>1620</v>
      </c>
      <c r="B683" t="s">
        <v>32</v>
      </c>
      <c r="C683" t="s">
        <v>13</v>
      </c>
      <c r="D683" t="s">
        <v>1621</v>
      </c>
      <c r="E683" t="s">
        <v>15</v>
      </c>
      <c r="J683" s="1">
        <v>45170</v>
      </c>
      <c r="K683">
        <v>914</v>
      </c>
      <c r="L683" t="s">
        <v>1622</v>
      </c>
      <c r="M683">
        <v>16</v>
      </c>
      <c r="N683" t="str">
        <f>VLOOKUP(M683,[1]LOJA!$A:$B,2,0)</f>
        <v>AG LINDAS</v>
      </c>
      <c r="O683">
        <v>107</v>
      </c>
      <c r="P683" t="str">
        <f>VLOOKUP(O683,[1]OPERADORES!$A:$B,2,0)</f>
        <v>DAIANA PORTELA</v>
      </c>
      <c r="Q683">
        <v>7</v>
      </c>
      <c r="S683" t="s">
        <v>1623</v>
      </c>
      <c r="T683" s="1">
        <v>45169</v>
      </c>
      <c r="U683">
        <v>470</v>
      </c>
      <c r="V683">
        <v>470</v>
      </c>
    </row>
    <row r="684" spans="1:22" x14ac:dyDescent="0.3">
      <c r="A684" t="s">
        <v>1624</v>
      </c>
      <c r="B684" t="s">
        <v>1625</v>
      </c>
      <c r="C684" t="s">
        <v>13</v>
      </c>
      <c r="D684" t="s">
        <v>1626</v>
      </c>
      <c r="E684" t="s">
        <v>15</v>
      </c>
      <c r="J684" s="1">
        <v>45983</v>
      </c>
      <c r="K684">
        <v>101</v>
      </c>
      <c r="L684" t="s">
        <v>1627</v>
      </c>
      <c r="M684">
        <v>16</v>
      </c>
      <c r="N684" t="str">
        <f>VLOOKUP(M684,[1]LOJA!$A:$B,2,0)</f>
        <v>AG LINDAS</v>
      </c>
      <c r="O684">
        <v>107</v>
      </c>
      <c r="P684" t="str">
        <f>VLOOKUP(O684,[1]OPERADORES!$A:$B,2,0)</f>
        <v>DAIANA PORTELA</v>
      </c>
      <c r="Q684">
        <v>7</v>
      </c>
      <c r="S684" t="s">
        <v>1628</v>
      </c>
      <c r="T684" s="1">
        <v>45982</v>
      </c>
      <c r="U684">
        <v>-3</v>
      </c>
      <c r="V684">
        <v>-3</v>
      </c>
    </row>
    <row r="685" spans="1:22" x14ac:dyDescent="0.3">
      <c r="A685" t="s">
        <v>1629</v>
      </c>
      <c r="B685" t="s">
        <v>32</v>
      </c>
      <c r="C685" t="s">
        <v>226</v>
      </c>
      <c r="D685" t="s">
        <v>5593</v>
      </c>
      <c r="E685" t="s">
        <v>15</v>
      </c>
      <c r="J685" s="1">
        <v>46067</v>
      </c>
      <c r="K685">
        <v>17</v>
      </c>
      <c r="L685" t="s">
        <v>5594</v>
      </c>
      <c r="M685">
        <v>9</v>
      </c>
      <c r="N685" t="str">
        <f>VLOOKUP(M685,[1]LOJA!$A:$B,2,0)</f>
        <v>ÚNICA</v>
      </c>
      <c r="O685">
        <v>236</v>
      </c>
      <c r="P685" t="str">
        <f>VLOOKUP(O685,[1]OPERADORES!$A:$B,2,0)</f>
        <v>DANIEL</v>
      </c>
      <c r="Q685">
        <v>23</v>
      </c>
      <c r="R685">
        <v>208862</v>
      </c>
      <c r="S685" t="s">
        <v>53</v>
      </c>
      <c r="T685" s="1">
        <v>46007</v>
      </c>
      <c r="U685">
        <v>407.63</v>
      </c>
      <c r="V685">
        <v>407.63</v>
      </c>
    </row>
    <row r="686" spans="1:22" x14ac:dyDescent="0.3">
      <c r="A686" t="s">
        <v>1629</v>
      </c>
      <c r="B686" t="s">
        <v>32</v>
      </c>
      <c r="C686" t="s">
        <v>226</v>
      </c>
      <c r="D686" t="s">
        <v>5593</v>
      </c>
      <c r="E686" t="s">
        <v>15</v>
      </c>
      <c r="J686" s="1">
        <v>46068</v>
      </c>
      <c r="K686">
        <v>16</v>
      </c>
      <c r="L686" t="s">
        <v>5595</v>
      </c>
      <c r="M686">
        <v>9</v>
      </c>
      <c r="N686" t="str">
        <f>VLOOKUP(M686,[1]LOJA!$A:$B,2,0)</f>
        <v>ÚNICA</v>
      </c>
      <c r="O686">
        <v>197</v>
      </c>
      <c r="P686" t="str">
        <f>VLOOKUP(O686,[1]OPERADORES!$A:$B,2,0)</f>
        <v xml:space="preserve">POLIANA LORRANE DE AMORIM </v>
      </c>
      <c r="Q686">
        <v>23</v>
      </c>
      <c r="R686">
        <v>213961</v>
      </c>
      <c r="S686" t="s">
        <v>51</v>
      </c>
      <c r="T686" s="1">
        <v>46038</v>
      </c>
      <c r="U686" s="2">
        <v>1122.83</v>
      </c>
      <c r="V686" s="2">
        <v>1122.83</v>
      </c>
    </row>
    <row r="687" spans="1:22" x14ac:dyDescent="0.3">
      <c r="A687" t="s">
        <v>1629</v>
      </c>
      <c r="B687" t="s">
        <v>32</v>
      </c>
      <c r="C687" t="s">
        <v>226</v>
      </c>
      <c r="D687" t="s">
        <v>5593</v>
      </c>
      <c r="E687" t="s">
        <v>15</v>
      </c>
      <c r="J687" s="1">
        <v>46077</v>
      </c>
      <c r="K687">
        <v>7</v>
      </c>
      <c r="L687" t="s">
        <v>5596</v>
      </c>
      <c r="M687">
        <v>9</v>
      </c>
      <c r="N687" t="str">
        <f>VLOOKUP(M687,[1]LOJA!$A:$B,2,0)</f>
        <v>ÚNICA</v>
      </c>
      <c r="O687">
        <v>197</v>
      </c>
      <c r="P687" t="str">
        <f>VLOOKUP(O687,[1]OPERADORES!$A:$B,2,0)</f>
        <v xml:space="preserve">POLIANA LORRANE DE AMORIM </v>
      </c>
      <c r="Q687">
        <v>23</v>
      </c>
      <c r="R687">
        <v>204788</v>
      </c>
      <c r="S687" t="s">
        <v>55</v>
      </c>
      <c r="T687" s="1">
        <v>45987</v>
      </c>
      <c r="U687">
        <v>707.41</v>
      </c>
      <c r="V687">
        <v>707.41</v>
      </c>
    </row>
    <row r="688" spans="1:22" x14ac:dyDescent="0.3">
      <c r="A688" t="s">
        <v>1629</v>
      </c>
      <c r="B688" t="s">
        <v>32</v>
      </c>
      <c r="C688" t="s">
        <v>226</v>
      </c>
      <c r="D688" t="s">
        <v>5593</v>
      </c>
      <c r="E688" t="s">
        <v>15</v>
      </c>
      <c r="J688" s="1">
        <v>46083</v>
      </c>
      <c r="K688">
        <v>1</v>
      </c>
      <c r="L688" t="s">
        <v>5597</v>
      </c>
      <c r="M688">
        <v>9</v>
      </c>
      <c r="N688" t="str">
        <f>VLOOKUP(M688,[1]LOJA!$A:$B,2,0)</f>
        <v>ÚNICA</v>
      </c>
      <c r="O688">
        <v>236</v>
      </c>
      <c r="P688" t="str">
        <f>VLOOKUP(O688,[1]OPERADORES!$A:$B,2,0)</f>
        <v>DANIEL</v>
      </c>
      <c r="Q688">
        <v>23</v>
      </c>
      <c r="R688">
        <v>205975</v>
      </c>
      <c r="S688" t="s">
        <v>55</v>
      </c>
      <c r="T688" s="1">
        <v>45993</v>
      </c>
      <c r="U688">
        <v>551.69000000000005</v>
      </c>
      <c r="V688">
        <v>551.69000000000005</v>
      </c>
    </row>
    <row r="689" spans="1:22" x14ac:dyDescent="0.3">
      <c r="A689" t="s">
        <v>1630</v>
      </c>
      <c r="B689" t="s">
        <v>1631</v>
      </c>
      <c r="C689" t="s">
        <v>13</v>
      </c>
      <c r="D689" t="s">
        <v>1632</v>
      </c>
      <c r="E689" t="s">
        <v>15</v>
      </c>
      <c r="J689" s="1">
        <v>44495</v>
      </c>
      <c r="K689">
        <v>1589</v>
      </c>
      <c r="L689" t="s">
        <v>1633</v>
      </c>
      <c r="M689">
        <v>14</v>
      </c>
      <c r="N689" t="str">
        <f>VLOOKUP(M689,[1]LOJA!$A:$B,2,0)</f>
        <v>S IA</v>
      </c>
      <c r="O689">
        <v>144</v>
      </c>
      <c r="P689" t="str">
        <f>VLOOKUP(O689,[1]OPERADORES!$A:$B,2,0)</f>
        <v>CINTIA DA SILVA CARLOS</v>
      </c>
      <c r="Q689">
        <v>4</v>
      </c>
      <c r="S689" t="s">
        <v>1634</v>
      </c>
      <c r="T689" s="1">
        <v>44495</v>
      </c>
      <c r="U689">
        <v>-29.3</v>
      </c>
      <c r="V689">
        <v>-29.3</v>
      </c>
    </row>
    <row r="690" spans="1:22" x14ac:dyDescent="0.3">
      <c r="A690" t="s">
        <v>1630</v>
      </c>
      <c r="B690" t="s">
        <v>1631</v>
      </c>
      <c r="C690" t="s">
        <v>13</v>
      </c>
      <c r="D690" t="s">
        <v>1632</v>
      </c>
      <c r="E690" t="s">
        <v>15</v>
      </c>
      <c r="J690" s="1">
        <v>44515</v>
      </c>
      <c r="K690">
        <v>1569</v>
      </c>
      <c r="L690" t="s">
        <v>1635</v>
      </c>
      <c r="M690">
        <v>14</v>
      </c>
      <c r="N690" t="str">
        <f>VLOOKUP(M690,[1]LOJA!$A:$B,2,0)</f>
        <v>S IA</v>
      </c>
      <c r="O690">
        <v>20</v>
      </c>
      <c r="P690" t="str">
        <f>VLOOKUP(O690,[1]OPERADORES!$A:$B,2,0)</f>
        <v>MAYARA</v>
      </c>
      <c r="Q690">
        <v>12</v>
      </c>
      <c r="S690" t="s">
        <v>1636</v>
      </c>
      <c r="T690" s="1">
        <v>44503</v>
      </c>
      <c r="U690">
        <v>952.54</v>
      </c>
      <c r="V690">
        <v>952.54</v>
      </c>
    </row>
    <row r="691" spans="1:22" x14ac:dyDescent="0.3">
      <c r="A691" t="s">
        <v>1630</v>
      </c>
      <c r="B691" t="s">
        <v>1631</v>
      </c>
      <c r="C691" t="s">
        <v>13</v>
      </c>
      <c r="D691" t="s">
        <v>1632</v>
      </c>
      <c r="E691" t="s">
        <v>15</v>
      </c>
      <c r="J691" s="1">
        <v>44545</v>
      </c>
      <c r="K691">
        <v>1539</v>
      </c>
      <c r="L691" t="s">
        <v>1637</v>
      </c>
      <c r="M691">
        <v>14</v>
      </c>
      <c r="N691" t="str">
        <f>VLOOKUP(M691,[1]LOJA!$A:$B,2,0)</f>
        <v>S IA</v>
      </c>
      <c r="O691">
        <v>20</v>
      </c>
      <c r="P691" t="str">
        <f>VLOOKUP(O691,[1]OPERADORES!$A:$B,2,0)</f>
        <v>MAYARA</v>
      </c>
      <c r="Q691">
        <v>12</v>
      </c>
      <c r="S691" t="s">
        <v>1638</v>
      </c>
      <c r="T691" s="1">
        <v>44533</v>
      </c>
      <c r="U691" s="2">
        <v>1671.99</v>
      </c>
      <c r="V691" s="2">
        <v>1671.99</v>
      </c>
    </row>
    <row r="692" spans="1:22" x14ac:dyDescent="0.3">
      <c r="A692" t="s">
        <v>5598</v>
      </c>
      <c r="B692" t="s">
        <v>5599</v>
      </c>
      <c r="C692" t="s">
        <v>13</v>
      </c>
      <c r="D692" t="s">
        <v>5600</v>
      </c>
      <c r="E692" t="s">
        <v>15</v>
      </c>
      <c r="J692" s="1">
        <v>46084</v>
      </c>
      <c r="K692">
        <v>0</v>
      </c>
      <c r="L692" t="s">
        <v>5601</v>
      </c>
      <c r="M692">
        <v>9</v>
      </c>
      <c r="N692" t="str">
        <f>VLOOKUP(M692,[1]LOJA!$A:$B,2,0)</f>
        <v>ÚNICA</v>
      </c>
      <c r="O692">
        <v>174</v>
      </c>
      <c r="P692" t="str">
        <f>VLOOKUP(O692,[1]OPERADORES!$A:$B,2,0)</f>
        <v>MIRIÃ LOBATO RODRIGUES</v>
      </c>
      <c r="Q692">
        <v>7</v>
      </c>
      <c r="S692" t="s">
        <v>87</v>
      </c>
      <c r="T692" s="1">
        <v>46083</v>
      </c>
      <c r="U692">
        <v>385.85</v>
      </c>
      <c r="V692">
        <v>385.85</v>
      </c>
    </row>
    <row r="693" spans="1:22" x14ac:dyDescent="0.3">
      <c r="A693" t="s">
        <v>1639</v>
      </c>
      <c r="B693" t="s">
        <v>32</v>
      </c>
      <c r="C693" t="s">
        <v>13</v>
      </c>
      <c r="D693" t="s">
        <v>1640</v>
      </c>
      <c r="E693" t="s">
        <v>15</v>
      </c>
      <c r="J693" s="1">
        <v>45534</v>
      </c>
      <c r="K693">
        <v>550</v>
      </c>
      <c r="L693" t="s">
        <v>1641</v>
      </c>
      <c r="M693">
        <v>12</v>
      </c>
      <c r="N693" t="str">
        <f>VLOOKUP(M693,[1]LOJA!$A:$B,2,0)</f>
        <v>SOFNORTE</v>
      </c>
      <c r="O693">
        <v>60</v>
      </c>
      <c r="P693" t="str">
        <f>VLOOKUP(O693,[1]OPERADORES!$A:$B,2,0)</f>
        <v>ALEXANDRA</v>
      </c>
      <c r="Q693">
        <v>7</v>
      </c>
      <c r="S693" t="s">
        <v>1642</v>
      </c>
      <c r="T693" s="1">
        <v>45519</v>
      </c>
      <c r="U693">
        <v>1</v>
      </c>
      <c r="V693">
        <v>1</v>
      </c>
    </row>
    <row r="694" spans="1:22" x14ac:dyDescent="0.3">
      <c r="A694" t="s">
        <v>1639</v>
      </c>
      <c r="B694" t="s">
        <v>32</v>
      </c>
      <c r="C694" t="s">
        <v>13</v>
      </c>
      <c r="D694" t="s">
        <v>1640</v>
      </c>
      <c r="E694" t="s">
        <v>15</v>
      </c>
      <c r="J694" s="1">
        <v>45534</v>
      </c>
      <c r="K694">
        <v>550</v>
      </c>
      <c r="L694" t="s">
        <v>1643</v>
      </c>
      <c r="M694">
        <v>12</v>
      </c>
      <c r="N694" t="str">
        <f>VLOOKUP(M694,[1]LOJA!$A:$B,2,0)</f>
        <v>SOFNORTE</v>
      </c>
      <c r="O694">
        <v>44</v>
      </c>
      <c r="P694" t="str">
        <f>VLOOKUP(O694,[1]OPERADORES!$A:$B,2,0)</f>
        <v>LUIS JUNIO</v>
      </c>
      <c r="Q694">
        <v>7</v>
      </c>
      <c r="S694" t="s">
        <v>87</v>
      </c>
      <c r="T694" s="1">
        <v>45520</v>
      </c>
      <c r="U694">
        <v>260</v>
      </c>
      <c r="V694">
        <v>260</v>
      </c>
    </row>
    <row r="695" spans="1:22" x14ac:dyDescent="0.3">
      <c r="A695" t="s">
        <v>1639</v>
      </c>
      <c r="B695" t="s">
        <v>32</v>
      </c>
      <c r="C695" t="s">
        <v>13</v>
      </c>
      <c r="D695" t="s">
        <v>1640</v>
      </c>
      <c r="E695" t="s">
        <v>15</v>
      </c>
      <c r="J695" s="1">
        <v>45534</v>
      </c>
      <c r="K695">
        <v>550</v>
      </c>
      <c r="L695" t="s">
        <v>1644</v>
      </c>
      <c r="M695">
        <v>12</v>
      </c>
      <c r="N695" t="str">
        <f>VLOOKUP(M695,[1]LOJA!$A:$B,2,0)</f>
        <v>SOFNORTE</v>
      </c>
      <c r="O695">
        <v>44</v>
      </c>
      <c r="P695" t="str">
        <f>VLOOKUP(O695,[1]OPERADORES!$A:$B,2,0)</f>
        <v>LUIS JUNIO</v>
      </c>
      <c r="Q695">
        <v>7</v>
      </c>
      <c r="S695" t="s">
        <v>87</v>
      </c>
      <c r="T695" s="1">
        <v>45520</v>
      </c>
      <c r="U695">
        <v>11</v>
      </c>
      <c r="V695">
        <v>11</v>
      </c>
    </row>
    <row r="696" spans="1:22" x14ac:dyDescent="0.3">
      <c r="A696" t="s">
        <v>1645</v>
      </c>
      <c r="B696" t="s">
        <v>1646</v>
      </c>
      <c r="C696" t="s">
        <v>13</v>
      </c>
      <c r="D696" t="s">
        <v>1647</v>
      </c>
      <c r="E696" t="s">
        <v>15</v>
      </c>
      <c r="J696" s="1">
        <v>44966</v>
      </c>
      <c r="K696">
        <v>1118</v>
      </c>
      <c r="L696" t="s">
        <v>1648</v>
      </c>
      <c r="M696">
        <v>6</v>
      </c>
      <c r="N696" t="str">
        <f>VLOOKUP(M696,[1]LOJA!$A:$B,2,0)</f>
        <v>GAMA</v>
      </c>
      <c r="O696">
        <v>46</v>
      </c>
      <c r="P696" t="str">
        <f>VLOOKUP(O696,[1]OPERADORES!$A:$B,2,0)</f>
        <v xml:space="preserve">CLAUDMIRO </v>
      </c>
      <c r="Q696">
        <v>7</v>
      </c>
      <c r="S696" t="s">
        <v>1649</v>
      </c>
      <c r="T696" s="1">
        <v>44965</v>
      </c>
      <c r="U696">
        <v>80</v>
      </c>
      <c r="V696">
        <v>80</v>
      </c>
    </row>
    <row r="697" spans="1:22" x14ac:dyDescent="0.3">
      <c r="A697" t="s">
        <v>1650</v>
      </c>
      <c r="B697" t="s">
        <v>1651</v>
      </c>
      <c r="C697" t="s">
        <v>13</v>
      </c>
      <c r="D697" t="s">
        <v>1652</v>
      </c>
      <c r="E697" t="s">
        <v>15</v>
      </c>
      <c r="J697" s="1">
        <v>44755</v>
      </c>
      <c r="K697">
        <v>1329</v>
      </c>
      <c r="L697" t="s">
        <v>1653</v>
      </c>
      <c r="M697">
        <v>14</v>
      </c>
      <c r="N697" t="str">
        <f>VLOOKUP(M697,[1]LOJA!$A:$B,2,0)</f>
        <v>S IA</v>
      </c>
      <c r="O697">
        <v>16</v>
      </c>
      <c r="P697" t="str">
        <f>VLOOKUP(O697,[1]OPERADORES!$A:$B,2,0)</f>
        <v>AYSLAN</v>
      </c>
      <c r="Q697">
        <v>4</v>
      </c>
      <c r="S697" t="s">
        <v>1654</v>
      </c>
      <c r="T697" s="1">
        <v>44755</v>
      </c>
      <c r="U697">
        <v>-36.47</v>
      </c>
      <c r="V697">
        <v>-36.47</v>
      </c>
    </row>
    <row r="698" spans="1:22" x14ac:dyDescent="0.3">
      <c r="A698" t="s">
        <v>1655</v>
      </c>
      <c r="B698" t="s">
        <v>1656</v>
      </c>
      <c r="C698" t="s">
        <v>13</v>
      </c>
      <c r="D698" t="s">
        <v>1657</v>
      </c>
      <c r="E698" t="s">
        <v>15</v>
      </c>
      <c r="J698" s="1">
        <v>44905</v>
      </c>
      <c r="K698">
        <v>1179</v>
      </c>
      <c r="L698" t="s">
        <v>1658</v>
      </c>
      <c r="M698">
        <v>4</v>
      </c>
      <c r="N698" t="str">
        <f>VLOOKUP(M698,[1]LOJA!$A:$B,2,0)</f>
        <v>ADE</v>
      </c>
      <c r="O698">
        <v>84</v>
      </c>
      <c r="P698" t="str">
        <f>VLOOKUP(O698,[1]OPERADORES!$A:$B,2,0)</f>
        <v>JEICY AZEVEDO</v>
      </c>
      <c r="Q698">
        <v>20</v>
      </c>
      <c r="R698">
        <v>1000006660</v>
      </c>
      <c r="S698" t="s">
        <v>1659</v>
      </c>
      <c r="T698" s="1">
        <v>44783</v>
      </c>
      <c r="U698">
        <v>830.44</v>
      </c>
      <c r="V698">
        <v>830.44</v>
      </c>
    </row>
    <row r="699" spans="1:22" x14ac:dyDescent="0.3">
      <c r="A699" t="s">
        <v>1655</v>
      </c>
      <c r="B699" t="s">
        <v>1656</v>
      </c>
      <c r="C699" t="s">
        <v>13</v>
      </c>
      <c r="D699" t="s">
        <v>1657</v>
      </c>
      <c r="E699" t="s">
        <v>15</v>
      </c>
      <c r="J699" s="1">
        <v>44936</v>
      </c>
      <c r="K699">
        <v>1148</v>
      </c>
      <c r="L699" t="s">
        <v>1660</v>
      </c>
      <c r="M699">
        <v>4</v>
      </c>
      <c r="N699" t="str">
        <f>VLOOKUP(M699,[1]LOJA!$A:$B,2,0)</f>
        <v>ADE</v>
      </c>
      <c r="O699">
        <v>84</v>
      </c>
      <c r="P699" t="str">
        <f>VLOOKUP(O699,[1]OPERADORES!$A:$B,2,0)</f>
        <v>JEICY AZEVEDO</v>
      </c>
      <c r="Q699">
        <v>20</v>
      </c>
      <c r="R699">
        <v>1000006661</v>
      </c>
      <c r="S699" t="s">
        <v>1661</v>
      </c>
      <c r="T699" s="1">
        <v>44783</v>
      </c>
      <c r="U699">
        <v>830.44</v>
      </c>
      <c r="V699">
        <v>830.44</v>
      </c>
    </row>
    <row r="700" spans="1:22" x14ac:dyDescent="0.3">
      <c r="A700" t="s">
        <v>1655</v>
      </c>
      <c r="B700" t="s">
        <v>1656</v>
      </c>
      <c r="C700" t="s">
        <v>13</v>
      </c>
      <c r="D700" t="s">
        <v>1657</v>
      </c>
      <c r="E700" t="s">
        <v>15</v>
      </c>
      <c r="J700" s="1">
        <v>44967</v>
      </c>
      <c r="K700">
        <v>1117</v>
      </c>
      <c r="L700" t="s">
        <v>1662</v>
      </c>
      <c r="M700">
        <v>4</v>
      </c>
      <c r="N700" t="str">
        <f>VLOOKUP(M700,[1]LOJA!$A:$B,2,0)</f>
        <v>ADE</v>
      </c>
      <c r="O700">
        <v>84</v>
      </c>
      <c r="P700" t="str">
        <f>VLOOKUP(O700,[1]OPERADORES!$A:$B,2,0)</f>
        <v>JEICY AZEVEDO</v>
      </c>
      <c r="Q700">
        <v>20</v>
      </c>
      <c r="R700">
        <v>1000006662</v>
      </c>
      <c r="S700" t="s">
        <v>1663</v>
      </c>
      <c r="T700" s="1">
        <v>44783</v>
      </c>
      <c r="U700">
        <v>830.44</v>
      </c>
      <c r="V700">
        <v>830.44</v>
      </c>
    </row>
    <row r="701" spans="1:22" x14ac:dyDescent="0.3">
      <c r="A701" t="s">
        <v>1655</v>
      </c>
      <c r="B701" t="s">
        <v>1656</v>
      </c>
      <c r="C701" t="s">
        <v>13</v>
      </c>
      <c r="D701" t="s">
        <v>1657</v>
      </c>
      <c r="E701" t="s">
        <v>15</v>
      </c>
      <c r="J701" s="1">
        <v>44995</v>
      </c>
      <c r="K701">
        <v>1089</v>
      </c>
      <c r="L701" t="s">
        <v>1664</v>
      </c>
      <c r="M701">
        <v>4</v>
      </c>
      <c r="N701" t="str">
        <f>VLOOKUP(M701,[1]LOJA!$A:$B,2,0)</f>
        <v>ADE</v>
      </c>
      <c r="O701">
        <v>84</v>
      </c>
      <c r="P701" t="str">
        <f>VLOOKUP(O701,[1]OPERADORES!$A:$B,2,0)</f>
        <v>JEICY AZEVEDO</v>
      </c>
      <c r="Q701">
        <v>20</v>
      </c>
      <c r="R701">
        <v>1000006663</v>
      </c>
      <c r="S701" t="s">
        <v>1665</v>
      </c>
      <c r="T701" s="1">
        <v>44783</v>
      </c>
      <c r="U701">
        <v>830.44</v>
      </c>
      <c r="V701">
        <v>830.44</v>
      </c>
    </row>
    <row r="702" spans="1:22" x14ac:dyDescent="0.3">
      <c r="A702" t="s">
        <v>1655</v>
      </c>
      <c r="B702" t="s">
        <v>1656</v>
      </c>
      <c r="C702" t="s">
        <v>13</v>
      </c>
      <c r="D702" t="s">
        <v>1657</v>
      </c>
      <c r="E702" t="s">
        <v>15</v>
      </c>
      <c r="J702" s="1">
        <v>45026</v>
      </c>
      <c r="K702">
        <v>1058</v>
      </c>
      <c r="L702" t="s">
        <v>1666</v>
      </c>
      <c r="M702">
        <v>4</v>
      </c>
      <c r="N702" t="str">
        <f>VLOOKUP(M702,[1]LOJA!$A:$B,2,0)</f>
        <v>ADE</v>
      </c>
      <c r="O702">
        <v>84</v>
      </c>
      <c r="P702" t="str">
        <f>VLOOKUP(O702,[1]OPERADORES!$A:$B,2,0)</f>
        <v>JEICY AZEVEDO</v>
      </c>
      <c r="Q702">
        <v>20</v>
      </c>
      <c r="R702">
        <v>1000006664</v>
      </c>
      <c r="S702" t="s">
        <v>1667</v>
      </c>
      <c r="T702" s="1">
        <v>44783</v>
      </c>
      <c r="U702">
        <v>830.44</v>
      </c>
      <c r="V702">
        <v>830.44</v>
      </c>
    </row>
    <row r="703" spans="1:22" x14ac:dyDescent="0.3">
      <c r="A703" t="s">
        <v>1655</v>
      </c>
      <c r="B703" t="s">
        <v>1656</v>
      </c>
      <c r="C703" t="s">
        <v>13</v>
      </c>
      <c r="D703" t="s">
        <v>1657</v>
      </c>
      <c r="E703" t="s">
        <v>15</v>
      </c>
      <c r="J703" s="1">
        <v>45056</v>
      </c>
      <c r="K703">
        <v>1028</v>
      </c>
      <c r="L703" t="s">
        <v>1668</v>
      </c>
      <c r="M703">
        <v>4</v>
      </c>
      <c r="N703" t="str">
        <f>VLOOKUP(M703,[1]LOJA!$A:$B,2,0)</f>
        <v>ADE</v>
      </c>
      <c r="O703">
        <v>84</v>
      </c>
      <c r="P703" t="str">
        <f>VLOOKUP(O703,[1]OPERADORES!$A:$B,2,0)</f>
        <v>JEICY AZEVEDO</v>
      </c>
      <c r="Q703">
        <v>20</v>
      </c>
      <c r="R703">
        <v>1000006665</v>
      </c>
      <c r="S703" t="s">
        <v>1669</v>
      </c>
      <c r="T703" s="1">
        <v>44783</v>
      </c>
      <c r="U703">
        <v>830.44</v>
      </c>
      <c r="V703">
        <v>830.44</v>
      </c>
    </row>
    <row r="704" spans="1:22" x14ac:dyDescent="0.3">
      <c r="A704" t="s">
        <v>1655</v>
      </c>
      <c r="B704" t="s">
        <v>1656</v>
      </c>
      <c r="C704" t="s">
        <v>13</v>
      </c>
      <c r="D704" t="s">
        <v>1657</v>
      </c>
      <c r="E704" t="s">
        <v>15</v>
      </c>
      <c r="J704" s="1">
        <v>45087</v>
      </c>
      <c r="K704">
        <v>997</v>
      </c>
      <c r="L704" t="s">
        <v>1670</v>
      </c>
      <c r="M704">
        <v>4</v>
      </c>
      <c r="N704" t="str">
        <f>VLOOKUP(M704,[1]LOJA!$A:$B,2,0)</f>
        <v>ADE</v>
      </c>
      <c r="O704">
        <v>84</v>
      </c>
      <c r="P704" t="str">
        <f>VLOOKUP(O704,[1]OPERADORES!$A:$B,2,0)</f>
        <v>JEICY AZEVEDO</v>
      </c>
      <c r="Q704">
        <v>20</v>
      </c>
      <c r="R704">
        <v>1000006666</v>
      </c>
      <c r="S704" t="s">
        <v>1671</v>
      </c>
      <c r="T704" s="1">
        <v>44783</v>
      </c>
      <c r="U704">
        <v>830.44</v>
      </c>
      <c r="V704">
        <v>830.44</v>
      </c>
    </row>
    <row r="705" spans="1:22" x14ac:dyDescent="0.3">
      <c r="A705" t="s">
        <v>1655</v>
      </c>
      <c r="B705" t="s">
        <v>1656</v>
      </c>
      <c r="C705" t="s">
        <v>13</v>
      </c>
      <c r="D705" t="s">
        <v>1657</v>
      </c>
      <c r="E705" t="s">
        <v>15</v>
      </c>
      <c r="J705" s="1">
        <v>45117</v>
      </c>
      <c r="K705">
        <v>967</v>
      </c>
      <c r="L705" t="s">
        <v>1672</v>
      </c>
      <c r="M705">
        <v>4</v>
      </c>
      <c r="N705" t="str">
        <f>VLOOKUP(M705,[1]LOJA!$A:$B,2,0)</f>
        <v>ADE</v>
      </c>
      <c r="O705">
        <v>84</v>
      </c>
      <c r="P705" t="str">
        <f>VLOOKUP(O705,[1]OPERADORES!$A:$B,2,0)</f>
        <v>JEICY AZEVEDO</v>
      </c>
      <c r="Q705">
        <v>20</v>
      </c>
      <c r="R705">
        <v>1000006667</v>
      </c>
      <c r="S705" t="s">
        <v>1673</v>
      </c>
      <c r="T705" s="1">
        <v>44783</v>
      </c>
      <c r="U705">
        <v>830.44</v>
      </c>
      <c r="V705">
        <v>830.44</v>
      </c>
    </row>
    <row r="706" spans="1:22" x14ac:dyDescent="0.3">
      <c r="A706" t="s">
        <v>1674</v>
      </c>
      <c r="B706" t="s">
        <v>1675</v>
      </c>
      <c r="C706" t="s">
        <v>13</v>
      </c>
      <c r="D706" t="s">
        <v>1676</v>
      </c>
      <c r="E706" t="s">
        <v>15</v>
      </c>
      <c r="J706" s="1">
        <v>46064</v>
      </c>
      <c r="K706">
        <v>20</v>
      </c>
      <c r="L706" t="s">
        <v>1677</v>
      </c>
      <c r="M706">
        <v>14</v>
      </c>
      <c r="N706" t="str">
        <f>VLOOKUP(M706,[1]LOJA!$A:$B,2,0)</f>
        <v>S IA</v>
      </c>
      <c r="O706">
        <v>54</v>
      </c>
      <c r="P706" t="str">
        <f>VLOOKUP(O706,[1]OPERADORES!$A:$B,2,0)</f>
        <v>ROBSON</v>
      </c>
      <c r="Q706">
        <v>4</v>
      </c>
      <c r="S706" t="s">
        <v>1678</v>
      </c>
      <c r="T706" s="1">
        <v>46064</v>
      </c>
      <c r="U706">
        <v>-299.5</v>
      </c>
      <c r="V706">
        <v>-299.5</v>
      </c>
    </row>
    <row r="707" spans="1:22" x14ac:dyDescent="0.3">
      <c r="A707" t="s">
        <v>1679</v>
      </c>
      <c r="B707" t="s">
        <v>1680</v>
      </c>
      <c r="C707" t="s">
        <v>13</v>
      </c>
      <c r="D707" t="s">
        <v>1681</v>
      </c>
      <c r="E707" t="s">
        <v>15</v>
      </c>
      <c r="J707" s="1">
        <v>45833</v>
      </c>
      <c r="K707">
        <v>251</v>
      </c>
      <c r="L707" t="s">
        <v>1682</v>
      </c>
      <c r="M707">
        <v>6</v>
      </c>
      <c r="N707" t="str">
        <f>VLOOKUP(M707,[1]LOJA!$A:$B,2,0)</f>
        <v>GAMA</v>
      </c>
      <c r="O707">
        <v>185</v>
      </c>
      <c r="P707" t="str">
        <f>VLOOKUP(O707,[1]OPERADORES!$A:$B,2,0)</f>
        <v>FELIPE OLIVEIRA PONTE</v>
      </c>
      <c r="Q707">
        <v>7</v>
      </c>
      <c r="S707" t="s">
        <v>1683</v>
      </c>
      <c r="T707" s="1">
        <v>45832</v>
      </c>
      <c r="U707">
        <v>64.61</v>
      </c>
      <c r="V707">
        <v>64.61</v>
      </c>
    </row>
    <row r="708" spans="1:22" x14ac:dyDescent="0.3">
      <c r="A708" t="s">
        <v>1679</v>
      </c>
      <c r="B708" t="s">
        <v>1680</v>
      </c>
      <c r="C708" t="s">
        <v>13</v>
      </c>
      <c r="D708" t="s">
        <v>1681</v>
      </c>
      <c r="E708" t="s">
        <v>15</v>
      </c>
      <c r="J708" s="1">
        <v>45833</v>
      </c>
      <c r="K708">
        <v>251</v>
      </c>
      <c r="L708" t="s">
        <v>1684</v>
      </c>
      <c r="M708">
        <v>6</v>
      </c>
      <c r="N708" t="str">
        <f>VLOOKUP(M708,[1]LOJA!$A:$B,2,0)</f>
        <v>GAMA</v>
      </c>
      <c r="O708">
        <v>241</v>
      </c>
      <c r="P708" t="str">
        <f>VLOOKUP(O708,[1]OPERADORES!$A:$B,2,0)</f>
        <v>PRISCILA</v>
      </c>
      <c r="Q708">
        <v>7</v>
      </c>
      <c r="S708" t="s">
        <v>1685</v>
      </c>
      <c r="T708" s="1">
        <v>45832</v>
      </c>
      <c r="U708">
        <v>101</v>
      </c>
      <c r="V708">
        <v>101</v>
      </c>
    </row>
    <row r="709" spans="1:22" x14ac:dyDescent="0.3">
      <c r="A709" t="s">
        <v>1679</v>
      </c>
      <c r="B709" t="s">
        <v>1680</v>
      </c>
      <c r="C709" t="s">
        <v>13</v>
      </c>
      <c r="D709" t="s">
        <v>1681</v>
      </c>
      <c r="E709" t="s">
        <v>15</v>
      </c>
      <c r="J709" s="1">
        <v>45834</v>
      </c>
      <c r="K709">
        <v>250</v>
      </c>
      <c r="L709" t="s">
        <v>1686</v>
      </c>
      <c r="M709">
        <v>6</v>
      </c>
      <c r="N709" t="str">
        <f>VLOOKUP(M709,[1]LOJA!$A:$B,2,0)</f>
        <v>GAMA</v>
      </c>
      <c r="O709">
        <v>241</v>
      </c>
      <c r="P709" t="str">
        <f>VLOOKUP(O709,[1]OPERADORES!$A:$B,2,0)</f>
        <v>PRISCILA</v>
      </c>
      <c r="Q709">
        <v>7</v>
      </c>
      <c r="S709" t="s">
        <v>87</v>
      </c>
      <c r="T709" s="1">
        <v>45833</v>
      </c>
      <c r="U709">
        <v>78.8</v>
      </c>
      <c r="V709">
        <v>78.8</v>
      </c>
    </row>
    <row r="710" spans="1:22" x14ac:dyDescent="0.3">
      <c r="A710" t="s">
        <v>1679</v>
      </c>
      <c r="B710" t="s">
        <v>1680</v>
      </c>
      <c r="C710" t="s">
        <v>13</v>
      </c>
      <c r="D710" t="s">
        <v>1681</v>
      </c>
      <c r="E710" t="s">
        <v>15</v>
      </c>
      <c r="J710" s="1">
        <v>45836</v>
      </c>
      <c r="K710">
        <v>248</v>
      </c>
      <c r="L710" t="s">
        <v>1687</v>
      </c>
      <c r="M710">
        <v>6</v>
      </c>
      <c r="N710" t="str">
        <f>VLOOKUP(M710,[1]LOJA!$A:$B,2,0)</f>
        <v>GAMA</v>
      </c>
      <c r="O710">
        <v>241</v>
      </c>
      <c r="P710" t="str">
        <f>VLOOKUP(O710,[1]OPERADORES!$A:$B,2,0)</f>
        <v>PRISCILA</v>
      </c>
      <c r="Q710">
        <v>7</v>
      </c>
      <c r="S710" t="s">
        <v>87</v>
      </c>
      <c r="T710" s="1">
        <v>45835</v>
      </c>
      <c r="U710">
        <v>20</v>
      </c>
      <c r="V710">
        <v>20</v>
      </c>
    </row>
    <row r="711" spans="1:22" x14ac:dyDescent="0.3">
      <c r="A711" t="s">
        <v>1688</v>
      </c>
      <c r="B711" t="s">
        <v>1689</v>
      </c>
      <c r="C711" t="s">
        <v>13</v>
      </c>
      <c r="D711" t="s">
        <v>1690</v>
      </c>
      <c r="E711" t="s">
        <v>15</v>
      </c>
      <c r="J711" s="1">
        <v>44420</v>
      </c>
      <c r="K711">
        <v>1664</v>
      </c>
      <c r="L711" t="s">
        <v>1691</v>
      </c>
      <c r="M711">
        <v>8</v>
      </c>
      <c r="N711" t="str">
        <f>VLOOKUP(M711,[1]LOJA!$A:$B,2,0)</f>
        <v>LUZIÂNIA</v>
      </c>
      <c r="O711">
        <v>121</v>
      </c>
      <c r="P711" t="str">
        <f>VLOOKUP(O711,[1]OPERADORES!$A:$B,2,0)</f>
        <v>ROMULO COSTA DE ARAUJO JUNIOR</v>
      </c>
      <c r="Q711">
        <v>7</v>
      </c>
      <c r="S711" t="s">
        <v>87</v>
      </c>
      <c r="T711" s="1">
        <v>44419</v>
      </c>
      <c r="U711">
        <v>617</v>
      </c>
      <c r="V711">
        <v>617</v>
      </c>
    </row>
    <row r="712" spans="1:22" x14ac:dyDescent="0.3">
      <c r="A712" t="s">
        <v>1688</v>
      </c>
      <c r="B712" t="s">
        <v>1689</v>
      </c>
      <c r="C712" t="s">
        <v>13</v>
      </c>
      <c r="D712" t="s">
        <v>1690</v>
      </c>
      <c r="E712" t="s">
        <v>15</v>
      </c>
      <c r="J712" s="1">
        <v>44421</v>
      </c>
      <c r="K712">
        <v>1663</v>
      </c>
      <c r="L712" t="s">
        <v>1692</v>
      </c>
      <c r="M712">
        <v>8</v>
      </c>
      <c r="N712" t="str">
        <f>VLOOKUP(M712,[1]LOJA!$A:$B,2,0)</f>
        <v>LUZIÂNIA</v>
      </c>
      <c r="O712">
        <v>121</v>
      </c>
      <c r="P712" t="str">
        <f>VLOOKUP(O712,[1]OPERADORES!$A:$B,2,0)</f>
        <v>ROMULO COSTA DE ARAUJO JUNIOR</v>
      </c>
      <c r="Q712">
        <v>7</v>
      </c>
      <c r="S712" t="s">
        <v>87</v>
      </c>
      <c r="T712" s="1">
        <v>44420</v>
      </c>
      <c r="U712">
        <v>74</v>
      </c>
      <c r="V712">
        <v>74</v>
      </c>
    </row>
    <row r="713" spans="1:22" x14ac:dyDescent="0.3">
      <c r="A713" t="s">
        <v>1688</v>
      </c>
      <c r="B713" t="s">
        <v>1689</v>
      </c>
      <c r="C713" t="s">
        <v>13</v>
      </c>
      <c r="D713" t="s">
        <v>1690</v>
      </c>
      <c r="E713" t="s">
        <v>15</v>
      </c>
      <c r="J713" s="1">
        <v>44426</v>
      </c>
      <c r="K713">
        <v>1658</v>
      </c>
      <c r="L713" t="s">
        <v>1693</v>
      </c>
      <c r="M713">
        <v>8</v>
      </c>
      <c r="N713" t="str">
        <f>VLOOKUP(M713,[1]LOJA!$A:$B,2,0)</f>
        <v>LUZIÂNIA</v>
      </c>
      <c r="O713">
        <v>121</v>
      </c>
      <c r="P713" t="str">
        <f>VLOOKUP(O713,[1]OPERADORES!$A:$B,2,0)</f>
        <v>ROMULO COSTA DE ARAUJO JUNIOR</v>
      </c>
      <c r="Q713">
        <v>7</v>
      </c>
      <c r="S713" t="s">
        <v>87</v>
      </c>
      <c r="T713" s="1">
        <v>44425</v>
      </c>
      <c r="U713">
        <v>72</v>
      </c>
      <c r="V713">
        <v>72</v>
      </c>
    </row>
    <row r="714" spans="1:22" x14ac:dyDescent="0.3">
      <c r="A714" t="s">
        <v>1694</v>
      </c>
      <c r="B714" t="s">
        <v>1695</v>
      </c>
      <c r="C714" t="s">
        <v>13</v>
      </c>
      <c r="D714" t="s">
        <v>1696</v>
      </c>
      <c r="E714" t="s">
        <v>15</v>
      </c>
      <c r="J714" s="1">
        <v>45559</v>
      </c>
      <c r="K714">
        <v>525</v>
      </c>
      <c r="L714" t="s">
        <v>747</v>
      </c>
      <c r="M714">
        <v>8</v>
      </c>
      <c r="N714" t="str">
        <f>VLOOKUP(M714,[1]LOJA!$A:$B,2,0)</f>
        <v>LUZIÂNIA</v>
      </c>
      <c r="O714">
        <v>170</v>
      </c>
      <c r="P714" t="str">
        <f>VLOOKUP(O714,[1]OPERADORES!$A:$B,2,0)</f>
        <v>MARIA LUISA</v>
      </c>
      <c r="Q714">
        <v>4</v>
      </c>
      <c r="S714" t="s">
        <v>1697</v>
      </c>
      <c r="T714" s="1">
        <v>45559</v>
      </c>
      <c r="U714">
        <v>-124.69</v>
      </c>
      <c r="V714">
        <v>-124.69</v>
      </c>
    </row>
    <row r="715" spans="1:22" x14ac:dyDescent="0.3">
      <c r="A715" t="s">
        <v>1694</v>
      </c>
      <c r="B715" t="s">
        <v>1695</v>
      </c>
      <c r="C715" t="s">
        <v>13</v>
      </c>
      <c r="D715" t="s">
        <v>1696</v>
      </c>
      <c r="E715" t="s">
        <v>15</v>
      </c>
      <c r="J715" s="1">
        <v>45856</v>
      </c>
      <c r="K715">
        <v>228</v>
      </c>
      <c r="L715" t="s">
        <v>1698</v>
      </c>
      <c r="M715">
        <v>24</v>
      </c>
      <c r="N715" t="str">
        <f>VLOOKUP(M715,[1]LOJA!$A:$B,2,0)</f>
        <v>LUZIÂNIA</v>
      </c>
      <c r="O715">
        <v>170</v>
      </c>
      <c r="P715" t="str">
        <f>VLOOKUP(O715,[1]OPERADORES!$A:$B,2,0)</f>
        <v>MARIA LUISA</v>
      </c>
      <c r="Q715">
        <v>4</v>
      </c>
      <c r="S715" t="s">
        <v>1699</v>
      </c>
      <c r="T715" s="1">
        <v>45856</v>
      </c>
      <c r="U715">
        <v>-29.63</v>
      </c>
      <c r="V715">
        <v>-29.63</v>
      </c>
    </row>
    <row r="716" spans="1:22" x14ac:dyDescent="0.3">
      <c r="A716" t="s">
        <v>1700</v>
      </c>
      <c r="B716" t="s">
        <v>32</v>
      </c>
      <c r="C716" t="s">
        <v>13</v>
      </c>
      <c r="D716" t="s">
        <v>1701</v>
      </c>
      <c r="E716" t="s">
        <v>15</v>
      </c>
      <c r="J716" s="1">
        <v>45230</v>
      </c>
      <c r="K716">
        <v>854</v>
      </c>
      <c r="L716" t="s">
        <v>1702</v>
      </c>
      <c r="M716">
        <v>9</v>
      </c>
      <c r="N716" t="str">
        <f>VLOOKUP(M716,[1]LOJA!$A:$B,2,0)</f>
        <v>ÚNICA</v>
      </c>
      <c r="O716">
        <v>145</v>
      </c>
      <c r="P716" t="str">
        <f>VLOOKUP(O716,[1]OPERADORES!$A:$B,2,0)</f>
        <v xml:space="preserve">FABRICIA </v>
      </c>
      <c r="Q716">
        <v>23</v>
      </c>
      <c r="R716">
        <v>57897</v>
      </c>
      <c r="S716" t="s">
        <v>972</v>
      </c>
      <c r="T716" s="1">
        <v>45209</v>
      </c>
      <c r="U716">
        <v>719.59</v>
      </c>
      <c r="V716">
        <v>719.59</v>
      </c>
    </row>
    <row r="717" spans="1:22" x14ac:dyDescent="0.3">
      <c r="A717" t="s">
        <v>1700</v>
      </c>
      <c r="B717" t="s">
        <v>32</v>
      </c>
      <c r="C717" t="s">
        <v>13</v>
      </c>
      <c r="D717" t="s">
        <v>1701</v>
      </c>
      <c r="E717" t="s">
        <v>15</v>
      </c>
      <c r="J717" s="1">
        <v>45237</v>
      </c>
      <c r="K717">
        <v>847</v>
      </c>
      <c r="L717" t="s">
        <v>1703</v>
      </c>
      <c r="M717">
        <v>9</v>
      </c>
      <c r="N717" t="str">
        <f>VLOOKUP(M717,[1]LOJA!$A:$B,2,0)</f>
        <v>ÚNICA</v>
      </c>
      <c r="O717">
        <v>145</v>
      </c>
      <c r="P717" t="str">
        <f>VLOOKUP(O717,[1]OPERADORES!$A:$B,2,0)</f>
        <v xml:space="preserve">FABRICIA </v>
      </c>
      <c r="Q717">
        <v>23</v>
      </c>
      <c r="R717">
        <v>57905</v>
      </c>
      <c r="S717" t="s">
        <v>976</v>
      </c>
      <c r="T717" s="1">
        <v>45209</v>
      </c>
      <c r="U717">
        <v>719.59</v>
      </c>
      <c r="V717">
        <v>719.59</v>
      </c>
    </row>
    <row r="718" spans="1:22" x14ac:dyDescent="0.3">
      <c r="A718" t="s">
        <v>1700</v>
      </c>
      <c r="B718" t="s">
        <v>32</v>
      </c>
      <c r="C718" t="s">
        <v>13</v>
      </c>
      <c r="D718" t="s">
        <v>1701</v>
      </c>
      <c r="E718" t="s">
        <v>15</v>
      </c>
      <c r="J718" s="1">
        <v>45244</v>
      </c>
      <c r="K718">
        <v>840</v>
      </c>
      <c r="L718" t="s">
        <v>1704</v>
      </c>
      <c r="M718">
        <v>9</v>
      </c>
      <c r="N718" t="str">
        <f>VLOOKUP(M718,[1]LOJA!$A:$B,2,0)</f>
        <v>ÚNICA</v>
      </c>
      <c r="O718">
        <v>145</v>
      </c>
      <c r="P718" t="str">
        <f>VLOOKUP(O718,[1]OPERADORES!$A:$B,2,0)</f>
        <v xml:space="preserve">FABRICIA </v>
      </c>
      <c r="Q718">
        <v>23</v>
      </c>
      <c r="R718">
        <v>57913</v>
      </c>
      <c r="S718" t="s">
        <v>780</v>
      </c>
      <c r="T718" s="1">
        <v>45209</v>
      </c>
      <c r="U718">
        <v>719.59</v>
      </c>
      <c r="V718">
        <v>719.59</v>
      </c>
    </row>
    <row r="719" spans="1:22" x14ac:dyDescent="0.3">
      <c r="A719" t="s">
        <v>1705</v>
      </c>
      <c r="B719" t="s">
        <v>1706</v>
      </c>
      <c r="C719" t="s">
        <v>13</v>
      </c>
      <c r="D719" t="s">
        <v>1707</v>
      </c>
      <c r="E719" t="s">
        <v>15</v>
      </c>
      <c r="J719" s="1">
        <v>44593</v>
      </c>
      <c r="K719">
        <v>1491</v>
      </c>
      <c r="L719" t="s">
        <v>1708</v>
      </c>
      <c r="M719">
        <v>12</v>
      </c>
      <c r="N719" t="str">
        <f>VLOOKUP(M719,[1]LOJA!$A:$B,2,0)</f>
        <v>SOFNORTE</v>
      </c>
      <c r="O719">
        <v>65</v>
      </c>
      <c r="P719" t="str">
        <f>VLOOKUP(O719,[1]OPERADORES!$A:$B,2,0)</f>
        <v>MICHAEL ALVES FERNANDES</v>
      </c>
      <c r="Q719">
        <v>7</v>
      </c>
      <c r="S719" t="s">
        <v>87</v>
      </c>
      <c r="T719" s="1">
        <v>44592</v>
      </c>
      <c r="U719">
        <v>60</v>
      </c>
      <c r="V719">
        <v>60</v>
      </c>
    </row>
    <row r="720" spans="1:22" x14ac:dyDescent="0.3">
      <c r="A720" t="s">
        <v>5602</v>
      </c>
      <c r="B720" t="s">
        <v>5603</v>
      </c>
      <c r="C720" t="s">
        <v>13</v>
      </c>
      <c r="D720" t="s">
        <v>5604</v>
      </c>
      <c r="E720" t="s">
        <v>15</v>
      </c>
      <c r="J720" s="1">
        <v>46084</v>
      </c>
      <c r="K720">
        <v>0</v>
      </c>
      <c r="L720" t="s">
        <v>5605</v>
      </c>
      <c r="M720">
        <v>9</v>
      </c>
      <c r="N720" t="str">
        <f>VLOOKUP(M720,[1]LOJA!$A:$B,2,0)</f>
        <v>ÚNICA</v>
      </c>
      <c r="O720">
        <v>231</v>
      </c>
      <c r="P720" t="str">
        <f>VLOOKUP(O720,[1]OPERADORES!$A:$B,2,0)</f>
        <v>EDIJANE</v>
      </c>
      <c r="Q720">
        <v>7</v>
      </c>
      <c r="S720" t="s">
        <v>87</v>
      </c>
      <c r="T720" s="1">
        <v>46083</v>
      </c>
      <c r="U720">
        <v>891.81</v>
      </c>
      <c r="V720">
        <v>891.81</v>
      </c>
    </row>
    <row r="721" spans="1:22" x14ac:dyDescent="0.3">
      <c r="A721" t="s">
        <v>1709</v>
      </c>
      <c r="B721" t="s">
        <v>1710</v>
      </c>
      <c r="C721" t="s">
        <v>13</v>
      </c>
      <c r="D721" t="s">
        <v>1711</v>
      </c>
      <c r="E721" t="s">
        <v>15</v>
      </c>
      <c r="J721" s="1">
        <v>45566</v>
      </c>
      <c r="K721">
        <v>518</v>
      </c>
      <c r="L721" t="s">
        <v>1712</v>
      </c>
      <c r="M721">
        <v>16</v>
      </c>
      <c r="N721" t="str">
        <f>VLOOKUP(M721,[1]LOJA!$A:$B,2,0)</f>
        <v>AG LINDAS</v>
      </c>
      <c r="O721">
        <v>107</v>
      </c>
      <c r="P721" t="str">
        <f>VLOOKUP(O721,[1]OPERADORES!$A:$B,2,0)</f>
        <v>DAIANA PORTELA</v>
      </c>
      <c r="Q721">
        <v>7</v>
      </c>
      <c r="S721" t="s">
        <v>1713</v>
      </c>
      <c r="T721" s="1">
        <v>45566</v>
      </c>
      <c r="U721">
        <v>-0.49</v>
      </c>
      <c r="V721">
        <v>-0.49</v>
      </c>
    </row>
    <row r="722" spans="1:22" x14ac:dyDescent="0.3">
      <c r="A722" t="s">
        <v>1715</v>
      </c>
      <c r="B722" t="s">
        <v>1716</v>
      </c>
      <c r="C722" t="s">
        <v>13</v>
      </c>
      <c r="D722" t="s">
        <v>1717</v>
      </c>
      <c r="E722" t="s">
        <v>15</v>
      </c>
      <c r="J722" s="1">
        <v>44468</v>
      </c>
      <c r="K722">
        <v>1616</v>
      </c>
      <c r="L722" t="s">
        <v>1718</v>
      </c>
      <c r="M722">
        <v>4</v>
      </c>
      <c r="N722" t="str">
        <f>VLOOKUP(M722,[1]LOJA!$A:$B,2,0)</f>
        <v>ADE</v>
      </c>
      <c r="O722">
        <v>146</v>
      </c>
      <c r="P722" t="str">
        <f>VLOOKUP(O722,[1]OPERADORES!$A:$B,2,0)</f>
        <v>LUCIMEIRE ROSA RIBEIRO</v>
      </c>
      <c r="Q722">
        <v>4</v>
      </c>
      <c r="S722" t="s">
        <v>110</v>
      </c>
      <c r="T722" s="1">
        <v>44468</v>
      </c>
      <c r="U722">
        <v>-25.4</v>
      </c>
      <c r="V722">
        <v>-25.4</v>
      </c>
    </row>
    <row r="723" spans="1:22" x14ac:dyDescent="0.3">
      <c r="A723" t="s">
        <v>1719</v>
      </c>
      <c r="B723" t="s">
        <v>1720</v>
      </c>
      <c r="C723" t="s">
        <v>848</v>
      </c>
      <c r="D723" t="s">
        <v>5606</v>
      </c>
      <c r="E723" t="s">
        <v>15</v>
      </c>
      <c r="J723" s="1">
        <v>45917</v>
      </c>
      <c r="K723">
        <v>167</v>
      </c>
      <c r="L723" t="s">
        <v>1721</v>
      </c>
      <c r="M723">
        <v>9</v>
      </c>
      <c r="N723" t="str">
        <f>VLOOKUP(M723,[1]LOJA!$A:$B,2,0)</f>
        <v>ÚNICA</v>
      </c>
      <c r="O723">
        <v>236</v>
      </c>
      <c r="P723" t="str">
        <f>VLOOKUP(O723,[1]OPERADORES!$A:$B,2,0)</f>
        <v>DANIEL</v>
      </c>
      <c r="Q723">
        <v>4</v>
      </c>
      <c r="S723" t="s">
        <v>1722</v>
      </c>
      <c r="T723" s="1">
        <v>45917</v>
      </c>
      <c r="U723">
        <v>-0.01</v>
      </c>
      <c r="V723">
        <v>-0.01</v>
      </c>
    </row>
    <row r="724" spans="1:22" x14ac:dyDescent="0.3">
      <c r="A724" t="s">
        <v>1723</v>
      </c>
      <c r="B724" t="s">
        <v>1724</v>
      </c>
      <c r="C724" t="s">
        <v>1725</v>
      </c>
      <c r="D724" t="s">
        <v>5607</v>
      </c>
      <c r="E724" t="s">
        <v>15</v>
      </c>
      <c r="J724" s="1">
        <v>44425</v>
      </c>
      <c r="K724">
        <v>1659</v>
      </c>
      <c r="L724" t="s">
        <v>1726</v>
      </c>
      <c r="M724">
        <v>13</v>
      </c>
      <c r="N724" t="str">
        <f>VLOOKUP(M724,[1]LOJA!$A:$B,2,0)</f>
        <v>CEILÂNDIA</v>
      </c>
      <c r="O724">
        <v>20</v>
      </c>
      <c r="P724" t="str">
        <f>VLOOKUP(O724,[1]OPERADORES!$A:$B,2,0)</f>
        <v>MAYARA</v>
      </c>
      <c r="Q724">
        <v>27</v>
      </c>
      <c r="R724">
        <v>1000003949</v>
      </c>
      <c r="S724" t="s">
        <v>1727</v>
      </c>
      <c r="T724" s="1">
        <v>44380</v>
      </c>
      <c r="U724" s="2">
        <v>6188.21</v>
      </c>
      <c r="V724" s="2">
        <v>6188.21</v>
      </c>
    </row>
    <row r="725" spans="1:22" x14ac:dyDescent="0.3">
      <c r="A725" t="s">
        <v>1728</v>
      </c>
      <c r="B725" t="s">
        <v>1729</v>
      </c>
      <c r="C725" t="s">
        <v>13</v>
      </c>
      <c r="D725" t="s">
        <v>1730</v>
      </c>
      <c r="E725" t="s">
        <v>15</v>
      </c>
      <c r="J725" s="1">
        <v>45931</v>
      </c>
      <c r="K725">
        <v>153</v>
      </c>
      <c r="L725" t="s">
        <v>1731</v>
      </c>
      <c r="M725">
        <v>16</v>
      </c>
      <c r="N725" t="str">
        <f>VLOOKUP(M725,[1]LOJA!$A:$B,2,0)</f>
        <v>AG LINDAS</v>
      </c>
      <c r="O725">
        <v>107</v>
      </c>
      <c r="P725" t="str">
        <f>VLOOKUP(O725,[1]OPERADORES!$A:$B,2,0)</f>
        <v>DAIANA PORTELA</v>
      </c>
      <c r="Q725">
        <v>7</v>
      </c>
      <c r="S725" t="s">
        <v>1732</v>
      </c>
      <c r="T725" s="1">
        <v>45930</v>
      </c>
      <c r="U725">
        <v>-21.01</v>
      </c>
      <c r="V725">
        <v>-21.01</v>
      </c>
    </row>
    <row r="726" spans="1:22" x14ac:dyDescent="0.3">
      <c r="A726" t="s">
        <v>5608</v>
      </c>
      <c r="B726" t="s">
        <v>5609</v>
      </c>
      <c r="C726" t="s">
        <v>13</v>
      </c>
      <c r="D726" t="s">
        <v>1626</v>
      </c>
      <c r="E726" t="s">
        <v>15</v>
      </c>
      <c r="J726" s="1">
        <v>46078</v>
      </c>
      <c r="K726">
        <v>6</v>
      </c>
      <c r="L726" t="s">
        <v>5610</v>
      </c>
      <c r="M726">
        <v>12</v>
      </c>
      <c r="N726" t="str">
        <f>VLOOKUP(M726,[1]LOJA!$A:$B,2,0)</f>
        <v>SOFNORTE</v>
      </c>
      <c r="O726">
        <v>209</v>
      </c>
      <c r="P726" t="str">
        <f>VLOOKUP(O726,[1]OPERADORES!$A:$B,2,0)</f>
        <v>MARIA WITHALINA CUNHA DE SOUZA</v>
      </c>
      <c r="Q726">
        <v>4</v>
      </c>
      <c r="S726" t="s">
        <v>5611</v>
      </c>
      <c r="T726" s="1">
        <v>46065</v>
      </c>
      <c r="U726">
        <v>-3</v>
      </c>
      <c r="V726">
        <v>-3</v>
      </c>
    </row>
    <row r="727" spans="1:22" x14ac:dyDescent="0.3">
      <c r="A727" t="s">
        <v>1733</v>
      </c>
      <c r="B727" t="s">
        <v>1734</v>
      </c>
      <c r="C727" t="s">
        <v>30</v>
      </c>
      <c r="D727" t="s">
        <v>1735</v>
      </c>
      <c r="E727" t="s">
        <v>15</v>
      </c>
      <c r="J727" s="1">
        <v>45184</v>
      </c>
      <c r="K727">
        <v>900</v>
      </c>
      <c r="L727" t="s">
        <v>1736</v>
      </c>
      <c r="M727">
        <v>6</v>
      </c>
      <c r="N727" t="str">
        <f>VLOOKUP(M727,[1]LOJA!$A:$B,2,0)</f>
        <v>GAMA</v>
      </c>
      <c r="O727">
        <v>20</v>
      </c>
      <c r="P727" t="str">
        <f>VLOOKUP(O727,[1]OPERADORES!$A:$B,2,0)</f>
        <v>MAYARA</v>
      </c>
      <c r="Q727">
        <v>12</v>
      </c>
      <c r="S727" t="s">
        <v>1737</v>
      </c>
      <c r="T727" s="1">
        <v>45173</v>
      </c>
      <c r="U727">
        <v>145</v>
      </c>
      <c r="V727">
        <v>145</v>
      </c>
    </row>
    <row r="728" spans="1:22" x14ac:dyDescent="0.3">
      <c r="A728" t="s">
        <v>1738</v>
      </c>
      <c r="B728" t="s">
        <v>1739</v>
      </c>
      <c r="C728" t="s">
        <v>13</v>
      </c>
      <c r="D728" t="s">
        <v>1740</v>
      </c>
      <c r="E728" t="s">
        <v>15</v>
      </c>
      <c r="J728" s="1">
        <v>45145</v>
      </c>
      <c r="K728">
        <v>939</v>
      </c>
      <c r="L728" t="s">
        <v>1741</v>
      </c>
      <c r="M728">
        <v>8</v>
      </c>
      <c r="N728" t="str">
        <f>VLOOKUP(M728,[1]LOJA!$A:$B,2,0)</f>
        <v>LUZIÂNIA</v>
      </c>
      <c r="O728">
        <v>170</v>
      </c>
      <c r="P728" t="str">
        <f>VLOOKUP(O728,[1]OPERADORES!$A:$B,2,0)</f>
        <v>MARIA LUISA</v>
      </c>
      <c r="Q728">
        <v>4</v>
      </c>
      <c r="S728" t="s">
        <v>110</v>
      </c>
      <c r="T728" s="1">
        <v>45145</v>
      </c>
      <c r="U728">
        <v>-6</v>
      </c>
      <c r="V728">
        <v>-6</v>
      </c>
    </row>
    <row r="729" spans="1:22" x14ac:dyDescent="0.3">
      <c r="A729" t="s">
        <v>1742</v>
      </c>
      <c r="B729" t="s">
        <v>1743</v>
      </c>
      <c r="C729" t="s">
        <v>755</v>
      </c>
      <c r="D729" t="s">
        <v>1744</v>
      </c>
      <c r="E729" t="s">
        <v>15</v>
      </c>
      <c r="J729" s="1">
        <v>45457</v>
      </c>
      <c r="K729">
        <v>627</v>
      </c>
      <c r="L729" t="s">
        <v>1745</v>
      </c>
      <c r="M729">
        <v>4</v>
      </c>
      <c r="N729" t="str">
        <f>VLOOKUP(M729,[1]LOJA!$A:$B,2,0)</f>
        <v>ADE</v>
      </c>
      <c r="O729">
        <v>226</v>
      </c>
      <c r="P729" t="str">
        <f>VLOOKUP(O729,[1]OPERADORES!$A:$B,2,0)</f>
        <v>MARIA FÉLIX</v>
      </c>
      <c r="Q729">
        <v>4</v>
      </c>
      <c r="S729" t="s">
        <v>1746</v>
      </c>
      <c r="T729" s="1">
        <v>45457</v>
      </c>
      <c r="U729">
        <v>-0.45</v>
      </c>
      <c r="V729">
        <v>-0.45</v>
      </c>
    </row>
    <row r="730" spans="1:22" x14ac:dyDescent="0.3">
      <c r="A730" t="s">
        <v>5612</v>
      </c>
      <c r="B730" t="s">
        <v>5613</v>
      </c>
      <c r="C730" t="s">
        <v>293</v>
      </c>
      <c r="D730" t="s">
        <v>5614</v>
      </c>
      <c r="E730" t="s">
        <v>15</v>
      </c>
      <c r="J730" s="1">
        <v>46082</v>
      </c>
      <c r="K730">
        <v>2</v>
      </c>
      <c r="L730" t="s">
        <v>5615</v>
      </c>
      <c r="M730">
        <v>4</v>
      </c>
      <c r="N730" t="str">
        <f>VLOOKUP(M730,[1]LOJA!$A:$B,2,0)</f>
        <v>ADE</v>
      </c>
      <c r="O730">
        <v>132</v>
      </c>
      <c r="P730" t="str">
        <f>VLOOKUP(O730,[1]OPERADORES!$A:$B,2,0)</f>
        <v>PAMELA GONÇALVES ROSA</v>
      </c>
      <c r="Q730">
        <v>7</v>
      </c>
      <c r="S730" t="s">
        <v>87</v>
      </c>
      <c r="T730" s="1">
        <v>46052</v>
      </c>
      <c r="U730">
        <v>229.8</v>
      </c>
      <c r="V730">
        <v>229.8</v>
      </c>
    </row>
    <row r="731" spans="1:22" x14ac:dyDescent="0.3">
      <c r="A731" t="s">
        <v>1747</v>
      </c>
      <c r="B731" t="s">
        <v>1748</v>
      </c>
      <c r="C731" t="s">
        <v>13</v>
      </c>
      <c r="D731" t="s">
        <v>316</v>
      </c>
      <c r="E731" t="s">
        <v>15</v>
      </c>
      <c r="J731" s="1">
        <v>44340</v>
      </c>
      <c r="K731">
        <v>1744</v>
      </c>
      <c r="L731" t="s">
        <v>1749</v>
      </c>
      <c r="M731">
        <v>13</v>
      </c>
      <c r="N731" t="str">
        <f>VLOOKUP(M731,[1]LOJA!$A:$B,2,0)</f>
        <v>CEILÂNDIA</v>
      </c>
      <c r="O731">
        <v>126</v>
      </c>
      <c r="P731" t="str">
        <f>VLOOKUP(O731,[1]OPERADORES!$A:$B,2,0)</f>
        <v>CESAR OLIVIEIRA DE ARAUJO</v>
      </c>
      <c r="Q731">
        <v>4</v>
      </c>
      <c r="S731" t="s">
        <v>1750</v>
      </c>
      <c r="T731" s="1">
        <v>44340</v>
      </c>
      <c r="U731">
        <v>-10</v>
      </c>
      <c r="V731">
        <v>-10</v>
      </c>
    </row>
    <row r="732" spans="1:22" x14ac:dyDescent="0.3">
      <c r="A732" t="s">
        <v>1751</v>
      </c>
      <c r="B732" t="s">
        <v>32</v>
      </c>
      <c r="C732" t="s">
        <v>13</v>
      </c>
      <c r="D732" t="s">
        <v>1752</v>
      </c>
      <c r="E732" t="s">
        <v>15</v>
      </c>
      <c r="J732" s="1">
        <v>45341</v>
      </c>
      <c r="K732">
        <v>743</v>
      </c>
      <c r="L732" t="s">
        <v>1753</v>
      </c>
      <c r="M732">
        <v>8</v>
      </c>
      <c r="N732" t="str">
        <f>VLOOKUP(M732,[1]LOJA!$A:$B,2,0)</f>
        <v>LUZIÂNIA</v>
      </c>
      <c r="O732">
        <v>170</v>
      </c>
      <c r="P732" t="str">
        <f>VLOOKUP(O732,[1]OPERADORES!$A:$B,2,0)</f>
        <v>MARIA LUISA</v>
      </c>
      <c r="Q732">
        <v>4</v>
      </c>
      <c r="S732" t="s">
        <v>1754</v>
      </c>
      <c r="T732" s="1">
        <v>45341</v>
      </c>
      <c r="U732">
        <v>-0.25</v>
      </c>
      <c r="V732">
        <v>-0.25</v>
      </c>
    </row>
    <row r="733" spans="1:22" x14ac:dyDescent="0.3">
      <c r="A733" t="s">
        <v>1751</v>
      </c>
      <c r="B733" t="s">
        <v>32</v>
      </c>
      <c r="C733" t="s">
        <v>13</v>
      </c>
      <c r="D733" t="s">
        <v>1752</v>
      </c>
      <c r="E733" t="s">
        <v>15</v>
      </c>
      <c r="J733" s="1">
        <v>45350</v>
      </c>
      <c r="K733">
        <v>734</v>
      </c>
      <c r="L733" t="s">
        <v>1755</v>
      </c>
      <c r="M733">
        <v>8</v>
      </c>
      <c r="N733" t="str">
        <f>VLOOKUP(M733,[1]LOJA!$A:$B,2,0)</f>
        <v>LUZIÂNIA</v>
      </c>
      <c r="O733">
        <v>170</v>
      </c>
      <c r="P733" t="str">
        <f>VLOOKUP(O733,[1]OPERADORES!$A:$B,2,0)</f>
        <v>MARIA LUISA</v>
      </c>
      <c r="Q733">
        <v>4</v>
      </c>
      <c r="S733" t="s">
        <v>1756</v>
      </c>
      <c r="T733" s="1">
        <v>45350</v>
      </c>
      <c r="U733">
        <v>-1.8</v>
      </c>
      <c r="V733">
        <v>-1.8</v>
      </c>
    </row>
    <row r="734" spans="1:22" x14ac:dyDescent="0.3">
      <c r="A734" t="s">
        <v>1751</v>
      </c>
      <c r="B734" t="s">
        <v>32</v>
      </c>
      <c r="C734" t="s">
        <v>13</v>
      </c>
      <c r="D734" t="s">
        <v>1752</v>
      </c>
      <c r="E734" t="s">
        <v>15</v>
      </c>
      <c r="J734" s="1">
        <v>45369</v>
      </c>
      <c r="K734">
        <v>715</v>
      </c>
      <c r="L734" t="s">
        <v>1757</v>
      </c>
      <c r="M734">
        <v>8</v>
      </c>
      <c r="N734" t="str">
        <f>VLOOKUP(M734,[1]LOJA!$A:$B,2,0)</f>
        <v>LUZIÂNIA</v>
      </c>
      <c r="O734">
        <v>170</v>
      </c>
      <c r="P734" t="str">
        <f>VLOOKUP(O734,[1]OPERADORES!$A:$B,2,0)</f>
        <v>MARIA LUISA</v>
      </c>
      <c r="Q734">
        <v>4</v>
      </c>
      <c r="S734" t="s">
        <v>1756</v>
      </c>
      <c r="T734" s="1">
        <v>45369</v>
      </c>
      <c r="U734">
        <v>-0.53</v>
      </c>
      <c r="V734">
        <v>-0.53</v>
      </c>
    </row>
    <row r="735" spans="1:22" x14ac:dyDescent="0.3">
      <c r="A735" t="s">
        <v>1751</v>
      </c>
      <c r="B735" t="s">
        <v>32</v>
      </c>
      <c r="C735" t="s">
        <v>13</v>
      </c>
      <c r="D735" t="s">
        <v>1752</v>
      </c>
      <c r="E735" t="s">
        <v>15</v>
      </c>
      <c r="J735" s="1">
        <v>45404</v>
      </c>
      <c r="K735">
        <v>680</v>
      </c>
      <c r="L735" t="s">
        <v>1758</v>
      </c>
      <c r="M735">
        <v>8</v>
      </c>
      <c r="N735" t="str">
        <f>VLOOKUP(M735,[1]LOJA!$A:$B,2,0)</f>
        <v>LUZIÂNIA</v>
      </c>
      <c r="O735">
        <v>196</v>
      </c>
      <c r="P735" t="str">
        <f>VLOOKUP(O735,[1]OPERADORES!$A:$B,2,0)</f>
        <v>KASSIANO MARCUS ALVES SILVA</v>
      </c>
      <c r="Q735">
        <v>4</v>
      </c>
      <c r="S735" t="s">
        <v>1759</v>
      </c>
      <c r="T735" s="1">
        <v>45404</v>
      </c>
      <c r="U735">
        <v>-12.43</v>
      </c>
      <c r="V735">
        <v>-12.43</v>
      </c>
    </row>
    <row r="736" spans="1:22" x14ac:dyDescent="0.3">
      <c r="A736" t="s">
        <v>5616</v>
      </c>
      <c r="B736" t="s">
        <v>5617</v>
      </c>
      <c r="C736" t="s">
        <v>1238</v>
      </c>
      <c r="D736" t="s">
        <v>5618</v>
      </c>
      <c r="E736" t="s">
        <v>15</v>
      </c>
      <c r="J736" s="1">
        <v>46081</v>
      </c>
      <c r="K736">
        <v>3</v>
      </c>
      <c r="L736" t="s">
        <v>5619</v>
      </c>
      <c r="M736">
        <v>15</v>
      </c>
      <c r="N736" t="str">
        <f>VLOOKUP(M736,[1]LOJA!$A:$B,2,0)</f>
        <v>UNAÍ</v>
      </c>
      <c r="O736">
        <v>183</v>
      </c>
      <c r="P736" t="str">
        <f>VLOOKUP(O736,[1]OPERADORES!$A:$B,2,0)</f>
        <v>NADINE DE OLIVEIRA MORAIS</v>
      </c>
      <c r="Q736">
        <v>7</v>
      </c>
      <c r="S736" t="s">
        <v>87</v>
      </c>
      <c r="T736" s="1">
        <v>46066</v>
      </c>
      <c r="U736">
        <v>183.84</v>
      </c>
      <c r="V736">
        <v>183.84</v>
      </c>
    </row>
    <row r="737" spans="1:22" x14ac:dyDescent="0.3">
      <c r="A737" t="s">
        <v>1760</v>
      </c>
      <c r="B737" t="s">
        <v>1761</v>
      </c>
      <c r="C737" t="s">
        <v>13</v>
      </c>
      <c r="D737" t="s">
        <v>1762</v>
      </c>
      <c r="E737" t="s">
        <v>15</v>
      </c>
      <c r="J737" s="1">
        <v>44825</v>
      </c>
      <c r="K737">
        <v>1259</v>
      </c>
      <c r="L737" t="s">
        <v>1763</v>
      </c>
      <c r="M737">
        <v>12</v>
      </c>
      <c r="N737" t="str">
        <f>VLOOKUP(M737,[1]LOJA!$A:$B,2,0)</f>
        <v>SOFNORTE</v>
      </c>
      <c r="O737">
        <v>60</v>
      </c>
      <c r="P737" t="str">
        <f>VLOOKUP(O737,[1]OPERADORES!$A:$B,2,0)</f>
        <v>ALEXANDRA</v>
      </c>
      <c r="Q737">
        <v>4</v>
      </c>
      <c r="S737" t="s">
        <v>1764</v>
      </c>
      <c r="T737" s="1">
        <v>44825</v>
      </c>
      <c r="U737">
        <v>-1.93</v>
      </c>
      <c r="V737">
        <v>-1.93</v>
      </c>
    </row>
    <row r="738" spans="1:22" x14ac:dyDescent="0.3">
      <c r="A738" t="s">
        <v>1765</v>
      </c>
      <c r="B738" t="s">
        <v>1766</v>
      </c>
      <c r="C738" t="s">
        <v>13</v>
      </c>
      <c r="D738" t="s">
        <v>1767</v>
      </c>
      <c r="E738" t="s">
        <v>15</v>
      </c>
      <c r="J738" s="1">
        <v>45453</v>
      </c>
      <c r="K738">
        <v>631</v>
      </c>
      <c r="L738" t="s">
        <v>1768</v>
      </c>
      <c r="M738">
        <v>22</v>
      </c>
      <c r="N738" t="str">
        <f>VLOOKUP(M738,[1]LOJA!$A:$B,2,0)</f>
        <v>GUARÁ</v>
      </c>
      <c r="O738">
        <v>93</v>
      </c>
      <c r="P738" t="str">
        <f>VLOOKUP(O738,[1]OPERADORES!$A:$B,2,0)</f>
        <v>PATRICIA</v>
      </c>
      <c r="Q738">
        <v>4</v>
      </c>
      <c r="S738" t="s">
        <v>1769</v>
      </c>
      <c r="T738" s="1">
        <v>45453</v>
      </c>
      <c r="U738">
        <v>-40.58</v>
      </c>
      <c r="V738">
        <v>-40.58</v>
      </c>
    </row>
    <row r="739" spans="1:22" x14ac:dyDescent="0.3">
      <c r="A739" t="s">
        <v>1770</v>
      </c>
      <c r="B739" t="s">
        <v>1771</v>
      </c>
      <c r="C739" t="s">
        <v>13</v>
      </c>
      <c r="D739" t="s">
        <v>1772</v>
      </c>
      <c r="E739" t="s">
        <v>15</v>
      </c>
      <c r="J739" s="1">
        <v>45562</v>
      </c>
      <c r="K739">
        <v>522</v>
      </c>
      <c r="L739" t="s">
        <v>1773</v>
      </c>
      <c r="M739">
        <v>15</v>
      </c>
      <c r="N739" t="str">
        <f>VLOOKUP(M739,[1]LOJA!$A:$B,2,0)</f>
        <v>UNAÍ</v>
      </c>
      <c r="O739">
        <v>140</v>
      </c>
      <c r="P739" t="str">
        <f>VLOOKUP(O739,[1]OPERADORES!$A:$B,2,0)</f>
        <v>KAREN NAYARA BORGES</v>
      </c>
      <c r="Q739">
        <v>4</v>
      </c>
      <c r="S739" t="s">
        <v>1774</v>
      </c>
      <c r="T739" s="1">
        <v>45378</v>
      </c>
      <c r="U739">
        <v>-0.34</v>
      </c>
      <c r="V739">
        <v>-0.34</v>
      </c>
    </row>
    <row r="740" spans="1:22" x14ac:dyDescent="0.3">
      <c r="A740" t="s">
        <v>1775</v>
      </c>
      <c r="B740" t="s">
        <v>1776</v>
      </c>
      <c r="C740" t="s">
        <v>43</v>
      </c>
      <c r="D740" t="s">
        <v>1777</v>
      </c>
      <c r="E740" t="s">
        <v>15</v>
      </c>
      <c r="J740" s="1">
        <v>45398</v>
      </c>
      <c r="K740">
        <v>686</v>
      </c>
      <c r="L740" t="s">
        <v>1778</v>
      </c>
      <c r="M740">
        <v>13</v>
      </c>
      <c r="N740" t="str">
        <f>VLOOKUP(M740,[1]LOJA!$A:$B,2,0)</f>
        <v>CEILÂNDIA</v>
      </c>
      <c r="O740">
        <v>67</v>
      </c>
      <c r="P740" t="str">
        <f>VLOOKUP(O740,[1]OPERADORES!$A:$B,2,0)</f>
        <v>ERIKA</v>
      </c>
      <c r="Q740">
        <v>10</v>
      </c>
      <c r="S740" t="s">
        <v>1779</v>
      </c>
      <c r="T740" s="1">
        <v>45398</v>
      </c>
      <c r="U740">
        <v>-0.04</v>
      </c>
      <c r="V740">
        <v>-0.04</v>
      </c>
    </row>
    <row r="741" spans="1:22" x14ac:dyDescent="0.3">
      <c r="A741" t="s">
        <v>5620</v>
      </c>
      <c r="B741" t="s">
        <v>5621</v>
      </c>
      <c r="C741" t="s">
        <v>13</v>
      </c>
      <c r="D741" t="s">
        <v>5622</v>
      </c>
      <c r="E741" t="s">
        <v>15</v>
      </c>
      <c r="J741" s="1">
        <v>46079</v>
      </c>
      <c r="K741">
        <v>5</v>
      </c>
      <c r="L741" t="s">
        <v>5623</v>
      </c>
      <c r="M741">
        <v>9</v>
      </c>
      <c r="N741" t="str">
        <f>VLOOKUP(M741,[1]LOJA!$A:$B,2,0)</f>
        <v>ÚNICA</v>
      </c>
      <c r="O741">
        <v>236</v>
      </c>
      <c r="P741" t="str">
        <f>VLOOKUP(O741,[1]OPERADORES!$A:$B,2,0)</f>
        <v>DANIEL</v>
      </c>
      <c r="Q741">
        <v>7</v>
      </c>
      <c r="S741" t="s">
        <v>87</v>
      </c>
      <c r="T741" s="1">
        <v>46078</v>
      </c>
      <c r="U741">
        <v>59.91</v>
      </c>
      <c r="V741">
        <v>59.91</v>
      </c>
    </row>
    <row r="742" spans="1:22" x14ac:dyDescent="0.3">
      <c r="A742" t="s">
        <v>5624</v>
      </c>
      <c r="B742" t="s">
        <v>5625</v>
      </c>
      <c r="C742" t="s">
        <v>13</v>
      </c>
      <c r="D742" t="s">
        <v>5626</v>
      </c>
      <c r="E742" t="s">
        <v>15</v>
      </c>
      <c r="J742" s="1">
        <v>46079</v>
      </c>
      <c r="K742">
        <v>5</v>
      </c>
      <c r="L742" t="s">
        <v>5627</v>
      </c>
      <c r="M742">
        <v>9</v>
      </c>
      <c r="N742" t="str">
        <f>VLOOKUP(M742,[1]LOJA!$A:$B,2,0)</f>
        <v>ÚNICA</v>
      </c>
      <c r="O742">
        <v>144</v>
      </c>
      <c r="P742" t="str">
        <f>VLOOKUP(O742,[1]OPERADORES!$A:$B,2,0)</f>
        <v>CINTIA DA SILVA CARLOS</v>
      </c>
      <c r="Q742">
        <v>4</v>
      </c>
      <c r="S742" t="s">
        <v>5628</v>
      </c>
      <c r="T742" s="1">
        <v>46079</v>
      </c>
      <c r="U742">
        <v>-3.15</v>
      </c>
      <c r="V742">
        <v>-3.15</v>
      </c>
    </row>
    <row r="743" spans="1:22" x14ac:dyDescent="0.3">
      <c r="A743" t="s">
        <v>1780</v>
      </c>
      <c r="B743" t="s">
        <v>1781</v>
      </c>
      <c r="C743" t="s">
        <v>30</v>
      </c>
      <c r="D743" t="s">
        <v>1782</v>
      </c>
      <c r="E743" t="s">
        <v>15</v>
      </c>
      <c r="J743" s="1">
        <v>45504</v>
      </c>
      <c r="K743">
        <v>580</v>
      </c>
      <c r="L743" t="s">
        <v>1783</v>
      </c>
      <c r="M743">
        <v>9</v>
      </c>
      <c r="N743" t="str">
        <f>VLOOKUP(M743,[1]LOJA!$A:$B,2,0)</f>
        <v>ÚNICA</v>
      </c>
      <c r="O743">
        <v>145</v>
      </c>
      <c r="P743" t="str">
        <f>VLOOKUP(O743,[1]OPERADORES!$A:$B,2,0)</f>
        <v xml:space="preserve">FABRICIA </v>
      </c>
      <c r="Q743">
        <v>4</v>
      </c>
      <c r="S743" t="s">
        <v>1784</v>
      </c>
      <c r="T743" s="1">
        <v>45504</v>
      </c>
      <c r="U743">
        <v>-189.68</v>
      </c>
      <c r="V743">
        <v>-189.68</v>
      </c>
    </row>
    <row r="744" spans="1:22" x14ac:dyDescent="0.3">
      <c r="A744" t="s">
        <v>1785</v>
      </c>
      <c r="B744" t="s">
        <v>1786</v>
      </c>
      <c r="C744" t="s">
        <v>1787</v>
      </c>
      <c r="D744" t="s">
        <v>5629</v>
      </c>
      <c r="E744" t="s">
        <v>15</v>
      </c>
      <c r="J744" s="1">
        <v>46059</v>
      </c>
      <c r="K744">
        <v>25</v>
      </c>
      <c r="L744" t="s">
        <v>1788</v>
      </c>
      <c r="M744">
        <v>24</v>
      </c>
      <c r="N744" t="str">
        <f>VLOOKUP(M744,[1]LOJA!$A:$B,2,0)</f>
        <v>LUZIÂNIA</v>
      </c>
      <c r="O744">
        <v>244</v>
      </c>
      <c r="P744" t="str">
        <f>VLOOKUP(O744,[1]OPERADORES!$A:$B,2,0)</f>
        <v>NATHALIA PEREIRA DA SILVA</v>
      </c>
      <c r="Q744">
        <v>4</v>
      </c>
      <c r="S744" t="s">
        <v>1789</v>
      </c>
      <c r="T744" s="1">
        <v>46034</v>
      </c>
      <c r="U744">
        <v>-24.34</v>
      </c>
      <c r="V744">
        <v>-24.34</v>
      </c>
    </row>
    <row r="745" spans="1:22" x14ac:dyDescent="0.3">
      <c r="A745" t="s">
        <v>1785</v>
      </c>
      <c r="B745" t="s">
        <v>1786</v>
      </c>
      <c r="C745" t="s">
        <v>1787</v>
      </c>
      <c r="D745" t="s">
        <v>5629</v>
      </c>
      <c r="E745" t="s">
        <v>15</v>
      </c>
      <c r="J745" s="1">
        <v>46080</v>
      </c>
      <c r="K745">
        <v>4</v>
      </c>
      <c r="L745" t="s">
        <v>5630</v>
      </c>
      <c r="M745">
        <v>24</v>
      </c>
      <c r="N745" t="str">
        <f>VLOOKUP(M745,[1]LOJA!$A:$B,2,0)</f>
        <v>LUZIÂNIA</v>
      </c>
      <c r="O745">
        <v>170</v>
      </c>
      <c r="P745" t="str">
        <f>VLOOKUP(O745,[1]OPERADORES!$A:$B,2,0)</f>
        <v>MARIA LUISA</v>
      </c>
      <c r="Q745">
        <v>4</v>
      </c>
      <c r="S745" t="s">
        <v>5631</v>
      </c>
      <c r="T745" s="1">
        <v>46080</v>
      </c>
      <c r="U745">
        <v>-152.84</v>
      </c>
      <c r="V745">
        <v>-152.84</v>
      </c>
    </row>
    <row r="746" spans="1:22" x14ac:dyDescent="0.3">
      <c r="A746" t="s">
        <v>1790</v>
      </c>
      <c r="B746" t="s">
        <v>1791</v>
      </c>
      <c r="C746" t="s">
        <v>13</v>
      </c>
      <c r="D746" t="s">
        <v>5632</v>
      </c>
      <c r="E746" t="s">
        <v>15</v>
      </c>
      <c r="J746" s="1">
        <v>44606</v>
      </c>
      <c r="K746">
        <v>1478</v>
      </c>
      <c r="L746" t="s">
        <v>1792</v>
      </c>
      <c r="M746">
        <v>1</v>
      </c>
      <c r="N746" t="str">
        <f>VLOOKUP(M746,[1]LOJA!$A:$B,2,0)</f>
        <v>GUARÁ</v>
      </c>
      <c r="O746">
        <v>84</v>
      </c>
      <c r="P746" t="str">
        <f>VLOOKUP(O746,[1]OPERADORES!$A:$B,2,0)</f>
        <v>JEICY AZEVEDO</v>
      </c>
      <c r="Q746">
        <v>11</v>
      </c>
      <c r="R746">
        <v>1000004900</v>
      </c>
      <c r="S746" t="s">
        <v>1793</v>
      </c>
      <c r="T746" s="1">
        <v>44516</v>
      </c>
      <c r="U746">
        <v>943</v>
      </c>
      <c r="V746">
        <v>943</v>
      </c>
    </row>
    <row r="747" spans="1:22" x14ac:dyDescent="0.3">
      <c r="A747" t="s">
        <v>1790</v>
      </c>
      <c r="B747" t="s">
        <v>1791</v>
      </c>
      <c r="C747" t="s">
        <v>13</v>
      </c>
      <c r="D747" t="s">
        <v>5632</v>
      </c>
      <c r="E747" t="s">
        <v>15</v>
      </c>
      <c r="J747" s="1">
        <v>44626</v>
      </c>
      <c r="K747">
        <v>1458</v>
      </c>
      <c r="L747" t="s">
        <v>1794</v>
      </c>
      <c r="M747">
        <v>1</v>
      </c>
      <c r="N747" t="str">
        <f>VLOOKUP(M747,[1]LOJA!$A:$B,2,0)</f>
        <v>GUARÁ</v>
      </c>
      <c r="O747">
        <v>84</v>
      </c>
      <c r="P747" t="str">
        <f>VLOOKUP(O747,[1]OPERADORES!$A:$B,2,0)</f>
        <v>JEICY AZEVEDO</v>
      </c>
      <c r="Q747">
        <v>11</v>
      </c>
      <c r="R747">
        <v>1000005498</v>
      </c>
      <c r="S747" t="s">
        <v>1795</v>
      </c>
      <c r="T747" s="1">
        <v>44596</v>
      </c>
      <c r="U747" s="2">
        <v>1139.3599999999999</v>
      </c>
      <c r="V747" s="2">
        <v>1139.3599999999999</v>
      </c>
    </row>
    <row r="748" spans="1:22" x14ac:dyDescent="0.3">
      <c r="A748" t="s">
        <v>1790</v>
      </c>
      <c r="B748" t="s">
        <v>1791</v>
      </c>
      <c r="C748" t="s">
        <v>13</v>
      </c>
      <c r="D748" t="s">
        <v>5632</v>
      </c>
      <c r="E748" t="s">
        <v>15</v>
      </c>
      <c r="J748" s="1">
        <v>44651</v>
      </c>
      <c r="K748">
        <v>1433</v>
      </c>
      <c r="L748" t="s">
        <v>1796</v>
      </c>
      <c r="M748">
        <v>1</v>
      </c>
      <c r="N748" t="str">
        <f>VLOOKUP(M748,[1]LOJA!$A:$B,2,0)</f>
        <v>GUARÁ</v>
      </c>
      <c r="O748">
        <v>84</v>
      </c>
      <c r="P748" t="str">
        <f>VLOOKUP(O748,[1]OPERADORES!$A:$B,2,0)</f>
        <v>JEICY AZEVEDO</v>
      </c>
      <c r="Q748">
        <v>11</v>
      </c>
      <c r="R748">
        <v>1000005678</v>
      </c>
      <c r="S748" t="s">
        <v>1797</v>
      </c>
      <c r="T748" s="1">
        <v>44621</v>
      </c>
      <c r="U748">
        <v>259.67</v>
      </c>
      <c r="V748">
        <v>259.67</v>
      </c>
    </row>
    <row r="749" spans="1:22" x14ac:dyDescent="0.3">
      <c r="A749" t="s">
        <v>1790</v>
      </c>
      <c r="B749" t="s">
        <v>1791</v>
      </c>
      <c r="C749" t="s">
        <v>13</v>
      </c>
      <c r="D749" t="s">
        <v>5632</v>
      </c>
      <c r="E749" t="s">
        <v>15</v>
      </c>
      <c r="J749" s="1">
        <v>44656</v>
      </c>
      <c r="K749">
        <v>1428</v>
      </c>
      <c r="L749" t="s">
        <v>1798</v>
      </c>
      <c r="M749">
        <v>1</v>
      </c>
      <c r="N749" t="str">
        <f>VLOOKUP(M749,[1]LOJA!$A:$B,2,0)</f>
        <v>GUARÁ</v>
      </c>
      <c r="O749">
        <v>84</v>
      </c>
      <c r="P749" t="str">
        <f>VLOOKUP(O749,[1]OPERADORES!$A:$B,2,0)</f>
        <v>JEICY AZEVEDO</v>
      </c>
      <c r="Q749">
        <v>11</v>
      </c>
      <c r="R749">
        <v>1000005499</v>
      </c>
      <c r="S749" t="s">
        <v>1799</v>
      </c>
      <c r="T749" s="1">
        <v>44596</v>
      </c>
      <c r="U749" s="2">
        <v>1138</v>
      </c>
      <c r="V749" s="2">
        <v>1138</v>
      </c>
    </row>
    <row r="750" spans="1:22" x14ac:dyDescent="0.3">
      <c r="A750" t="s">
        <v>1790</v>
      </c>
      <c r="B750" t="s">
        <v>1791</v>
      </c>
      <c r="C750" t="s">
        <v>13</v>
      </c>
      <c r="D750" t="s">
        <v>5632</v>
      </c>
      <c r="E750" t="s">
        <v>15</v>
      </c>
      <c r="J750" s="1">
        <v>44668</v>
      </c>
      <c r="K750">
        <v>1416</v>
      </c>
      <c r="L750" t="s">
        <v>1800</v>
      </c>
      <c r="M750">
        <v>1</v>
      </c>
      <c r="N750" t="str">
        <f>VLOOKUP(M750,[1]LOJA!$A:$B,2,0)</f>
        <v>GUARÁ</v>
      </c>
      <c r="O750">
        <v>84</v>
      </c>
      <c r="P750" t="str">
        <f>VLOOKUP(O750,[1]OPERADORES!$A:$B,2,0)</f>
        <v>JEICY AZEVEDO</v>
      </c>
      <c r="Q750">
        <v>4</v>
      </c>
      <c r="S750" t="s">
        <v>1801</v>
      </c>
      <c r="T750" s="1">
        <v>44426</v>
      </c>
      <c r="U750">
        <v>275.37</v>
      </c>
      <c r="V750">
        <v>275.37</v>
      </c>
    </row>
    <row r="751" spans="1:22" x14ac:dyDescent="0.3">
      <c r="A751" t="s">
        <v>1790</v>
      </c>
      <c r="B751" t="s">
        <v>1791</v>
      </c>
      <c r="C751" t="s">
        <v>13</v>
      </c>
      <c r="D751" t="s">
        <v>5632</v>
      </c>
      <c r="E751" t="s">
        <v>15</v>
      </c>
      <c r="J751" s="1">
        <v>44686</v>
      </c>
      <c r="K751">
        <v>1398</v>
      </c>
      <c r="L751" t="s">
        <v>1802</v>
      </c>
      <c r="M751">
        <v>1</v>
      </c>
      <c r="N751" t="str">
        <f>VLOOKUP(M751,[1]LOJA!$A:$B,2,0)</f>
        <v>GUARÁ</v>
      </c>
      <c r="O751">
        <v>84</v>
      </c>
      <c r="P751" t="str">
        <f>VLOOKUP(O751,[1]OPERADORES!$A:$B,2,0)</f>
        <v>JEICY AZEVEDO</v>
      </c>
      <c r="Q751">
        <v>11</v>
      </c>
      <c r="R751">
        <v>1000005500</v>
      </c>
      <c r="S751" t="s">
        <v>1803</v>
      </c>
      <c r="T751" s="1">
        <v>44596</v>
      </c>
      <c r="U751" s="2">
        <v>1138</v>
      </c>
      <c r="V751" s="2">
        <v>1138</v>
      </c>
    </row>
    <row r="752" spans="1:22" x14ac:dyDescent="0.3">
      <c r="A752" t="s">
        <v>1790</v>
      </c>
      <c r="B752" t="s">
        <v>1791</v>
      </c>
      <c r="C752" t="s">
        <v>13</v>
      </c>
      <c r="D752" t="s">
        <v>5632</v>
      </c>
      <c r="E752" t="s">
        <v>15</v>
      </c>
      <c r="J752" s="1">
        <v>44729</v>
      </c>
      <c r="K752">
        <v>1355</v>
      </c>
      <c r="L752" t="s">
        <v>1804</v>
      </c>
      <c r="M752">
        <v>1</v>
      </c>
      <c r="N752" t="str">
        <f>VLOOKUP(M752,[1]LOJA!$A:$B,2,0)</f>
        <v>GUARÁ</v>
      </c>
      <c r="O752">
        <v>84</v>
      </c>
      <c r="P752" t="str">
        <f>VLOOKUP(O752,[1]OPERADORES!$A:$B,2,0)</f>
        <v>JEICY AZEVEDO</v>
      </c>
      <c r="Q752">
        <v>4</v>
      </c>
      <c r="S752" t="s">
        <v>1805</v>
      </c>
      <c r="T752" s="1">
        <v>44426</v>
      </c>
      <c r="U752" s="2">
        <v>1007</v>
      </c>
      <c r="V752" s="2">
        <v>1007</v>
      </c>
    </row>
    <row r="753" spans="1:22" x14ac:dyDescent="0.3">
      <c r="A753" t="s">
        <v>1790</v>
      </c>
      <c r="B753" t="s">
        <v>1791</v>
      </c>
      <c r="C753" t="s">
        <v>13</v>
      </c>
      <c r="D753" t="s">
        <v>5632</v>
      </c>
      <c r="E753" t="s">
        <v>15</v>
      </c>
      <c r="J753" s="1">
        <v>45841</v>
      </c>
      <c r="K753">
        <v>243</v>
      </c>
      <c r="L753" t="s">
        <v>1806</v>
      </c>
      <c r="M753">
        <v>14</v>
      </c>
      <c r="N753" t="str">
        <f>VLOOKUP(M753,[1]LOJA!$A:$B,2,0)</f>
        <v>S IA</v>
      </c>
      <c r="O753">
        <v>20</v>
      </c>
      <c r="P753" t="str">
        <f>VLOOKUP(O753,[1]OPERADORES!$A:$B,2,0)</f>
        <v>MAYARA</v>
      </c>
      <c r="Q753">
        <v>4</v>
      </c>
      <c r="S753" t="s">
        <v>1807</v>
      </c>
      <c r="T753" s="1">
        <v>45194</v>
      </c>
      <c r="U753" s="2">
        <v>-1622.43</v>
      </c>
      <c r="V753" s="2">
        <v>-1622.43</v>
      </c>
    </row>
    <row r="754" spans="1:22" x14ac:dyDescent="0.3">
      <c r="A754" t="s">
        <v>1790</v>
      </c>
      <c r="B754" t="s">
        <v>1791</v>
      </c>
      <c r="C754" t="s">
        <v>13</v>
      </c>
      <c r="D754" t="s">
        <v>5632</v>
      </c>
      <c r="E754" t="s">
        <v>15</v>
      </c>
      <c r="J754" s="1">
        <v>46030</v>
      </c>
      <c r="K754">
        <v>54</v>
      </c>
      <c r="L754" t="s">
        <v>1808</v>
      </c>
      <c r="M754">
        <v>14</v>
      </c>
      <c r="N754" t="str">
        <f>VLOOKUP(M754,[1]LOJA!$A:$B,2,0)</f>
        <v>S IA</v>
      </c>
      <c r="O754">
        <v>207</v>
      </c>
      <c r="P754" t="str">
        <f>VLOOKUP(O754,[1]OPERADORES!$A:$B,2,0)</f>
        <v>KETILE SABRINE</v>
      </c>
      <c r="Q754">
        <v>4</v>
      </c>
      <c r="S754" t="s">
        <v>1809</v>
      </c>
      <c r="T754" s="1">
        <v>46030</v>
      </c>
      <c r="U754">
        <v>-67</v>
      </c>
      <c r="V754">
        <v>-67</v>
      </c>
    </row>
    <row r="755" spans="1:22" x14ac:dyDescent="0.3">
      <c r="A755" t="s">
        <v>1790</v>
      </c>
      <c r="B755" t="s">
        <v>1791</v>
      </c>
      <c r="C755" t="s">
        <v>13</v>
      </c>
      <c r="D755" t="s">
        <v>5632</v>
      </c>
      <c r="E755" t="s">
        <v>15</v>
      </c>
      <c r="J755" s="1">
        <v>46079</v>
      </c>
      <c r="K755">
        <v>5</v>
      </c>
      <c r="L755" t="s">
        <v>481</v>
      </c>
      <c r="M755">
        <v>14</v>
      </c>
      <c r="N755" t="str">
        <f>VLOOKUP(M755,[1]LOJA!$A:$B,2,0)</f>
        <v>S IA</v>
      </c>
      <c r="O755">
        <v>207</v>
      </c>
      <c r="P755" t="str">
        <f>VLOOKUP(O755,[1]OPERADORES!$A:$B,2,0)</f>
        <v>KETILE SABRINE</v>
      </c>
      <c r="Q755">
        <v>4</v>
      </c>
      <c r="S755" t="s">
        <v>1809</v>
      </c>
      <c r="T755" s="1">
        <v>46079</v>
      </c>
      <c r="U755">
        <v>-52.47</v>
      </c>
      <c r="V755">
        <v>-52.47</v>
      </c>
    </row>
    <row r="756" spans="1:22" x14ac:dyDescent="0.3">
      <c r="A756" t="s">
        <v>1790</v>
      </c>
      <c r="B756" t="s">
        <v>1791</v>
      </c>
      <c r="C756" t="s">
        <v>13</v>
      </c>
      <c r="D756" t="s">
        <v>5632</v>
      </c>
      <c r="E756" t="s">
        <v>15</v>
      </c>
      <c r="J756" s="1">
        <v>46083</v>
      </c>
      <c r="K756">
        <v>1</v>
      </c>
      <c r="L756" t="s">
        <v>5633</v>
      </c>
      <c r="M756">
        <v>22</v>
      </c>
      <c r="N756" t="str">
        <f>VLOOKUP(M756,[1]LOJA!$A:$B,2,0)</f>
        <v>GUARÁ</v>
      </c>
      <c r="O756">
        <v>238</v>
      </c>
      <c r="P756" t="str">
        <f>VLOOKUP(O756,[1]OPERADORES!$A:$B,2,0)</f>
        <v>BIANCA</v>
      </c>
      <c r="Q756">
        <v>4</v>
      </c>
      <c r="S756" t="s">
        <v>1809</v>
      </c>
      <c r="T756" s="1">
        <v>46083</v>
      </c>
      <c r="U756">
        <v>-325</v>
      </c>
      <c r="V756">
        <v>-325</v>
      </c>
    </row>
    <row r="757" spans="1:22" x14ac:dyDescent="0.3">
      <c r="A757" t="s">
        <v>1810</v>
      </c>
      <c r="B757" t="s">
        <v>1811</v>
      </c>
      <c r="C757" t="s">
        <v>13</v>
      </c>
      <c r="D757" t="s">
        <v>1812</v>
      </c>
      <c r="E757" t="s">
        <v>15</v>
      </c>
      <c r="J757" s="1">
        <v>45712</v>
      </c>
      <c r="K757">
        <v>372</v>
      </c>
      <c r="L757" t="s">
        <v>1813</v>
      </c>
      <c r="M757">
        <v>6</v>
      </c>
      <c r="N757" t="str">
        <f>VLOOKUP(M757,[1]LOJA!$A:$B,2,0)</f>
        <v>GAMA</v>
      </c>
      <c r="O757">
        <v>233</v>
      </c>
      <c r="P757" t="str">
        <f>VLOOKUP(O757,[1]OPERADORES!$A:$B,2,0)</f>
        <v>MARCELO MENEZES</v>
      </c>
      <c r="Q757">
        <v>4</v>
      </c>
      <c r="S757" t="s">
        <v>1814</v>
      </c>
      <c r="T757" s="1">
        <v>45712</v>
      </c>
      <c r="U757">
        <v>-2.44</v>
      </c>
      <c r="V757">
        <v>-2.44</v>
      </c>
    </row>
    <row r="758" spans="1:22" x14ac:dyDescent="0.3">
      <c r="A758" t="s">
        <v>5634</v>
      </c>
      <c r="B758" t="s">
        <v>5635</v>
      </c>
      <c r="C758" t="s">
        <v>13</v>
      </c>
      <c r="D758" t="s">
        <v>5636</v>
      </c>
      <c r="E758" t="s">
        <v>15</v>
      </c>
      <c r="J758" s="1">
        <v>46071</v>
      </c>
      <c r="K758">
        <v>13</v>
      </c>
      <c r="L758" t="s">
        <v>5637</v>
      </c>
      <c r="M758">
        <v>9</v>
      </c>
      <c r="N758" t="str">
        <f>VLOOKUP(M758,[1]LOJA!$A:$B,2,0)</f>
        <v>ÚNICA</v>
      </c>
      <c r="O758">
        <v>174</v>
      </c>
      <c r="P758" t="str">
        <f>VLOOKUP(O758,[1]OPERADORES!$A:$B,2,0)</f>
        <v>MIRIÃ LOBATO RODRIGUES</v>
      </c>
      <c r="Q758">
        <v>4</v>
      </c>
      <c r="S758" t="s">
        <v>5638</v>
      </c>
      <c r="T758" s="1">
        <v>46071</v>
      </c>
      <c r="U758">
        <v>-6.06</v>
      </c>
      <c r="V758">
        <v>-6.06</v>
      </c>
    </row>
    <row r="759" spans="1:22" x14ac:dyDescent="0.3">
      <c r="A759" t="s">
        <v>5639</v>
      </c>
      <c r="B759" t="s">
        <v>5640</v>
      </c>
      <c r="C759" t="s">
        <v>207</v>
      </c>
      <c r="D759" t="s">
        <v>5641</v>
      </c>
      <c r="E759" t="s">
        <v>15</v>
      </c>
      <c r="J759" s="1">
        <v>46079</v>
      </c>
      <c r="K759">
        <v>5</v>
      </c>
      <c r="L759" t="s">
        <v>5642</v>
      </c>
      <c r="M759">
        <v>14</v>
      </c>
      <c r="N759" t="str">
        <f>VLOOKUP(M759,[1]LOJA!$A:$B,2,0)</f>
        <v>S IA</v>
      </c>
      <c r="O759">
        <v>20</v>
      </c>
      <c r="P759" t="str">
        <f>VLOOKUP(O759,[1]OPERADORES!$A:$B,2,0)</f>
        <v>MAYARA</v>
      </c>
      <c r="Q759">
        <v>27</v>
      </c>
      <c r="S759" t="s">
        <v>5643</v>
      </c>
      <c r="T759" s="1">
        <v>46059</v>
      </c>
      <c r="U759" s="2">
        <v>7153</v>
      </c>
      <c r="V759" s="2">
        <v>7153</v>
      </c>
    </row>
    <row r="760" spans="1:22" x14ac:dyDescent="0.3">
      <c r="A760" t="s">
        <v>1815</v>
      </c>
      <c r="B760" t="s">
        <v>1816</v>
      </c>
      <c r="C760" t="s">
        <v>43</v>
      </c>
      <c r="D760" t="s">
        <v>1817</v>
      </c>
      <c r="E760" t="s">
        <v>15</v>
      </c>
      <c r="J760" s="1">
        <v>45870</v>
      </c>
      <c r="K760">
        <v>214</v>
      </c>
      <c r="L760" t="s">
        <v>1818</v>
      </c>
      <c r="M760">
        <v>14</v>
      </c>
      <c r="N760" t="str">
        <f>VLOOKUP(M760,[1]LOJA!$A:$B,2,0)</f>
        <v>S IA</v>
      </c>
      <c r="O760">
        <v>209</v>
      </c>
      <c r="P760" t="str">
        <f>VLOOKUP(O760,[1]OPERADORES!$A:$B,2,0)</f>
        <v>MARIA WITHALINA CUNHA DE SOUZA</v>
      </c>
      <c r="Q760">
        <v>4</v>
      </c>
      <c r="S760" t="s">
        <v>1819</v>
      </c>
      <c r="T760" s="1">
        <v>45870</v>
      </c>
      <c r="U760">
        <v>-0.33</v>
      </c>
      <c r="V760">
        <v>-0.33</v>
      </c>
    </row>
    <row r="761" spans="1:22" x14ac:dyDescent="0.3">
      <c r="A761" t="s">
        <v>1820</v>
      </c>
      <c r="B761" t="s">
        <v>1821</v>
      </c>
      <c r="C761" t="s">
        <v>13</v>
      </c>
      <c r="D761" t="s">
        <v>1822</v>
      </c>
      <c r="E761" t="s">
        <v>15</v>
      </c>
      <c r="J761" s="1">
        <v>44492</v>
      </c>
      <c r="K761">
        <v>1592</v>
      </c>
      <c r="L761" t="s">
        <v>1823</v>
      </c>
      <c r="M761">
        <v>1</v>
      </c>
      <c r="N761" t="str">
        <f>VLOOKUP(M761,[1]LOJA!$A:$B,2,0)</f>
        <v>GUARÁ</v>
      </c>
      <c r="O761">
        <v>132</v>
      </c>
      <c r="P761" t="str">
        <f>VLOOKUP(O761,[1]OPERADORES!$A:$B,2,0)</f>
        <v>PAMELA GONÇALVES ROSA</v>
      </c>
      <c r="Q761">
        <v>4</v>
      </c>
      <c r="S761" t="s">
        <v>1824</v>
      </c>
      <c r="T761" s="1">
        <v>44492</v>
      </c>
      <c r="U761">
        <v>-0.31</v>
      </c>
      <c r="V761">
        <v>-0.31</v>
      </c>
    </row>
    <row r="762" spans="1:22" x14ac:dyDescent="0.3">
      <c r="A762" t="s">
        <v>1825</v>
      </c>
      <c r="B762" t="s">
        <v>1826</v>
      </c>
      <c r="C762" t="s">
        <v>13</v>
      </c>
      <c r="D762" t="s">
        <v>5644</v>
      </c>
      <c r="E762" t="s">
        <v>15</v>
      </c>
      <c r="J762" s="1">
        <v>44791</v>
      </c>
      <c r="K762">
        <v>1293</v>
      </c>
      <c r="L762" t="s">
        <v>1827</v>
      </c>
      <c r="M762">
        <v>1</v>
      </c>
      <c r="N762" t="str">
        <f>VLOOKUP(M762,[1]LOJA!$A:$B,2,0)</f>
        <v>GUARÁ</v>
      </c>
      <c r="O762">
        <v>28</v>
      </c>
      <c r="P762" t="str">
        <f>VLOOKUP(O762,[1]OPERADORES!$A:$B,2,0)</f>
        <v>GABRIELA</v>
      </c>
      <c r="Q762">
        <v>4</v>
      </c>
      <c r="S762" t="s">
        <v>142</v>
      </c>
      <c r="T762" s="1">
        <v>44791</v>
      </c>
      <c r="U762">
        <v>-0.1</v>
      </c>
      <c r="V762">
        <v>-0.1</v>
      </c>
    </row>
    <row r="763" spans="1:22" x14ac:dyDescent="0.3">
      <c r="A763" t="s">
        <v>1828</v>
      </c>
      <c r="B763" t="s">
        <v>32</v>
      </c>
      <c r="C763" t="s">
        <v>13</v>
      </c>
      <c r="D763" t="s">
        <v>137</v>
      </c>
      <c r="E763" t="s">
        <v>15</v>
      </c>
      <c r="J763" s="1">
        <v>46046</v>
      </c>
      <c r="K763">
        <v>38</v>
      </c>
      <c r="L763" t="s">
        <v>427</v>
      </c>
      <c r="M763">
        <v>24</v>
      </c>
      <c r="N763" t="str">
        <f>VLOOKUP(M763,[1]LOJA!$A:$B,2,0)</f>
        <v>LUZIÂNIA</v>
      </c>
      <c r="O763">
        <v>192</v>
      </c>
      <c r="P763" t="str">
        <f>VLOOKUP(O763,[1]OPERADORES!$A:$B,2,0)</f>
        <v>CIDA</v>
      </c>
      <c r="Q763">
        <v>4</v>
      </c>
      <c r="S763" t="s">
        <v>1829</v>
      </c>
      <c r="T763" s="1">
        <v>46046</v>
      </c>
      <c r="U763">
        <v>-0.1</v>
      </c>
      <c r="V763">
        <v>-0.1</v>
      </c>
    </row>
    <row r="764" spans="1:22" x14ac:dyDescent="0.3">
      <c r="A764" t="s">
        <v>1830</v>
      </c>
      <c r="B764" t="s">
        <v>1831</v>
      </c>
      <c r="C764" t="s">
        <v>1832</v>
      </c>
      <c r="D764" t="s">
        <v>5645</v>
      </c>
      <c r="E764" t="s">
        <v>15</v>
      </c>
      <c r="J764" s="1">
        <v>46064</v>
      </c>
      <c r="K764">
        <v>20</v>
      </c>
      <c r="L764" t="s">
        <v>1833</v>
      </c>
      <c r="M764">
        <v>24</v>
      </c>
      <c r="N764" t="str">
        <f>VLOOKUP(M764,[1]LOJA!$A:$B,2,0)</f>
        <v>LUZIÂNIA</v>
      </c>
      <c r="O764">
        <v>244</v>
      </c>
      <c r="P764" t="str">
        <f>VLOOKUP(O764,[1]OPERADORES!$A:$B,2,0)</f>
        <v>NATHALIA PEREIRA DA SILVA</v>
      </c>
      <c r="Q764">
        <v>4</v>
      </c>
      <c r="S764" t="s">
        <v>1834</v>
      </c>
      <c r="T764" s="1">
        <v>46064</v>
      </c>
      <c r="U764">
        <v>-0.4</v>
      </c>
      <c r="V764">
        <v>-0.4</v>
      </c>
    </row>
    <row r="765" spans="1:22" x14ac:dyDescent="0.3">
      <c r="A765" t="s">
        <v>1830</v>
      </c>
      <c r="B765" t="s">
        <v>1831</v>
      </c>
      <c r="C765" t="s">
        <v>1832</v>
      </c>
      <c r="D765" t="s">
        <v>5645</v>
      </c>
      <c r="E765" t="s">
        <v>15</v>
      </c>
      <c r="J765" s="1">
        <v>46083</v>
      </c>
      <c r="K765">
        <v>1</v>
      </c>
      <c r="L765" t="s">
        <v>5646</v>
      </c>
      <c r="M765">
        <v>24</v>
      </c>
      <c r="N765" t="str">
        <f>VLOOKUP(M765,[1]LOJA!$A:$B,2,0)</f>
        <v>LUZIÂNIA</v>
      </c>
      <c r="O765">
        <v>170</v>
      </c>
      <c r="P765" t="str">
        <f>VLOOKUP(O765,[1]OPERADORES!$A:$B,2,0)</f>
        <v>MARIA LUISA</v>
      </c>
      <c r="Q765">
        <v>4</v>
      </c>
      <c r="S765" t="s">
        <v>1834</v>
      </c>
      <c r="T765" s="1">
        <v>46083</v>
      </c>
      <c r="U765">
        <v>-2.6</v>
      </c>
      <c r="V765">
        <v>-2.6</v>
      </c>
    </row>
    <row r="766" spans="1:22" x14ac:dyDescent="0.3">
      <c r="A766" t="s">
        <v>1835</v>
      </c>
      <c r="B766" t="s">
        <v>1836</v>
      </c>
      <c r="C766" t="s">
        <v>1837</v>
      </c>
      <c r="D766" t="s">
        <v>1385</v>
      </c>
      <c r="E766" t="s">
        <v>15</v>
      </c>
      <c r="J766" s="1">
        <v>44736</v>
      </c>
      <c r="K766">
        <v>1348</v>
      </c>
      <c r="L766" t="s">
        <v>26</v>
      </c>
      <c r="M766">
        <v>16</v>
      </c>
      <c r="N766" t="str">
        <f>VLOOKUP(M766,[1]LOJA!$A:$B,2,0)</f>
        <v>AG LINDAS</v>
      </c>
      <c r="O766">
        <v>174</v>
      </c>
      <c r="P766" t="str">
        <f>VLOOKUP(O766,[1]OPERADORES!$A:$B,2,0)</f>
        <v>MIRIÃ LOBATO RODRIGUES</v>
      </c>
      <c r="Q766">
        <v>4</v>
      </c>
      <c r="S766" t="s">
        <v>1838</v>
      </c>
      <c r="T766" s="1">
        <v>44736</v>
      </c>
      <c r="U766">
        <v>-1.3</v>
      </c>
      <c r="V766">
        <v>-1.3</v>
      </c>
    </row>
    <row r="767" spans="1:22" x14ac:dyDescent="0.3">
      <c r="A767" t="s">
        <v>1839</v>
      </c>
      <c r="B767" t="s">
        <v>1840</v>
      </c>
      <c r="C767" t="s">
        <v>43</v>
      </c>
      <c r="D767" t="s">
        <v>1841</v>
      </c>
      <c r="E767" t="s">
        <v>15</v>
      </c>
      <c r="J767" s="1">
        <v>45259</v>
      </c>
      <c r="K767">
        <v>825</v>
      </c>
      <c r="L767" t="s">
        <v>1842</v>
      </c>
      <c r="M767">
        <v>14</v>
      </c>
      <c r="N767" t="str">
        <f>VLOOKUP(M767,[1]LOJA!$A:$B,2,0)</f>
        <v>S IA</v>
      </c>
      <c r="O767">
        <v>54</v>
      </c>
      <c r="P767" t="str">
        <f>VLOOKUP(O767,[1]OPERADORES!$A:$B,2,0)</f>
        <v>ROBSON</v>
      </c>
      <c r="Q767">
        <v>4</v>
      </c>
      <c r="S767" t="s">
        <v>1843</v>
      </c>
      <c r="T767" s="1">
        <v>45259</v>
      </c>
      <c r="U767">
        <v>-145.86000000000001</v>
      </c>
      <c r="V767">
        <v>-145.86000000000001</v>
      </c>
    </row>
    <row r="768" spans="1:22" x14ac:dyDescent="0.3">
      <c r="A768" t="s">
        <v>1839</v>
      </c>
      <c r="B768" t="s">
        <v>1840</v>
      </c>
      <c r="C768" t="s">
        <v>43</v>
      </c>
      <c r="D768" t="s">
        <v>1841</v>
      </c>
      <c r="E768" t="s">
        <v>15</v>
      </c>
      <c r="J768" s="1">
        <v>45434</v>
      </c>
      <c r="K768">
        <v>650</v>
      </c>
      <c r="L768" t="s">
        <v>1844</v>
      </c>
      <c r="M768">
        <v>14</v>
      </c>
      <c r="N768" t="str">
        <f>VLOOKUP(M768,[1]LOJA!$A:$B,2,0)</f>
        <v>S IA</v>
      </c>
      <c r="O768">
        <v>54</v>
      </c>
      <c r="P768" t="str">
        <f>VLOOKUP(O768,[1]OPERADORES!$A:$B,2,0)</f>
        <v>ROBSON</v>
      </c>
      <c r="Q768">
        <v>4</v>
      </c>
      <c r="S768" t="s">
        <v>1845</v>
      </c>
      <c r="T768" s="1">
        <v>45434</v>
      </c>
      <c r="U768">
        <v>-32</v>
      </c>
      <c r="V768">
        <v>-32</v>
      </c>
    </row>
    <row r="769" spans="1:22" x14ac:dyDescent="0.3">
      <c r="A769" t="s">
        <v>1846</v>
      </c>
      <c r="B769" t="s">
        <v>32</v>
      </c>
      <c r="C769" t="s">
        <v>1847</v>
      </c>
      <c r="D769" t="s">
        <v>1848</v>
      </c>
      <c r="E769" t="s">
        <v>15</v>
      </c>
      <c r="J769" s="1">
        <v>44872</v>
      </c>
      <c r="K769">
        <v>1212</v>
      </c>
      <c r="L769" t="s">
        <v>1849</v>
      </c>
      <c r="M769">
        <v>13</v>
      </c>
      <c r="N769" t="str">
        <f>VLOOKUP(M769,[1]LOJA!$A:$B,2,0)</f>
        <v>CEILÂNDIA</v>
      </c>
      <c r="O769">
        <v>67</v>
      </c>
      <c r="P769" t="str">
        <f>VLOOKUP(O769,[1]OPERADORES!$A:$B,2,0)</f>
        <v>ERIKA</v>
      </c>
      <c r="Q769">
        <v>4</v>
      </c>
      <c r="S769" t="s">
        <v>1850</v>
      </c>
      <c r="T769" s="1">
        <v>44872</v>
      </c>
      <c r="U769">
        <v>-4.6900000000000004</v>
      </c>
      <c r="V769">
        <v>-4.6900000000000004</v>
      </c>
    </row>
    <row r="770" spans="1:22" x14ac:dyDescent="0.3">
      <c r="A770" t="s">
        <v>1851</v>
      </c>
      <c r="B770" t="s">
        <v>1852</v>
      </c>
      <c r="C770" t="s">
        <v>13</v>
      </c>
      <c r="D770" t="s">
        <v>1853</v>
      </c>
      <c r="E770" t="s">
        <v>15</v>
      </c>
      <c r="J770" s="1">
        <v>45933</v>
      </c>
      <c r="K770">
        <v>151</v>
      </c>
      <c r="L770" t="s">
        <v>1854</v>
      </c>
      <c r="M770">
        <v>6</v>
      </c>
      <c r="N770" t="str">
        <f>VLOOKUP(M770,[1]LOJA!$A:$B,2,0)</f>
        <v>GAMA</v>
      </c>
      <c r="O770">
        <v>229</v>
      </c>
      <c r="P770" t="str">
        <f>VLOOKUP(O770,[1]OPERADORES!$A:$B,2,0)</f>
        <v>FRED</v>
      </c>
      <c r="Q770">
        <v>4</v>
      </c>
      <c r="S770" t="s">
        <v>1855</v>
      </c>
      <c r="T770" s="1">
        <v>45933</v>
      </c>
      <c r="U770">
        <v>-10.130000000000001</v>
      </c>
      <c r="V770">
        <v>-10.130000000000001</v>
      </c>
    </row>
    <row r="771" spans="1:22" x14ac:dyDescent="0.3">
      <c r="A771" t="s">
        <v>1856</v>
      </c>
      <c r="B771" t="s">
        <v>32</v>
      </c>
      <c r="C771" t="s">
        <v>13</v>
      </c>
      <c r="D771" t="s">
        <v>5647</v>
      </c>
      <c r="E771" t="s">
        <v>15</v>
      </c>
      <c r="J771" s="1">
        <v>45342</v>
      </c>
      <c r="K771">
        <v>742</v>
      </c>
      <c r="L771" t="s">
        <v>1857</v>
      </c>
      <c r="M771">
        <v>16</v>
      </c>
      <c r="N771" t="str">
        <f>VLOOKUP(M771,[1]LOJA!$A:$B,2,0)</f>
        <v>AG LINDAS</v>
      </c>
      <c r="O771">
        <v>107</v>
      </c>
      <c r="P771" t="str">
        <f>VLOOKUP(O771,[1]OPERADORES!$A:$B,2,0)</f>
        <v>DAIANA PORTELA</v>
      </c>
      <c r="Q771">
        <v>7</v>
      </c>
      <c r="S771" t="s">
        <v>1858</v>
      </c>
      <c r="T771" s="1">
        <v>45342</v>
      </c>
      <c r="U771">
        <v>-4</v>
      </c>
      <c r="V771">
        <v>-4</v>
      </c>
    </row>
    <row r="772" spans="1:22" x14ac:dyDescent="0.3">
      <c r="A772" t="s">
        <v>1860</v>
      </c>
      <c r="B772" t="s">
        <v>1861</v>
      </c>
      <c r="C772" t="s">
        <v>30</v>
      </c>
      <c r="D772" t="s">
        <v>1862</v>
      </c>
      <c r="E772" t="s">
        <v>15</v>
      </c>
      <c r="J772" s="1">
        <v>45188</v>
      </c>
      <c r="K772">
        <v>896</v>
      </c>
      <c r="L772" t="s">
        <v>1863</v>
      </c>
      <c r="M772">
        <v>9</v>
      </c>
      <c r="N772" t="str">
        <f>VLOOKUP(M772,[1]LOJA!$A:$B,2,0)</f>
        <v>ÚNICA</v>
      </c>
      <c r="O772">
        <v>196</v>
      </c>
      <c r="P772" t="str">
        <f>VLOOKUP(O772,[1]OPERADORES!$A:$B,2,0)</f>
        <v>KASSIANO MARCUS ALVES SILVA</v>
      </c>
      <c r="Q772">
        <v>23</v>
      </c>
      <c r="R772">
        <v>51312</v>
      </c>
      <c r="S772" t="s">
        <v>51</v>
      </c>
      <c r="T772" s="1">
        <v>45160</v>
      </c>
      <c r="U772">
        <v>263.79000000000002</v>
      </c>
      <c r="V772">
        <v>263.79000000000002</v>
      </c>
    </row>
    <row r="773" spans="1:22" x14ac:dyDescent="0.3">
      <c r="A773" t="s">
        <v>1860</v>
      </c>
      <c r="B773" t="s">
        <v>1861</v>
      </c>
      <c r="C773" t="s">
        <v>30</v>
      </c>
      <c r="D773" t="s">
        <v>1862</v>
      </c>
      <c r="E773" t="s">
        <v>15</v>
      </c>
      <c r="J773" s="1">
        <v>45216</v>
      </c>
      <c r="K773">
        <v>868</v>
      </c>
      <c r="L773" t="s">
        <v>1864</v>
      </c>
      <c r="M773">
        <v>9</v>
      </c>
      <c r="N773" t="str">
        <f>VLOOKUP(M773,[1]LOJA!$A:$B,2,0)</f>
        <v>ÚNICA</v>
      </c>
      <c r="O773">
        <v>196</v>
      </c>
      <c r="P773" t="str">
        <f>VLOOKUP(O773,[1]OPERADORES!$A:$B,2,0)</f>
        <v>KASSIANO MARCUS ALVES SILVA</v>
      </c>
      <c r="Q773">
        <v>23</v>
      </c>
      <c r="R773">
        <v>51320</v>
      </c>
      <c r="S773" t="s">
        <v>53</v>
      </c>
      <c r="T773" s="1">
        <v>45160</v>
      </c>
      <c r="U773">
        <v>263.79000000000002</v>
      </c>
      <c r="V773">
        <v>263.79000000000002</v>
      </c>
    </row>
    <row r="774" spans="1:22" x14ac:dyDescent="0.3">
      <c r="A774" t="s">
        <v>1860</v>
      </c>
      <c r="B774" t="s">
        <v>1861</v>
      </c>
      <c r="C774" t="s">
        <v>30</v>
      </c>
      <c r="D774" t="s">
        <v>1862</v>
      </c>
      <c r="E774" t="s">
        <v>15</v>
      </c>
      <c r="J774" s="1">
        <v>45244</v>
      </c>
      <c r="K774">
        <v>840</v>
      </c>
      <c r="L774" t="s">
        <v>1865</v>
      </c>
      <c r="M774">
        <v>9</v>
      </c>
      <c r="N774" t="str">
        <f>VLOOKUP(M774,[1]LOJA!$A:$B,2,0)</f>
        <v>ÚNICA</v>
      </c>
      <c r="O774">
        <v>196</v>
      </c>
      <c r="P774" t="str">
        <f>VLOOKUP(O774,[1]OPERADORES!$A:$B,2,0)</f>
        <v>KASSIANO MARCUS ALVES SILVA</v>
      </c>
      <c r="Q774">
        <v>23</v>
      </c>
      <c r="R774">
        <v>51338</v>
      </c>
      <c r="S774" t="s">
        <v>55</v>
      </c>
      <c r="T774" s="1">
        <v>45160</v>
      </c>
      <c r="U774">
        <v>263.79000000000002</v>
      </c>
      <c r="V774">
        <v>263.79000000000002</v>
      </c>
    </row>
    <row r="775" spans="1:22" x14ac:dyDescent="0.3">
      <c r="A775" t="s">
        <v>1866</v>
      </c>
      <c r="B775" t="s">
        <v>1867</v>
      </c>
      <c r="C775" t="s">
        <v>13</v>
      </c>
      <c r="D775" t="s">
        <v>1868</v>
      </c>
      <c r="E775" t="s">
        <v>15</v>
      </c>
      <c r="J775" s="1">
        <v>45670</v>
      </c>
      <c r="K775">
        <v>414</v>
      </c>
      <c r="L775" t="s">
        <v>1869</v>
      </c>
      <c r="M775">
        <v>4</v>
      </c>
      <c r="N775" t="str">
        <f>VLOOKUP(M775,[1]LOJA!$A:$B,2,0)</f>
        <v>ADE</v>
      </c>
      <c r="O775">
        <v>226</v>
      </c>
      <c r="P775" t="str">
        <f>VLOOKUP(O775,[1]OPERADORES!$A:$B,2,0)</f>
        <v>MARIA FÉLIX</v>
      </c>
      <c r="Q775">
        <v>4</v>
      </c>
      <c r="S775" t="s">
        <v>1870</v>
      </c>
      <c r="T775" s="1">
        <v>45670</v>
      </c>
      <c r="U775">
        <v>-17.82</v>
      </c>
      <c r="V775">
        <v>-17.82</v>
      </c>
    </row>
    <row r="776" spans="1:22" x14ac:dyDescent="0.3">
      <c r="A776" t="s">
        <v>1871</v>
      </c>
      <c r="B776" t="s">
        <v>1872</v>
      </c>
      <c r="C776" t="s">
        <v>13</v>
      </c>
      <c r="D776" t="s">
        <v>1873</v>
      </c>
      <c r="E776" t="s">
        <v>15</v>
      </c>
      <c r="J776" s="1">
        <v>44463</v>
      </c>
      <c r="K776">
        <v>1621</v>
      </c>
      <c r="L776" t="s">
        <v>1874</v>
      </c>
      <c r="M776">
        <v>4</v>
      </c>
      <c r="N776" t="str">
        <f>VLOOKUP(M776,[1]LOJA!$A:$B,2,0)</f>
        <v>ADE</v>
      </c>
      <c r="O776">
        <v>109</v>
      </c>
      <c r="P776" t="str">
        <f>VLOOKUP(O776,[1]OPERADORES!$A:$B,2,0)</f>
        <v>LIVIA DE SOUZA</v>
      </c>
      <c r="Q776">
        <v>4</v>
      </c>
      <c r="S776" t="s">
        <v>1875</v>
      </c>
      <c r="T776" s="1">
        <v>44463</v>
      </c>
      <c r="U776">
        <v>-65.86</v>
      </c>
      <c r="V776">
        <v>-65.86</v>
      </c>
    </row>
    <row r="777" spans="1:22" x14ac:dyDescent="0.3">
      <c r="A777" t="s">
        <v>1876</v>
      </c>
      <c r="B777" t="s">
        <v>1877</v>
      </c>
      <c r="C777" t="s">
        <v>13</v>
      </c>
      <c r="D777" t="s">
        <v>1878</v>
      </c>
      <c r="E777" t="s">
        <v>15</v>
      </c>
      <c r="J777" s="1">
        <v>45162</v>
      </c>
      <c r="K777">
        <v>922</v>
      </c>
      <c r="L777" t="s">
        <v>1879</v>
      </c>
      <c r="M777">
        <v>8</v>
      </c>
      <c r="N777" t="str">
        <f>VLOOKUP(M777,[1]LOJA!$A:$B,2,0)</f>
        <v>LUZIÂNIA</v>
      </c>
      <c r="O777">
        <v>20</v>
      </c>
      <c r="P777" t="str">
        <f>VLOOKUP(O777,[1]OPERADORES!$A:$B,2,0)</f>
        <v>MAYARA</v>
      </c>
      <c r="Q777">
        <v>22</v>
      </c>
      <c r="R777">
        <v>1000010333</v>
      </c>
      <c r="S777" t="s">
        <v>1880</v>
      </c>
      <c r="T777" s="1">
        <v>45131</v>
      </c>
      <c r="U777">
        <v>437.5</v>
      </c>
      <c r="V777">
        <v>437.5</v>
      </c>
    </row>
    <row r="778" spans="1:22" x14ac:dyDescent="0.3">
      <c r="A778" t="s">
        <v>1876</v>
      </c>
      <c r="B778" t="s">
        <v>1877</v>
      </c>
      <c r="C778" t="s">
        <v>13</v>
      </c>
      <c r="D778" t="s">
        <v>1878</v>
      </c>
      <c r="E778" t="s">
        <v>15</v>
      </c>
      <c r="J778" s="1">
        <v>45193</v>
      </c>
      <c r="K778">
        <v>891</v>
      </c>
      <c r="L778" t="s">
        <v>1881</v>
      </c>
      <c r="M778">
        <v>8</v>
      </c>
      <c r="N778" t="str">
        <f>VLOOKUP(M778,[1]LOJA!$A:$B,2,0)</f>
        <v>LUZIÂNIA</v>
      </c>
      <c r="O778">
        <v>20</v>
      </c>
      <c r="P778" t="str">
        <f>VLOOKUP(O778,[1]OPERADORES!$A:$B,2,0)</f>
        <v>MAYARA</v>
      </c>
      <c r="Q778">
        <v>22</v>
      </c>
      <c r="R778">
        <v>1000010334</v>
      </c>
      <c r="S778" t="s">
        <v>1882</v>
      </c>
      <c r="T778" s="1">
        <v>45131</v>
      </c>
      <c r="U778">
        <v>437.5</v>
      </c>
      <c r="V778">
        <v>437.5</v>
      </c>
    </row>
    <row r="779" spans="1:22" x14ac:dyDescent="0.3">
      <c r="A779" t="s">
        <v>1876</v>
      </c>
      <c r="B779" t="s">
        <v>1877</v>
      </c>
      <c r="C779" t="s">
        <v>13</v>
      </c>
      <c r="D779" t="s">
        <v>1878</v>
      </c>
      <c r="E779" t="s">
        <v>15</v>
      </c>
      <c r="J779" s="1">
        <v>45223</v>
      </c>
      <c r="K779">
        <v>861</v>
      </c>
      <c r="L779" t="s">
        <v>1883</v>
      </c>
      <c r="M779">
        <v>8</v>
      </c>
      <c r="N779" t="str">
        <f>VLOOKUP(M779,[1]LOJA!$A:$B,2,0)</f>
        <v>LUZIÂNIA</v>
      </c>
      <c r="O779">
        <v>20</v>
      </c>
      <c r="P779" t="str">
        <f>VLOOKUP(O779,[1]OPERADORES!$A:$B,2,0)</f>
        <v>MAYARA</v>
      </c>
      <c r="Q779">
        <v>22</v>
      </c>
      <c r="R779">
        <v>1000010335</v>
      </c>
      <c r="S779" t="s">
        <v>1884</v>
      </c>
      <c r="T779" s="1">
        <v>45131</v>
      </c>
      <c r="U779">
        <v>437.5</v>
      </c>
      <c r="V779">
        <v>437.5</v>
      </c>
    </row>
    <row r="780" spans="1:22" x14ac:dyDescent="0.3">
      <c r="A780" t="s">
        <v>1876</v>
      </c>
      <c r="B780" t="s">
        <v>1877</v>
      </c>
      <c r="C780" t="s">
        <v>13</v>
      </c>
      <c r="D780" t="s">
        <v>1878</v>
      </c>
      <c r="E780" t="s">
        <v>15</v>
      </c>
      <c r="J780" s="1">
        <v>45254</v>
      </c>
      <c r="K780">
        <v>830</v>
      </c>
      <c r="L780" t="s">
        <v>1885</v>
      </c>
      <c r="M780">
        <v>8</v>
      </c>
      <c r="N780" t="str">
        <f>VLOOKUP(M780,[1]LOJA!$A:$B,2,0)</f>
        <v>LUZIÂNIA</v>
      </c>
      <c r="O780">
        <v>20</v>
      </c>
      <c r="P780" t="str">
        <f>VLOOKUP(O780,[1]OPERADORES!$A:$B,2,0)</f>
        <v>MAYARA</v>
      </c>
      <c r="Q780">
        <v>22</v>
      </c>
      <c r="R780">
        <v>1000010336</v>
      </c>
      <c r="S780" t="s">
        <v>1884</v>
      </c>
      <c r="T780" s="1">
        <v>45131</v>
      </c>
      <c r="U780">
        <v>437.5</v>
      </c>
      <c r="V780">
        <v>437.5</v>
      </c>
    </row>
    <row r="781" spans="1:22" x14ac:dyDescent="0.3">
      <c r="A781" t="s">
        <v>1876</v>
      </c>
      <c r="B781" t="s">
        <v>1877</v>
      </c>
      <c r="C781" t="s">
        <v>13</v>
      </c>
      <c r="D781" t="s">
        <v>1878</v>
      </c>
      <c r="E781" t="s">
        <v>15</v>
      </c>
      <c r="J781" s="1">
        <v>45283</v>
      </c>
      <c r="K781">
        <v>801</v>
      </c>
      <c r="L781" t="s">
        <v>1886</v>
      </c>
      <c r="M781">
        <v>8</v>
      </c>
      <c r="N781" t="str">
        <f>VLOOKUP(M781,[1]LOJA!$A:$B,2,0)</f>
        <v>LUZIÂNIA</v>
      </c>
      <c r="O781">
        <v>20</v>
      </c>
      <c r="P781" t="str">
        <f>VLOOKUP(O781,[1]OPERADORES!$A:$B,2,0)</f>
        <v>MAYARA</v>
      </c>
      <c r="Q781">
        <v>22</v>
      </c>
      <c r="R781">
        <v>1000010337</v>
      </c>
      <c r="S781" t="s">
        <v>1884</v>
      </c>
      <c r="T781" s="1">
        <v>45131</v>
      </c>
      <c r="U781">
        <v>437.5</v>
      </c>
      <c r="V781">
        <v>437.5</v>
      </c>
    </row>
    <row r="782" spans="1:22" x14ac:dyDescent="0.3">
      <c r="A782" t="s">
        <v>1876</v>
      </c>
      <c r="B782" t="s">
        <v>1877</v>
      </c>
      <c r="C782" t="s">
        <v>13</v>
      </c>
      <c r="D782" t="s">
        <v>1878</v>
      </c>
      <c r="E782" t="s">
        <v>15</v>
      </c>
      <c r="J782" s="1">
        <v>45320</v>
      </c>
      <c r="K782">
        <v>764</v>
      </c>
      <c r="L782" t="s">
        <v>1887</v>
      </c>
      <c r="M782">
        <v>8</v>
      </c>
      <c r="N782" t="str">
        <f>VLOOKUP(M782,[1]LOJA!$A:$B,2,0)</f>
        <v>LUZIÂNIA</v>
      </c>
      <c r="O782">
        <v>170</v>
      </c>
      <c r="P782" t="str">
        <f>VLOOKUP(O782,[1]OPERADORES!$A:$B,2,0)</f>
        <v>MARIA LUISA</v>
      </c>
      <c r="Q782">
        <v>4</v>
      </c>
      <c r="S782" t="s">
        <v>1888</v>
      </c>
      <c r="T782" s="1">
        <v>45320</v>
      </c>
      <c r="U782">
        <v>-62.5</v>
      </c>
      <c r="V782">
        <v>-62.5</v>
      </c>
    </row>
    <row r="783" spans="1:22" x14ac:dyDescent="0.3">
      <c r="A783" t="s">
        <v>1876</v>
      </c>
      <c r="B783" t="s">
        <v>1877</v>
      </c>
      <c r="C783" t="s">
        <v>13</v>
      </c>
      <c r="D783" t="s">
        <v>1878</v>
      </c>
      <c r="E783" t="s">
        <v>15</v>
      </c>
      <c r="J783" s="1">
        <v>45346</v>
      </c>
      <c r="K783">
        <v>738</v>
      </c>
      <c r="L783" t="s">
        <v>1889</v>
      </c>
      <c r="M783">
        <v>8</v>
      </c>
      <c r="N783" t="str">
        <f>VLOOKUP(M783,[1]LOJA!$A:$B,2,0)</f>
        <v>LUZIÂNIA</v>
      </c>
      <c r="O783">
        <v>84</v>
      </c>
      <c r="P783" t="str">
        <f>VLOOKUP(O783,[1]OPERADORES!$A:$B,2,0)</f>
        <v>JEICY AZEVEDO</v>
      </c>
      <c r="Q783">
        <v>22</v>
      </c>
      <c r="R783">
        <v>1000010331</v>
      </c>
      <c r="S783" t="s">
        <v>1890</v>
      </c>
      <c r="T783" s="1">
        <v>44533</v>
      </c>
      <c r="U783">
        <v>437.5</v>
      </c>
      <c r="V783">
        <v>437.5</v>
      </c>
    </row>
    <row r="784" spans="1:22" x14ac:dyDescent="0.3">
      <c r="A784" t="s">
        <v>1876</v>
      </c>
      <c r="B784" t="s">
        <v>1877</v>
      </c>
      <c r="C784" t="s">
        <v>13</v>
      </c>
      <c r="D784" t="s">
        <v>1878</v>
      </c>
      <c r="E784" t="s">
        <v>15</v>
      </c>
      <c r="J784" s="1">
        <v>45375</v>
      </c>
      <c r="K784">
        <v>709</v>
      </c>
      <c r="L784" t="s">
        <v>1891</v>
      </c>
      <c r="M784">
        <v>8</v>
      </c>
      <c r="N784" t="str">
        <f>VLOOKUP(M784,[1]LOJA!$A:$B,2,0)</f>
        <v>LUZIÂNIA</v>
      </c>
      <c r="O784">
        <v>20</v>
      </c>
      <c r="P784" t="str">
        <f>VLOOKUP(O784,[1]OPERADORES!$A:$B,2,0)</f>
        <v>MAYARA</v>
      </c>
      <c r="Q784">
        <v>22</v>
      </c>
      <c r="R784">
        <v>1000010332</v>
      </c>
      <c r="S784" t="s">
        <v>1892</v>
      </c>
      <c r="T784" s="1">
        <v>44579</v>
      </c>
      <c r="U784">
        <v>437.5</v>
      </c>
      <c r="V784">
        <v>437.5</v>
      </c>
    </row>
    <row r="785" spans="1:22" x14ac:dyDescent="0.3">
      <c r="A785" t="s">
        <v>1876</v>
      </c>
      <c r="B785" t="s">
        <v>1877</v>
      </c>
      <c r="C785" t="s">
        <v>13</v>
      </c>
      <c r="D785" t="s">
        <v>1878</v>
      </c>
      <c r="E785" t="s">
        <v>15</v>
      </c>
      <c r="J785" s="1">
        <v>46020</v>
      </c>
      <c r="K785">
        <v>64</v>
      </c>
      <c r="L785" t="s">
        <v>1893</v>
      </c>
      <c r="M785">
        <v>24</v>
      </c>
      <c r="N785" t="str">
        <f>VLOOKUP(M785,[1]LOJA!$A:$B,2,0)</f>
        <v>LUZIÂNIA</v>
      </c>
      <c r="O785">
        <v>98</v>
      </c>
      <c r="P785" t="str">
        <f>VLOOKUP(O785,[1]OPERADORES!$A:$B,2,0)</f>
        <v xml:space="preserve">ARIGLEICE </v>
      </c>
      <c r="Q785">
        <v>4</v>
      </c>
      <c r="S785" t="s">
        <v>1894</v>
      </c>
      <c r="T785" s="1">
        <v>45911</v>
      </c>
      <c r="U785">
        <v>-37.11</v>
      </c>
      <c r="V785">
        <v>-37.11</v>
      </c>
    </row>
    <row r="786" spans="1:22" x14ac:dyDescent="0.3">
      <c r="A786" t="s">
        <v>1895</v>
      </c>
      <c r="B786" t="s">
        <v>1896</v>
      </c>
      <c r="C786" t="s">
        <v>13</v>
      </c>
      <c r="D786" t="s">
        <v>1897</v>
      </c>
      <c r="E786" t="s">
        <v>15</v>
      </c>
      <c r="J786" s="1">
        <v>45741</v>
      </c>
      <c r="K786">
        <v>343</v>
      </c>
      <c r="L786" t="s">
        <v>1898</v>
      </c>
      <c r="M786">
        <v>9</v>
      </c>
      <c r="N786" t="str">
        <f>VLOOKUP(M786,[1]LOJA!$A:$B,2,0)</f>
        <v>ÚNICA</v>
      </c>
      <c r="O786">
        <v>234</v>
      </c>
      <c r="P786" t="str">
        <f>VLOOKUP(O786,[1]OPERADORES!$A:$B,2,0)</f>
        <v>MARCOS AURÉLIO</v>
      </c>
      <c r="Q786">
        <v>23</v>
      </c>
      <c r="R786">
        <v>143994</v>
      </c>
      <c r="S786" t="s">
        <v>51</v>
      </c>
      <c r="T786" s="1">
        <v>45713</v>
      </c>
      <c r="U786">
        <v>318.07</v>
      </c>
      <c r="V786">
        <v>318.07</v>
      </c>
    </row>
    <row r="787" spans="1:22" x14ac:dyDescent="0.3">
      <c r="A787" t="s">
        <v>1895</v>
      </c>
      <c r="B787" t="s">
        <v>1896</v>
      </c>
      <c r="C787" t="s">
        <v>13</v>
      </c>
      <c r="D787" t="s">
        <v>1897</v>
      </c>
      <c r="E787" t="s">
        <v>15</v>
      </c>
      <c r="J787" s="1">
        <v>45744</v>
      </c>
      <c r="K787">
        <v>340</v>
      </c>
      <c r="L787" t="s">
        <v>1899</v>
      </c>
      <c r="M787">
        <v>9</v>
      </c>
      <c r="N787" t="str">
        <f>VLOOKUP(M787,[1]LOJA!$A:$B,2,0)</f>
        <v>ÚNICA</v>
      </c>
      <c r="O787">
        <v>234</v>
      </c>
      <c r="P787" t="str">
        <f>VLOOKUP(O787,[1]OPERADORES!$A:$B,2,0)</f>
        <v>MARCOS AURÉLIO</v>
      </c>
      <c r="Q787">
        <v>23</v>
      </c>
      <c r="R787">
        <v>139190</v>
      </c>
      <c r="S787" t="s">
        <v>46</v>
      </c>
      <c r="T787" s="1">
        <v>45688</v>
      </c>
      <c r="U787" s="2">
        <v>1098.97</v>
      </c>
      <c r="V787" s="2">
        <v>1098.97</v>
      </c>
    </row>
    <row r="788" spans="1:22" x14ac:dyDescent="0.3">
      <c r="A788" t="s">
        <v>1895</v>
      </c>
      <c r="B788" t="s">
        <v>1896</v>
      </c>
      <c r="C788" t="s">
        <v>13</v>
      </c>
      <c r="D788" t="s">
        <v>1897</v>
      </c>
      <c r="E788" t="s">
        <v>15</v>
      </c>
      <c r="J788" s="1">
        <v>45744</v>
      </c>
      <c r="K788">
        <v>340</v>
      </c>
      <c r="L788" t="s">
        <v>1900</v>
      </c>
      <c r="M788">
        <v>9</v>
      </c>
      <c r="N788" t="str">
        <f>VLOOKUP(M788,[1]LOJA!$A:$B,2,0)</f>
        <v>ÚNICA</v>
      </c>
      <c r="O788">
        <v>234</v>
      </c>
      <c r="P788" t="str">
        <f>VLOOKUP(O788,[1]OPERADORES!$A:$B,2,0)</f>
        <v>MARCOS AURÉLIO</v>
      </c>
      <c r="Q788">
        <v>23</v>
      </c>
      <c r="R788">
        <v>144695</v>
      </c>
      <c r="S788" t="s">
        <v>51</v>
      </c>
      <c r="T788" s="1">
        <v>45716</v>
      </c>
      <c r="U788">
        <v>412</v>
      </c>
      <c r="V788">
        <v>412</v>
      </c>
    </row>
    <row r="789" spans="1:22" x14ac:dyDescent="0.3">
      <c r="A789" t="s">
        <v>1895</v>
      </c>
      <c r="B789" t="s">
        <v>1896</v>
      </c>
      <c r="C789" t="s">
        <v>13</v>
      </c>
      <c r="D789" t="s">
        <v>1897</v>
      </c>
      <c r="E789" t="s">
        <v>15</v>
      </c>
      <c r="J789" s="1">
        <v>45755</v>
      </c>
      <c r="K789">
        <v>329</v>
      </c>
      <c r="L789" t="s">
        <v>1901</v>
      </c>
      <c r="M789">
        <v>9</v>
      </c>
      <c r="N789" t="str">
        <f>VLOOKUP(M789,[1]LOJA!$A:$B,2,0)</f>
        <v>ÚNICA</v>
      </c>
      <c r="O789">
        <v>234</v>
      </c>
      <c r="P789" t="str">
        <f>VLOOKUP(O789,[1]OPERADORES!$A:$B,2,0)</f>
        <v>MARCOS AURÉLIO</v>
      </c>
      <c r="Q789">
        <v>23</v>
      </c>
      <c r="R789">
        <v>134613</v>
      </c>
      <c r="S789" t="s">
        <v>55</v>
      </c>
      <c r="T789" s="1">
        <v>45671</v>
      </c>
      <c r="U789">
        <v>815.36</v>
      </c>
      <c r="V789">
        <v>815.36</v>
      </c>
    </row>
    <row r="790" spans="1:22" x14ac:dyDescent="0.3">
      <c r="A790" t="s">
        <v>1895</v>
      </c>
      <c r="B790" t="s">
        <v>1896</v>
      </c>
      <c r="C790" t="s">
        <v>13</v>
      </c>
      <c r="D790" t="s">
        <v>1897</v>
      </c>
      <c r="E790" t="s">
        <v>15</v>
      </c>
      <c r="J790" s="1">
        <v>45755</v>
      </c>
      <c r="K790">
        <v>329</v>
      </c>
      <c r="L790" t="s">
        <v>1902</v>
      </c>
      <c r="M790">
        <v>9</v>
      </c>
      <c r="N790" t="str">
        <f>VLOOKUP(M790,[1]LOJA!$A:$B,2,0)</f>
        <v>ÚNICA</v>
      </c>
      <c r="O790">
        <v>234</v>
      </c>
      <c r="P790" t="str">
        <f>VLOOKUP(O790,[1]OPERADORES!$A:$B,2,0)</f>
        <v>MARCOS AURÉLIO</v>
      </c>
      <c r="Q790">
        <v>23</v>
      </c>
      <c r="R790">
        <v>146518</v>
      </c>
      <c r="S790" t="s">
        <v>51</v>
      </c>
      <c r="T790" s="1">
        <v>45727</v>
      </c>
      <c r="U790">
        <v>764.34</v>
      </c>
      <c r="V790">
        <v>764.34</v>
      </c>
    </row>
    <row r="791" spans="1:22" x14ac:dyDescent="0.3">
      <c r="A791" t="s">
        <v>1895</v>
      </c>
      <c r="B791" t="s">
        <v>1896</v>
      </c>
      <c r="C791" t="s">
        <v>13</v>
      </c>
      <c r="D791" t="s">
        <v>1897</v>
      </c>
      <c r="E791" t="s">
        <v>15</v>
      </c>
      <c r="J791" s="1">
        <v>45756</v>
      </c>
      <c r="K791">
        <v>328</v>
      </c>
      <c r="L791" t="s">
        <v>1903</v>
      </c>
      <c r="M791">
        <v>9</v>
      </c>
      <c r="N791" t="str">
        <f>VLOOKUP(M791,[1]LOJA!$A:$B,2,0)</f>
        <v>ÚNICA</v>
      </c>
      <c r="O791">
        <v>234</v>
      </c>
      <c r="P791" t="str">
        <f>VLOOKUP(O791,[1]OPERADORES!$A:$B,2,0)</f>
        <v>MARCOS AURÉLIO</v>
      </c>
      <c r="Q791">
        <v>23</v>
      </c>
      <c r="R791">
        <v>135073</v>
      </c>
      <c r="S791" t="s">
        <v>55</v>
      </c>
      <c r="T791" s="1">
        <v>45672</v>
      </c>
      <c r="U791">
        <v>864.99</v>
      </c>
      <c r="V791">
        <v>864.99</v>
      </c>
    </row>
    <row r="792" spans="1:22" x14ac:dyDescent="0.3">
      <c r="A792" t="s">
        <v>1895</v>
      </c>
      <c r="B792" t="s">
        <v>1896</v>
      </c>
      <c r="C792" t="s">
        <v>13</v>
      </c>
      <c r="D792" t="s">
        <v>1897</v>
      </c>
      <c r="E792" t="s">
        <v>15</v>
      </c>
      <c r="J792" s="1">
        <v>45757</v>
      </c>
      <c r="K792">
        <v>327</v>
      </c>
      <c r="L792" t="s">
        <v>1904</v>
      </c>
      <c r="M792">
        <v>9</v>
      </c>
      <c r="N792" t="str">
        <f>VLOOKUP(M792,[1]LOJA!$A:$B,2,0)</f>
        <v>ÚNICA</v>
      </c>
      <c r="O792">
        <v>234</v>
      </c>
      <c r="P792" t="str">
        <f>VLOOKUP(O792,[1]OPERADORES!$A:$B,2,0)</f>
        <v>MARCOS AURÉLIO</v>
      </c>
      <c r="Q792">
        <v>23</v>
      </c>
      <c r="R792">
        <v>142038</v>
      </c>
      <c r="S792" t="s">
        <v>53</v>
      </c>
      <c r="T792" s="1">
        <v>45701</v>
      </c>
      <c r="U792">
        <v>557.16</v>
      </c>
      <c r="V792">
        <v>557.16</v>
      </c>
    </row>
    <row r="793" spans="1:22" x14ac:dyDescent="0.3">
      <c r="A793" t="s">
        <v>1895</v>
      </c>
      <c r="B793" t="s">
        <v>1896</v>
      </c>
      <c r="C793" t="s">
        <v>13</v>
      </c>
      <c r="D793" t="s">
        <v>1897</v>
      </c>
      <c r="E793" t="s">
        <v>15</v>
      </c>
      <c r="J793" s="1">
        <v>45758</v>
      </c>
      <c r="K793">
        <v>326</v>
      </c>
      <c r="L793" t="s">
        <v>1905</v>
      </c>
      <c r="M793">
        <v>9</v>
      </c>
      <c r="N793" t="str">
        <f>VLOOKUP(M793,[1]LOJA!$A:$B,2,0)</f>
        <v>ÚNICA</v>
      </c>
      <c r="O793">
        <v>234</v>
      </c>
      <c r="P793" t="str">
        <f>VLOOKUP(O793,[1]OPERADORES!$A:$B,2,0)</f>
        <v>MARCOS AURÉLIO</v>
      </c>
      <c r="Q793">
        <v>23</v>
      </c>
      <c r="R793">
        <v>147540</v>
      </c>
      <c r="S793" t="s">
        <v>1169</v>
      </c>
      <c r="T793" s="1">
        <v>45730</v>
      </c>
      <c r="U793" s="2">
        <v>1197.5</v>
      </c>
      <c r="V793" s="2">
        <v>1197.5</v>
      </c>
    </row>
    <row r="794" spans="1:22" x14ac:dyDescent="0.3">
      <c r="A794" t="s">
        <v>1895</v>
      </c>
      <c r="B794" t="s">
        <v>1896</v>
      </c>
      <c r="C794" t="s">
        <v>13</v>
      </c>
      <c r="D794" t="s">
        <v>1897</v>
      </c>
      <c r="E794" t="s">
        <v>15</v>
      </c>
      <c r="J794" s="1">
        <v>45769</v>
      </c>
      <c r="K794">
        <v>315</v>
      </c>
      <c r="L794" t="s">
        <v>1906</v>
      </c>
      <c r="M794">
        <v>9</v>
      </c>
      <c r="N794" t="str">
        <f>VLOOKUP(M794,[1]LOJA!$A:$B,2,0)</f>
        <v>ÚNICA</v>
      </c>
      <c r="O794">
        <v>234</v>
      </c>
      <c r="P794" t="str">
        <f>VLOOKUP(O794,[1]OPERADORES!$A:$B,2,0)</f>
        <v>MARCOS AURÉLIO</v>
      </c>
      <c r="Q794">
        <v>23</v>
      </c>
      <c r="R794">
        <v>144000</v>
      </c>
      <c r="S794" t="s">
        <v>53</v>
      </c>
      <c r="T794" s="1">
        <v>45713</v>
      </c>
      <c r="U794">
        <v>318.07</v>
      </c>
      <c r="V794">
        <v>318.07</v>
      </c>
    </row>
    <row r="795" spans="1:22" x14ac:dyDescent="0.3">
      <c r="A795" t="s">
        <v>1895</v>
      </c>
      <c r="B795" t="s">
        <v>1896</v>
      </c>
      <c r="C795" t="s">
        <v>13</v>
      </c>
      <c r="D795" t="s">
        <v>1897</v>
      </c>
      <c r="E795" t="s">
        <v>15</v>
      </c>
      <c r="J795" s="1">
        <v>45772</v>
      </c>
      <c r="K795">
        <v>312</v>
      </c>
      <c r="L795" t="s">
        <v>1907</v>
      </c>
      <c r="M795">
        <v>9</v>
      </c>
      <c r="N795" t="str">
        <f>VLOOKUP(M795,[1]LOJA!$A:$B,2,0)</f>
        <v>ÚNICA</v>
      </c>
      <c r="O795">
        <v>234</v>
      </c>
      <c r="P795" t="str">
        <f>VLOOKUP(O795,[1]OPERADORES!$A:$B,2,0)</f>
        <v>MARCOS AURÉLIO</v>
      </c>
      <c r="Q795">
        <v>23</v>
      </c>
      <c r="R795">
        <v>144703</v>
      </c>
      <c r="S795" t="s">
        <v>53</v>
      </c>
      <c r="T795" s="1">
        <v>45716</v>
      </c>
      <c r="U795">
        <v>412</v>
      </c>
      <c r="V795">
        <v>412</v>
      </c>
    </row>
    <row r="796" spans="1:22" x14ac:dyDescent="0.3">
      <c r="A796" t="s">
        <v>1895</v>
      </c>
      <c r="B796" t="s">
        <v>1896</v>
      </c>
      <c r="C796" t="s">
        <v>13</v>
      </c>
      <c r="D796" t="s">
        <v>1897</v>
      </c>
      <c r="E796" t="s">
        <v>15</v>
      </c>
      <c r="J796" s="1">
        <v>45772</v>
      </c>
      <c r="K796">
        <v>312</v>
      </c>
      <c r="L796" t="s">
        <v>1908</v>
      </c>
      <c r="M796">
        <v>9</v>
      </c>
      <c r="N796" t="str">
        <f>VLOOKUP(M796,[1]LOJA!$A:$B,2,0)</f>
        <v>ÚNICA</v>
      </c>
      <c r="O796">
        <v>234</v>
      </c>
      <c r="P796" t="str">
        <f>VLOOKUP(O796,[1]OPERADORES!$A:$B,2,0)</f>
        <v>MARCOS AURÉLIO</v>
      </c>
      <c r="Q796">
        <v>23</v>
      </c>
      <c r="R796">
        <v>147557</v>
      </c>
      <c r="S796" t="s">
        <v>972</v>
      </c>
      <c r="T796" s="1">
        <v>45730</v>
      </c>
      <c r="U796" s="2">
        <v>1197.5</v>
      </c>
      <c r="V796" s="2">
        <v>1197.5</v>
      </c>
    </row>
    <row r="797" spans="1:22" x14ac:dyDescent="0.3">
      <c r="A797" t="s">
        <v>1895</v>
      </c>
      <c r="B797" t="s">
        <v>1896</v>
      </c>
      <c r="C797" t="s">
        <v>13</v>
      </c>
      <c r="D797" t="s">
        <v>1897</v>
      </c>
      <c r="E797" t="s">
        <v>15</v>
      </c>
      <c r="J797" s="1">
        <v>45783</v>
      </c>
      <c r="K797">
        <v>301</v>
      </c>
      <c r="L797" t="s">
        <v>1909</v>
      </c>
      <c r="M797">
        <v>9</v>
      </c>
      <c r="N797" t="str">
        <f>VLOOKUP(M797,[1]LOJA!$A:$B,2,0)</f>
        <v>ÚNICA</v>
      </c>
      <c r="O797">
        <v>234</v>
      </c>
      <c r="P797" t="str">
        <f>VLOOKUP(O797,[1]OPERADORES!$A:$B,2,0)</f>
        <v>MARCOS AURÉLIO</v>
      </c>
      <c r="Q797">
        <v>23</v>
      </c>
      <c r="R797">
        <v>146526</v>
      </c>
      <c r="S797" t="s">
        <v>53</v>
      </c>
      <c r="T797" s="1">
        <v>45727</v>
      </c>
      <c r="U797">
        <v>764.34</v>
      </c>
      <c r="V797">
        <v>764.34</v>
      </c>
    </row>
    <row r="798" spans="1:22" x14ac:dyDescent="0.3">
      <c r="A798" t="s">
        <v>1895</v>
      </c>
      <c r="B798" t="s">
        <v>1896</v>
      </c>
      <c r="C798" t="s">
        <v>13</v>
      </c>
      <c r="D798" t="s">
        <v>1897</v>
      </c>
      <c r="E798" t="s">
        <v>15</v>
      </c>
      <c r="J798" s="1">
        <v>45785</v>
      </c>
      <c r="K798">
        <v>299</v>
      </c>
      <c r="L798" t="s">
        <v>1910</v>
      </c>
      <c r="M798">
        <v>9</v>
      </c>
      <c r="N798" t="str">
        <f>VLOOKUP(M798,[1]LOJA!$A:$B,2,0)</f>
        <v>ÚNICA</v>
      </c>
      <c r="O798">
        <v>234</v>
      </c>
      <c r="P798" t="str">
        <f>VLOOKUP(O798,[1]OPERADORES!$A:$B,2,0)</f>
        <v>MARCOS AURÉLIO</v>
      </c>
      <c r="Q798">
        <v>23</v>
      </c>
      <c r="R798">
        <v>142046</v>
      </c>
      <c r="S798" t="s">
        <v>55</v>
      </c>
      <c r="T798" s="1">
        <v>45701</v>
      </c>
      <c r="U798">
        <v>557.16</v>
      </c>
      <c r="V798">
        <v>557.16</v>
      </c>
    </row>
    <row r="799" spans="1:22" x14ac:dyDescent="0.3">
      <c r="A799" t="s">
        <v>1895</v>
      </c>
      <c r="B799" t="s">
        <v>1896</v>
      </c>
      <c r="C799" t="s">
        <v>13</v>
      </c>
      <c r="D799" t="s">
        <v>1897</v>
      </c>
      <c r="E799" t="s">
        <v>15</v>
      </c>
      <c r="J799" s="1">
        <v>45786</v>
      </c>
      <c r="K799">
        <v>298</v>
      </c>
      <c r="L799" t="s">
        <v>1911</v>
      </c>
      <c r="M799">
        <v>9</v>
      </c>
      <c r="N799" t="str">
        <f>VLOOKUP(M799,[1]LOJA!$A:$B,2,0)</f>
        <v>ÚNICA</v>
      </c>
      <c r="O799">
        <v>234</v>
      </c>
      <c r="P799" t="str">
        <f>VLOOKUP(O799,[1]OPERADORES!$A:$B,2,0)</f>
        <v>MARCOS AURÉLIO</v>
      </c>
      <c r="Q799">
        <v>23</v>
      </c>
      <c r="R799">
        <v>147565</v>
      </c>
      <c r="S799" t="s">
        <v>976</v>
      </c>
      <c r="T799" s="1">
        <v>45730</v>
      </c>
      <c r="U799" s="2">
        <v>1197.5</v>
      </c>
      <c r="V799" s="2">
        <v>1197.5</v>
      </c>
    </row>
    <row r="800" spans="1:22" x14ac:dyDescent="0.3">
      <c r="A800" t="s">
        <v>1895</v>
      </c>
      <c r="B800" t="s">
        <v>1896</v>
      </c>
      <c r="C800" t="s">
        <v>13</v>
      </c>
      <c r="D800" t="s">
        <v>1897</v>
      </c>
      <c r="E800" t="s">
        <v>15</v>
      </c>
      <c r="J800" s="1">
        <v>45797</v>
      </c>
      <c r="K800">
        <v>287</v>
      </c>
      <c r="L800" t="s">
        <v>1912</v>
      </c>
      <c r="M800">
        <v>9</v>
      </c>
      <c r="N800" t="str">
        <f>VLOOKUP(M800,[1]LOJA!$A:$B,2,0)</f>
        <v>ÚNICA</v>
      </c>
      <c r="O800">
        <v>234</v>
      </c>
      <c r="P800" t="str">
        <f>VLOOKUP(O800,[1]OPERADORES!$A:$B,2,0)</f>
        <v>MARCOS AURÉLIO</v>
      </c>
      <c r="Q800">
        <v>23</v>
      </c>
      <c r="R800">
        <v>144018</v>
      </c>
      <c r="S800" t="s">
        <v>55</v>
      </c>
      <c r="T800" s="1">
        <v>45713</v>
      </c>
      <c r="U800">
        <v>318.06</v>
      </c>
      <c r="V800">
        <v>318.06</v>
      </c>
    </row>
    <row r="801" spans="1:22" x14ac:dyDescent="0.3">
      <c r="A801" t="s">
        <v>1895</v>
      </c>
      <c r="B801" t="s">
        <v>1896</v>
      </c>
      <c r="C801" t="s">
        <v>13</v>
      </c>
      <c r="D801" t="s">
        <v>1897</v>
      </c>
      <c r="E801" t="s">
        <v>15</v>
      </c>
      <c r="J801" s="1">
        <v>45800</v>
      </c>
      <c r="K801">
        <v>284</v>
      </c>
      <c r="L801" t="s">
        <v>1913</v>
      </c>
      <c r="M801">
        <v>9</v>
      </c>
      <c r="N801" t="str">
        <f>VLOOKUP(M801,[1]LOJA!$A:$B,2,0)</f>
        <v>ÚNICA</v>
      </c>
      <c r="O801">
        <v>234</v>
      </c>
      <c r="P801" t="str">
        <f>VLOOKUP(O801,[1]OPERADORES!$A:$B,2,0)</f>
        <v>MARCOS AURÉLIO</v>
      </c>
      <c r="Q801">
        <v>23</v>
      </c>
      <c r="R801">
        <v>144711</v>
      </c>
      <c r="S801" t="s">
        <v>55</v>
      </c>
      <c r="T801" s="1">
        <v>45716</v>
      </c>
      <c r="U801">
        <v>412</v>
      </c>
      <c r="V801">
        <v>412</v>
      </c>
    </row>
    <row r="802" spans="1:22" x14ac:dyDescent="0.3">
      <c r="A802" t="s">
        <v>1895</v>
      </c>
      <c r="B802" t="s">
        <v>1896</v>
      </c>
      <c r="C802" t="s">
        <v>13</v>
      </c>
      <c r="D802" t="s">
        <v>1897</v>
      </c>
      <c r="E802" t="s">
        <v>15</v>
      </c>
      <c r="J802" s="1">
        <v>45802</v>
      </c>
      <c r="K802">
        <v>282</v>
      </c>
      <c r="L802" t="s">
        <v>1914</v>
      </c>
      <c r="M802">
        <v>9</v>
      </c>
      <c r="N802" t="str">
        <f>VLOOKUP(M802,[1]LOJA!$A:$B,2,0)</f>
        <v>ÚNICA</v>
      </c>
      <c r="O802">
        <v>234</v>
      </c>
      <c r="P802" t="str">
        <f>VLOOKUP(O802,[1]OPERADORES!$A:$B,2,0)</f>
        <v>MARCOS AURÉLIO</v>
      </c>
      <c r="Q802">
        <v>23</v>
      </c>
      <c r="R802">
        <v>147573</v>
      </c>
      <c r="S802" t="s">
        <v>780</v>
      </c>
      <c r="T802" s="1">
        <v>45730</v>
      </c>
      <c r="U802" s="2">
        <v>1197.5</v>
      </c>
      <c r="V802" s="2">
        <v>1197.5</v>
      </c>
    </row>
    <row r="803" spans="1:22" x14ac:dyDescent="0.3">
      <c r="A803" t="s">
        <v>1895</v>
      </c>
      <c r="B803" t="s">
        <v>1896</v>
      </c>
      <c r="C803" t="s">
        <v>13</v>
      </c>
      <c r="D803" t="s">
        <v>1897</v>
      </c>
      <c r="E803" t="s">
        <v>15</v>
      </c>
      <c r="J803" s="1">
        <v>45811</v>
      </c>
      <c r="K803">
        <v>273</v>
      </c>
      <c r="L803" t="s">
        <v>1915</v>
      </c>
      <c r="M803">
        <v>9</v>
      </c>
      <c r="N803" t="str">
        <f>VLOOKUP(M803,[1]LOJA!$A:$B,2,0)</f>
        <v>ÚNICA</v>
      </c>
      <c r="O803">
        <v>234</v>
      </c>
      <c r="P803" t="str">
        <f>VLOOKUP(O803,[1]OPERADORES!$A:$B,2,0)</f>
        <v>MARCOS AURÉLIO</v>
      </c>
      <c r="Q803">
        <v>23</v>
      </c>
      <c r="R803">
        <v>146534</v>
      </c>
      <c r="S803" t="s">
        <v>55</v>
      </c>
      <c r="T803" s="1">
        <v>45727</v>
      </c>
      <c r="U803">
        <v>764.33</v>
      </c>
      <c r="V803">
        <v>764.33</v>
      </c>
    </row>
    <row r="804" spans="1:22" x14ac:dyDescent="0.3">
      <c r="A804" t="s">
        <v>1916</v>
      </c>
      <c r="B804" t="s">
        <v>1917</v>
      </c>
      <c r="C804" t="s">
        <v>13</v>
      </c>
      <c r="D804" t="s">
        <v>760</v>
      </c>
      <c r="E804" t="s">
        <v>15</v>
      </c>
      <c r="J804" s="1">
        <v>45747</v>
      </c>
      <c r="K804">
        <v>337</v>
      </c>
      <c r="L804" t="s">
        <v>1918</v>
      </c>
      <c r="M804">
        <v>14</v>
      </c>
      <c r="N804" t="str">
        <f>VLOOKUP(M804,[1]LOJA!$A:$B,2,0)</f>
        <v>S IA</v>
      </c>
      <c r="O804">
        <v>212</v>
      </c>
      <c r="P804" t="str">
        <f>VLOOKUP(O804,[1]OPERADORES!$A:$B,2,0)</f>
        <v>YASMIN</v>
      </c>
      <c r="Q804">
        <v>4</v>
      </c>
      <c r="S804" t="s">
        <v>1919</v>
      </c>
      <c r="T804" s="1">
        <v>45747</v>
      </c>
      <c r="U804">
        <v>-0.02</v>
      </c>
      <c r="V804">
        <v>-0.02</v>
      </c>
    </row>
    <row r="805" spans="1:22" x14ac:dyDescent="0.3">
      <c r="A805" t="s">
        <v>1920</v>
      </c>
      <c r="B805" t="s">
        <v>1921</v>
      </c>
      <c r="C805" t="s">
        <v>13</v>
      </c>
      <c r="D805" t="s">
        <v>1922</v>
      </c>
      <c r="E805" t="s">
        <v>15</v>
      </c>
      <c r="J805" s="1">
        <v>44525</v>
      </c>
      <c r="K805">
        <v>1559</v>
      </c>
      <c r="L805" t="s">
        <v>1923</v>
      </c>
      <c r="M805">
        <v>12</v>
      </c>
      <c r="N805" t="str">
        <f>VLOOKUP(M805,[1]LOJA!$A:$B,2,0)</f>
        <v>SOFNORTE</v>
      </c>
      <c r="O805">
        <v>127</v>
      </c>
      <c r="P805" t="str">
        <f>VLOOKUP(O805,[1]OPERADORES!$A:$B,2,0)</f>
        <v>KARLA CRISTYNA ALVES FIGUEIRED</v>
      </c>
      <c r="Q805">
        <v>7</v>
      </c>
      <c r="S805" t="s">
        <v>1924</v>
      </c>
      <c r="T805" s="1">
        <v>44495</v>
      </c>
      <c r="U805">
        <v>744.51</v>
      </c>
      <c r="V805">
        <v>744.51</v>
      </c>
    </row>
    <row r="806" spans="1:22" x14ac:dyDescent="0.3">
      <c r="A806" t="s">
        <v>1925</v>
      </c>
      <c r="B806" t="s">
        <v>1926</v>
      </c>
      <c r="C806" t="s">
        <v>13</v>
      </c>
      <c r="D806" t="s">
        <v>1219</v>
      </c>
      <c r="E806" t="s">
        <v>15</v>
      </c>
      <c r="J806" s="1">
        <v>44868</v>
      </c>
      <c r="K806">
        <v>1216</v>
      </c>
      <c r="L806" t="s">
        <v>1927</v>
      </c>
      <c r="M806">
        <v>4</v>
      </c>
      <c r="N806" t="str">
        <f>VLOOKUP(M806,[1]LOJA!$A:$B,2,0)</f>
        <v>ADE</v>
      </c>
      <c r="O806">
        <v>107</v>
      </c>
      <c r="P806" t="str">
        <f>VLOOKUP(O806,[1]OPERADORES!$A:$B,2,0)</f>
        <v>DAIANA PORTELA</v>
      </c>
      <c r="Q806">
        <v>7</v>
      </c>
      <c r="S806" t="s">
        <v>1928</v>
      </c>
      <c r="T806" s="1">
        <v>44868</v>
      </c>
      <c r="U806">
        <v>-0.7</v>
      </c>
      <c r="V806">
        <v>-0.7</v>
      </c>
    </row>
    <row r="807" spans="1:22" x14ac:dyDescent="0.3">
      <c r="A807" t="s">
        <v>1929</v>
      </c>
      <c r="B807" t="s">
        <v>1930</v>
      </c>
      <c r="C807" t="s">
        <v>13</v>
      </c>
      <c r="D807" t="s">
        <v>1931</v>
      </c>
      <c r="E807" t="s">
        <v>15</v>
      </c>
      <c r="J807" s="1">
        <v>46031</v>
      </c>
      <c r="K807">
        <v>53</v>
      </c>
      <c r="L807" t="s">
        <v>1932</v>
      </c>
      <c r="M807">
        <v>9</v>
      </c>
      <c r="N807" t="str">
        <f>VLOOKUP(M807,[1]LOJA!$A:$B,2,0)</f>
        <v>ÚNICA</v>
      </c>
      <c r="O807">
        <v>144</v>
      </c>
      <c r="P807" t="str">
        <f>VLOOKUP(O807,[1]OPERADORES!$A:$B,2,0)</f>
        <v>CINTIA DA SILVA CARLOS</v>
      </c>
      <c r="Q807">
        <v>4</v>
      </c>
      <c r="S807" t="s">
        <v>1933</v>
      </c>
      <c r="T807" s="1">
        <v>46031</v>
      </c>
      <c r="U807">
        <v>-18.190000000000001</v>
      </c>
      <c r="V807">
        <v>-18.190000000000001</v>
      </c>
    </row>
    <row r="808" spans="1:22" x14ac:dyDescent="0.3">
      <c r="A808" t="s">
        <v>1934</v>
      </c>
      <c r="B808" t="s">
        <v>1935</v>
      </c>
      <c r="C808" t="s">
        <v>13</v>
      </c>
      <c r="D808" t="s">
        <v>1936</v>
      </c>
      <c r="E808" t="s">
        <v>15</v>
      </c>
      <c r="J808" s="1">
        <v>44662</v>
      </c>
      <c r="K808">
        <v>1422</v>
      </c>
      <c r="L808" t="s">
        <v>1937</v>
      </c>
      <c r="M808">
        <v>4</v>
      </c>
      <c r="N808" t="str">
        <f>VLOOKUP(M808,[1]LOJA!$A:$B,2,0)</f>
        <v>ADE</v>
      </c>
      <c r="O808">
        <v>107</v>
      </c>
      <c r="P808" t="str">
        <f>VLOOKUP(O808,[1]OPERADORES!$A:$B,2,0)</f>
        <v>DAIANA PORTELA</v>
      </c>
      <c r="Q808">
        <v>7</v>
      </c>
      <c r="S808" t="s">
        <v>1938</v>
      </c>
      <c r="T808" s="1">
        <v>44652</v>
      </c>
      <c r="U808">
        <v>-144.5</v>
      </c>
      <c r="V808">
        <v>-144.5</v>
      </c>
    </row>
    <row r="809" spans="1:22" x14ac:dyDescent="0.3">
      <c r="A809" t="s">
        <v>1939</v>
      </c>
      <c r="B809" t="s">
        <v>1940</v>
      </c>
      <c r="C809" t="s">
        <v>13</v>
      </c>
      <c r="D809" t="s">
        <v>1941</v>
      </c>
      <c r="E809" t="s">
        <v>15</v>
      </c>
      <c r="J809" s="1">
        <v>45863</v>
      </c>
      <c r="K809">
        <v>221</v>
      </c>
      <c r="L809" t="s">
        <v>1942</v>
      </c>
      <c r="M809">
        <v>13</v>
      </c>
      <c r="N809" t="str">
        <f>VLOOKUP(M809,[1]LOJA!$A:$B,2,0)</f>
        <v>CEILÂNDIA</v>
      </c>
      <c r="O809">
        <v>67</v>
      </c>
      <c r="P809" t="str">
        <f>VLOOKUP(O809,[1]OPERADORES!$A:$B,2,0)</f>
        <v>ERIKA</v>
      </c>
      <c r="Q809">
        <v>10</v>
      </c>
      <c r="S809" t="s">
        <v>1943</v>
      </c>
      <c r="T809" s="1">
        <v>45861</v>
      </c>
      <c r="U809">
        <v>-2.73</v>
      </c>
      <c r="V809">
        <v>-2.73</v>
      </c>
    </row>
    <row r="810" spans="1:22" x14ac:dyDescent="0.3">
      <c r="A810" t="s">
        <v>1945</v>
      </c>
      <c r="B810" t="s">
        <v>1946</v>
      </c>
      <c r="C810" t="s">
        <v>13</v>
      </c>
      <c r="D810" t="s">
        <v>1740</v>
      </c>
      <c r="E810" t="s">
        <v>15</v>
      </c>
      <c r="J810" s="1">
        <v>45596</v>
      </c>
      <c r="K810">
        <v>488</v>
      </c>
      <c r="L810" t="s">
        <v>1947</v>
      </c>
      <c r="M810">
        <v>6</v>
      </c>
      <c r="N810" t="str">
        <f>VLOOKUP(M810,[1]LOJA!$A:$B,2,0)</f>
        <v>GAMA</v>
      </c>
      <c r="O810">
        <v>98</v>
      </c>
      <c r="P810" t="str">
        <f>VLOOKUP(O810,[1]OPERADORES!$A:$B,2,0)</f>
        <v xml:space="preserve">ARIGLEICE </v>
      </c>
      <c r="Q810">
        <v>4</v>
      </c>
      <c r="S810" t="s">
        <v>110</v>
      </c>
      <c r="T810" s="1">
        <v>45596</v>
      </c>
      <c r="U810">
        <v>-6</v>
      </c>
      <c r="V810">
        <v>-6</v>
      </c>
    </row>
    <row r="811" spans="1:22" x14ac:dyDescent="0.3">
      <c r="A811" t="s">
        <v>1948</v>
      </c>
      <c r="B811" t="s">
        <v>1949</v>
      </c>
      <c r="C811" t="s">
        <v>13</v>
      </c>
      <c r="D811" t="s">
        <v>137</v>
      </c>
      <c r="E811" t="s">
        <v>15</v>
      </c>
      <c r="J811" s="1">
        <v>45630</v>
      </c>
      <c r="K811">
        <v>454</v>
      </c>
      <c r="L811" t="s">
        <v>1950</v>
      </c>
      <c r="M811">
        <v>16</v>
      </c>
      <c r="N811" t="str">
        <f>VLOOKUP(M811,[1]LOJA!$A:$B,2,0)</f>
        <v>AG LINDAS</v>
      </c>
      <c r="O811">
        <v>107</v>
      </c>
      <c r="P811" t="str">
        <f>VLOOKUP(O811,[1]OPERADORES!$A:$B,2,0)</f>
        <v>DAIANA PORTELA</v>
      </c>
      <c r="Q811">
        <v>7</v>
      </c>
      <c r="S811" t="s">
        <v>1951</v>
      </c>
      <c r="T811" s="1">
        <v>45630</v>
      </c>
      <c r="U811">
        <v>-0.1</v>
      </c>
      <c r="V811">
        <v>-0.1</v>
      </c>
    </row>
    <row r="812" spans="1:22" x14ac:dyDescent="0.3">
      <c r="A812" t="s">
        <v>1952</v>
      </c>
      <c r="B812" t="s">
        <v>1953</v>
      </c>
      <c r="C812" t="s">
        <v>13</v>
      </c>
      <c r="D812" t="s">
        <v>760</v>
      </c>
      <c r="E812" t="s">
        <v>15</v>
      </c>
      <c r="J812" s="1">
        <v>46041</v>
      </c>
      <c r="K812">
        <v>43</v>
      </c>
      <c r="L812" t="s">
        <v>1954</v>
      </c>
      <c r="M812">
        <v>4</v>
      </c>
      <c r="N812" t="str">
        <f>VLOOKUP(M812,[1]LOJA!$A:$B,2,0)</f>
        <v>ADE</v>
      </c>
      <c r="O812">
        <v>132</v>
      </c>
      <c r="P812" t="str">
        <f>VLOOKUP(O812,[1]OPERADORES!$A:$B,2,0)</f>
        <v>PAMELA GONÇALVES ROSA</v>
      </c>
      <c r="Q812">
        <v>4</v>
      </c>
      <c r="S812" t="s">
        <v>1955</v>
      </c>
      <c r="T812" s="1">
        <v>46041</v>
      </c>
      <c r="U812">
        <v>-0.02</v>
      </c>
      <c r="V812">
        <v>-0.02</v>
      </c>
    </row>
    <row r="813" spans="1:22" x14ac:dyDescent="0.3">
      <c r="A813" t="s">
        <v>1956</v>
      </c>
      <c r="B813" t="s">
        <v>1957</v>
      </c>
      <c r="C813" t="s">
        <v>1958</v>
      </c>
      <c r="D813" t="s">
        <v>1959</v>
      </c>
      <c r="E813" t="s">
        <v>15</v>
      </c>
      <c r="J813" s="1">
        <v>45988</v>
      </c>
      <c r="K813">
        <v>96</v>
      </c>
      <c r="L813" t="s">
        <v>1960</v>
      </c>
      <c r="M813">
        <v>6</v>
      </c>
      <c r="N813" t="str">
        <f>VLOOKUP(M813,[1]LOJA!$A:$B,2,0)</f>
        <v>GAMA</v>
      </c>
      <c r="O813">
        <v>246</v>
      </c>
      <c r="P813" t="str">
        <f>VLOOKUP(O813,[1]OPERADORES!$A:$B,2,0)</f>
        <v>VITORIA APARECIDA</v>
      </c>
      <c r="Q813">
        <v>4</v>
      </c>
      <c r="S813" t="s">
        <v>1961</v>
      </c>
      <c r="T813" s="1">
        <v>45988</v>
      </c>
      <c r="U813">
        <v>-0.05</v>
      </c>
      <c r="V813">
        <v>-0.05</v>
      </c>
    </row>
    <row r="814" spans="1:22" x14ac:dyDescent="0.3">
      <c r="A814" t="s">
        <v>5648</v>
      </c>
      <c r="B814" t="s">
        <v>5649</v>
      </c>
      <c r="C814" t="s">
        <v>13</v>
      </c>
      <c r="D814" t="s">
        <v>5650</v>
      </c>
      <c r="E814" t="s">
        <v>15</v>
      </c>
      <c r="J814" s="1">
        <v>46072</v>
      </c>
      <c r="K814">
        <v>12</v>
      </c>
      <c r="L814" t="s">
        <v>5651</v>
      </c>
      <c r="M814">
        <v>9</v>
      </c>
      <c r="N814" t="str">
        <f>VLOOKUP(M814,[1]LOJA!$A:$B,2,0)</f>
        <v>ÚNICA</v>
      </c>
      <c r="O814">
        <v>144</v>
      </c>
      <c r="P814" t="str">
        <f>VLOOKUP(O814,[1]OPERADORES!$A:$B,2,0)</f>
        <v>CINTIA DA SILVA CARLOS</v>
      </c>
      <c r="Q814">
        <v>4</v>
      </c>
      <c r="S814" t="s">
        <v>5652</v>
      </c>
      <c r="T814" s="1">
        <v>46072</v>
      </c>
      <c r="U814">
        <v>-15.84</v>
      </c>
      <c r="V814">
        <v>-15.84</v>
      </c>
    </row>
    <row r="815" spans="1:22" x14ac:dyDescent="0.3">
      <c r="A815" t="s">
        <v>5653</v>
      </c>
      <c r="B815" t="s">
        <v>5654</v>
      </c>
      <c r="C815" t="s">
        <v>13</v>
      </c>
      <c r="D815" t="s">
        <v>5655</v>
      </c>
      <c r="E815" t="s">
        <v>15</v>
      </c>
      <c r="J815" s="1">
        <v>46079</v>
      </c>
      <c r="K815">
        <v>5</v>
      </c>
      <c r="L815" t="s">
        <v>5656</v>
      </c>
      <c r="M815">
        <v>22</v>
      </c>
      <c r="N815" t="str">
        <f>VLOOKUP(M815,[1]LOJA!$A:$B,2,0)</f>
        <v>GUARÁ</v>
      </c>
      <c r="O815">
        <v>93</v>
      </c>
      <c r="P815" t="str">
        <f>VLOOKUP(O815,[1]OPERADORES!$A:$B,2,0)</f>
        <v>PATRICIA</v>
      </c>
      <c r="Q815">
        <v>7</v>
      </c>
      <c r="S815" t="s">
        <v>5657</v>
      </c>
      <c r="T815" s="1">
        <v>46064</v>
      </c>
      <c r="U815">
        <v>191.89</v>
      </c>
      <c r="V815">
        <v>191.89</v>
      </c>
    </row>
    <row r="816" spans="1:22" x14ac:dyDescent="0.3">
      <c r="A816" t="s">
        <v>1962</v>
      </c>
      <c r="B816" t="s">
        <v>1963</v>
      </c>
      <c r="C816" t="s">
        <v>13</v>
      </c>
      <c r="D816" t="s">
        <v>1964</v>
      </c>
      <c r="E816" t="s">
        <v>15</v>
      </c>
      <c r="J816" s="1">
        <v>44544</v>
      </c>
      <c r="K816">
        <v>1540</v>
      </c>
      <c r="L816" t="s">
        <v>1965</v>
      </c>
      <c r="M816">
        <v>13</v>
      </c>
      <c r="N816" t="str">
        <f>VLOOKUP(M816,[1]LOJA!$A:$B,2,0)</f>
        <v>CEILÂNDIA</v>
      </c>
      <c r="O816">
        <v>67</v>
      </c>
      <c r="P816" t="str">
        <f>VLOOKUP(O816,[1]OPERADORES!$A:$B,2,0)</f>
        <v>ERIKA</v>
      </c>
      <c r="Q816">
        <v>4</v>
      </c>
      <c r="S816" t="s">
        <v>142</v>
      </c>
      <c r="T816" s="1">
        <v>44544</v>
      </c>
      <c r="U816">
        <v>-15</v>
      </c>
      <c r="V816">
        <v>-15</v>
      </c>
    </row>
    <row r="817" spans="1:22" x14ac:dyDescent="0.3">
      <c r="A817" t="s">
        <v>5658</v>
      </c>
      <c r="B817" t="s">
        <v>32</v>
      </c>
      <c r="C817" t="s">
        <v>13</v>
      </c>
      <c r="D817" t="s">
        <v>554</v>
      </c>
      <c r="E817" t="s">
        <v>15</v>
      </c>
      <c r="J817" s="1">
        <v>46067</v>
      </c>
      <c r="K817">
        <v>17</v>
      </c>
      <c r="L817" t="s">
        <v>2944</v>
      </c>
      <c r="M817">
        <v>24</v>
      </c>
      <c r="N817" t="str">
        <f>VLOOKUP(M817,[1]LOJA!$A:$B,2,0)</f>
        <v>LUZIÂNIA</v>
      </c>
      <c r="O817">
        <v>170</v>
      </c>
      <c r="P817" t="str">
        <f>VLOOKUP(O817,[1]OPERADORES!$A:$B,2,0)</f>
        <v>MARIA LUISA</v>
      </c>
      <c r="Q817">
        <v>4</v>
      </c>
      <c r="S817" t="s">
        <v>5659</v>
      </c>
      <c r="T817" s="1">
        <v>46067</v>
      </c>
      <c r="U817">
        <v>-8</v>
      </c>
      <c r="V817">
        <v>-8</v>
      </c>
    </row>
    <row r="818" spans="1:22" x14ac:dyDescent="0.3">
      <c r="A818" t="s">
        <v>1966</v>
      </c>
      <c r="B818" t="s">
        <v>1967</v>
      </c>
      <c r="C818" t="s">
        <v>293</v>
      </c>
      <c r="D818" t="s">
        <v>1968</v>
      </c>
      <c r="E818" t="s">
        <v>15</v>
      </c>
      <c r="J818" s="1">
        <v>46059</v>
      </c>
      <c r="K818">
        <v>25</v>
      </c>
      <c r="L818" t="s">
        <v>1969</v>
      </c>
      <c r="M818">
        <v>6</v>
      </c>
      <c r="N818" t="str">
        <f>VLOOKUP(M818,[1]LOJA!$A:$B,2,0)</f>
        <v>GAMA</v>
      </c>
      <c r="O818">
        <v>246</v>
      </c>
      <c r="P818" t="str">
        <f>VLOOKUP(O818,[1]OPERADORES!$A:$B,2,0)</f>
        <v>VITORIA APARECIDA</v>
      </c>
      <c r="Q818">
        <v>4</v>
      </c>
      <c r="S818" t="s">
        <v>1970</v>
      </c>
      <c r="T818" s="1">
        <v>46059</v>
      </c>
      <c r="U818">
        <v>-0.66</v>
      </c>
      <c r="V818">
        <v>-0.66</v>
      </c>
    </row>
    <row r="819" spans="1:22" x14ac:dyDescent="0.3">
      <c r="A819" t="s">
        <v>1971</v>
      </c>
      <c r="B819" t="s">
        <v>1972</v>
      </c>
      <c r="C819" t="s">
        <v>13</v>
      </c>
      <c r="D819" t="s">
        <v>280</v>
      </c>
      <c r="E819" t="s">
        <v>15</v>
      </c>
      <c r="J819" s="1">
        <v>45621</v>
      </c>
      <c r="K819">
        <v>463</v>
      </c>
      <c r="L819" t="s">
        <v>1973</v>
      </c>
      <c r="M819">
        <v>13</v>
      </c>
      <c r="N819" t="str">
        <f>VLOOKUP(M819,[1]LOJA!$A:$B,2,0)</f>
        <v>CEILÂNDIA</v>
      </c>
      <c r="O819">
        <v>67</v>
      </c>
      <c r="P819" t="str">
        <f>VLOOKUP(O819,[1]OPERADORES!$A:$B,2,0)</f>
        <v>ERIKA</v>
      </c>
      <c r="Q819">
        <v>4</v>
      </c>
      <c r="S819" t="s">
        <v>1974</v>
      </c>
      <c r="T819" s="1">
        <v>45621</v>
      </c>
      <c r="U819">
        <v>-1</v>
      </c>
      <c r="V819">
        <v>-1</v>
      </c>
    </row>
    <row r="820" spans="1:22" x14ac:dyDescent="0.3">
      <c r="A820" t="s">
        <v>1975</v>
      </c>
      <c r="B820" t="s">
        <v>1976</v>
      </c>
      <c r="C820" t="s">
        <v>43</v>
      </c>
      <c r="D820" t="s">
        <v>280</v>
      </c>
      <c r="E820" t="s">
        <v>15</v>
      </c>
      <c r="J820" s="1">
        <v>45744</v>
      </c>
      <c r="K820">
        <v>340</v>
      </c>
      <c r="L820" t="s">
        <v>1977</v>
      </c>
      <c r="M820">
        <v>14</v>
      </c>
      <c r="N820" t="str">
        <f>VLOOKUP(M820,[1]LOJA!$A:$B,2,0)</f>
        <v>S IA</v>
      </c>
      <c r="O820">
        <v>212</v>
      </c>
      <c r="P820" t="str">
        <f>VLOOKUP(O820,[1]OPERADORES!$A:$B,2,0)</f>
        <v>YASMIN</v>
      </c>
      <c r="Q820">
        <v>4</v>
      </c>
      <c r="S820" t="s">
        <v>1978</v>
      </c>
      <c r="T820" s="1">
        <v>45744</v>
      </c>
      <c r="U820">
        <v>-1</v>
      </c>
      <c r="V820">
        <v>-1</v>
      </c>
    </row>
    <row r="821" spans="1:22" x14ac:dyDescent="0.3">
      <c r="A821" t="s">
        <v>1979</v>
      </c>
      <c r="B821" t="s">
        <v>1980</v>
      </c>
      <c r="C821" t="s">
        <v>13</v>
      </c>
      <c r="D821" t="s">
        <v>1981</v>
      </c>
      <c r="E821" t="s">
        <v>15</v>
      </c>
      <c r="J821" s="1">
        <v>45344</v>
      </c>
      <c r="K821">
        <v>740</v>
      </c>
      <c r="L821" t="s">
        <v>1982</v>
      </c>
      <c r="M821">
        <v>8</v>
      </c>
      <c r="N821" t="str">
        <f>VLOOKUP(M821,[1]LOJA!$A:$B,2,0)</f>
        <v>LUZIÂNIA</v>
      </c>
      <c r="O821">
        <v>170</v>
      </c>
      <c r="P821" t="str">
        <f>VLOOKUP(O821,[1]OPERADORES!$A:$B,2,0)</f>
        <v>MARIA LUISA</v>
      </c>
      <c r="Q821">
        <v>4</v>
      </c>
      <c r="S821" t="s">
        <v>1983</v>
      </c>
      <c r="T821" s="1">
        <v>45344</v>
      </c>
      <c r="U821">
        <v>-0.6</v>
      </c>
      <c r="V821">
        <v>-0.6</v>
      </c>
    </row>
    <row r="822" spans="1:22" x14ac:dyDescent="0.3">
      <c r="A822" t="s">
        <v>1979</v>
      </c>
      <c r="B822" t="s">
        <v>1980</v>
      </c>
      <c r="C822" t="s">
        <v>13</v>
      </c>
      <c r="D822" t="s">
        <v>1981</v>
      </c>
      <c r="E822" t="s">
        <v>15</v>
      </c>
      <c r="J822" s="1">
        <v>45373</v>
      </c>
      <c r="K822">
        <v>711</v>
      </c>
      <c r="L822" t="s">
        <v>1984</v>
      </c>
      <c r="M822">
        <v>8</v>
      </c>
      <c r="N822" t="str">
        <f>VLOOKUP(M822,[1]LOJA!$A:$B,2,0)</f>
        <v>LUZIÂNIA</v>
      </c>
      <c r="O822">
        <v>133</v>
      </c>
      <c r="P822" t="str">
        <f>VLOOKUP(O822,[1]OPERADORES!$A:$B,2,0)</f>
        <v>WALBER</v>
      </c>
      <c r="Q822">
        <v>4</v>
      </c>
      <c r="S822" t="s">
        <v>1985</v>
      </c>
      <c r="T822" s="1">
        <v>45373</v>
      </c>
      <c r="U822">
        <v>-36.1</v>
      </c>
      <c r="V822">
        <v>-36.1</v>
      </c>
    </row>
    <row r="823" spans="1:22" x14ac:dyDescent="0.3">
      <c r="A823" t="s">
        <v>1986</v>
      </c>
      <c r="B823" t="s">
        <v>1987</v>
      </c>
      <c r="C823" t="s">
        <v>13</v>
      </c>
      <c r="D823" t="s">
        <v>1988</v>
      </c>
      <c r="E823" t="s">
        <v>15</v>
      </c>
      <c r="J823" s="1">
        <v>44563</v>
      </c>
      <c r="K823">
        <v>1521</v>
      </c>
      <c r="L823" t="s">
        <v>1989</v>
      </c>
      <c r="M823">
        <v>14</v>
      </c>
      <c r="N823" t="str">
        <f>VLOOKUP(M823,[1]LOJA!$A:$B,2,0)</f>
        <v>S IA</v>
      </c>
      <c r="O823">
        <v>54</v>
      </c>
      <c r="P823" t="str">
        <f>VLOOKUP(O823,[1]OPERADORES!$A:$B,2,0)</f>
        <v>ROBSON</v>
      </c>
      <c r="Q823">
        <v>27</v>
      </c>
      <c r="R823">
        <v>2000003277</v>
      </c>
      <c r="S823" t="s">
        <v>53</v>
      </c>
      <c r="T823" s="1">
        <v>44503</v>
      </c>
      <c r="U823">
        <v>128.33000000000001</v>
      </c>
      <c r="V823">
        <v>128.33000000000001</v>
      </c>
    </row>
    <row r="824" spans="1:22" x14ac:dyDescent="0.3">
      <c r="A824" t="s">
        <v>1986</v>
      </c>
      <c r="B824" t="s">
        <v>1987</v>
      </c>
      <c r="C824" t="s">
        <v>13</v>
      </c>
      <c r="D824" t="s">
        <v>1988</v>
      </c>
      <c r="E824" t="s">
        <v>15</v>
      </c>
      <c r="J824" s="1">
        <v>44569</v>
      </c>
      <c r="K824">
        <v>1515</v>
      </c>
      <c r="L824" t="s">
        <v>1990</v>
      </c>
      <c r="M824">
        <v>14</v>
      </c>
      <c r="N824" t="str">
        <f>VLOOKUP(M824,[1]LOJA!$A:$B,2,0)</f>
        <v>S IA</v>
      </c>
      <c r="O824">
        <v>54</v>
      </c>
      <c r="P824" t="str">
        <f>VLOOKUP(O824,[1]OPERADORES!$A:$B,2,0)</f>
        <v>ROBSON</v>
      </c>
      <c r="Q824">
        <v>27</v>
      </c>
      <c r="R824">
        <v>2000003309</v>
      </c>
      <c r="S824" t="s">
        <v>46</v>
      </c>
      <c r="T824" s="1">
        <v>44509</v>
      </c>
      <c r="U824">
        <v>114</v>
      </c>
      <c r="V824">
        <v>114</v>
      </c>
    </row>
    <row r="825" spans="1:22" x14ac:dyDescent="0.3">
      <c r="A825" t="s">
        <v>1986</v>
      </c>
      <c r="B825" t="s">
        <v>1987</v>
      </c>
      <c r="C825" t="s">
        <v>13</v>
      </c>
      <c r="D825" t="s">
        <v>1988</v>
      </c>
      <c r="E825" t="s">
        <v>15</v>
      </c>
      <c r="J825" s="1">
        <v>44572</v>
      </c>
      <c r="K825">
        <v>1512</v>
      </c>
      <c r="L825" t="s">
        <v>1991</v>
      </c>
      <c r="M825">
        <v>14</v>
      </c>
      <c r="N825" t="str">
        <f>VLOOKUP(M825,[1]LOJA!$A:$B,2,0)</f>
        <v>S IA</v>
      </c>
      <c r="O825">
        <v>54</v>
      </c>
      <c r="P825" t="str">
        <f>VLOOKUP(O825,[1]OPERADORES!$A:$B,2,0)</f>
        <v>ROBSON</v>
      </c>
      <c r="Q825">
        <v>27</v>
      </c>
      <c r="R825">
        <v>2000003189</v>
      </c>
      <c r="S825" t="s">
        <v>55</v>
      </c>
      <c r="T825" s="1">
        <v>44482</v>
      </c>
      <c r="U825">
        <v>218.52</v>
      </c>
      <c r="V825">
        <v>218.52</v>
      </c>
    </row>
    <row r="826" spans="1:22" x14ac:dyDescent="0.3">
      <c r="A826" t="s">
        <v>1986</v>
      </c>
      <c r="B826" t="s">
        <v>1987</v>
      </c>
      <c r="C826" t="s">
        <v>13</v>
      </c>
      <c r="D826" t="s">
        <v>1988</v>
      </c>
      <c r="E826" t="s">
        <v>15</v>
      </c>
      <c r="J826" s="1">
        <v>44593</v>
      </c>
      <c r="K826">
        <v>1491</v>
      </c>
      <c r="L826" t="s">
        <v>1992</v>
      </c>
      <c r="M826">
        <v>14</v>
      </c>
      <c r="N826" t="str">
        <f>VLOOKUP(M826,[1]LOJA!$A:$B,2,0)</f>
        <v>S IA</v>
      </c>
      <c r="O826">
        <v>54</v>
      </c>
      <c r="P826" t="str">
        <f>VLOOKUP(O826,[1]OPERADORES!$A:$B,2,0)</f>
        <v>ROBSON</v>
      </c>
      <c r="Q826">
        <v>27</v>
      </c>
      <c r="R826">
        <v>2000003278</v>
      </c>
      <c r="S826" t="s">
        <v>55</v>
      </c>
      <c r="T826" s="1">
        <v>44503</v>
      </c>
      <c r="U826">
        <v>128.33000000000001</v>
      </c>
      <c r="V826">
        <v>128.33000000000001</v>
      </c>
    </row>
    <row r="827" spans="1:22" x14ac:dyDescent="0.3">
      <c r="A827" t="s">
        <v>1993</v>
      </c>
      <c r="B827" t="s">
        <v>1994</v>
      </c>
      <c r="C827" t="s">
        <v>1995</v>
      </c>
      <c r="D827" t="s">
        <v>1996</v>
      </c>
      <c r="E827" t="s">
        <v>15</v>
      </c>
      <c r="J827" s="1">
        <v>44686</v>
      </c>
      <c r="K827">
        <v>1398</v>
      </c>
      <c r="L827" t="s">
        <v>1997</v>
      </c>
      <c r="M827">
        <v>14</v>
      </c>
      <c r="N827" t="str">
        <f>VLOOKUP(M827,[1]LOJA!$A:$B,2,0)</f>
        <v>S IA</v>
      </c>
      <c r="O827">
        <v>20</v>
      </c>
      <c r="P827" t="str">
        <f>VLOOKUP(O827,[1]OPERADORES!$A:$B,2,0)</f>
        <v>MAYARA</v>
      </c>
      <c r="Q827">
        <v>27</v>
      </c>
      <c r="R827">
        <v>1000005747</v>
      </c>
      <c r="S827" t="s">
        <v>1998</v>
      </c>
      <c r="T827" s="1">
        <v>44622</v>
      </c>
      <c r="U827">
        <v>104.19</v>
      </c>
      <c r="V827">
        <v>104.19</v>
      </c>
    </row>
    <row r="828" spans="1:22" x14ac:dyDescent="0.3">
      <c r="A828" t="s">
        <v>1993</v>
      </c>
      <c r="B828" t="s">
        <v>1994</v>
      </c>
      <c r="C828" t="s">
        <v>1995</v>
      </c>
      <c r="D828" t="s">
        <v>1996</v>
      </c>
      <c r="E828" t="s">
        <v>15</v>
      </c>
      <c r="J828" s="1">
        <v>44687</v>
      </c>
      <c r="K828">
        <v>1397</v>
      </c>
      <c r="L828" t="s">
        <v>1999</v>
      </c>
      <c r="M828">
        <v>14</v>
      </c>
      <c r="N828" t="str">
        <f>VLOOKUP(M828,[1]LOJA!$A:$B,2,0)</f>
        <v>S IA</v>
      </c>
      <c r="O828">
        <v>20</v>
      </c>
      <c r="P828" t="str">
        <f>VLOOKUP(O828,[1]OPERADORES!$A:$B,2,0)</f>
        <v>MAYARA</v>
      </c>
      <c r="Q828">
        <v>27</v>
      </c>
      <c r="R828">
        <v>1000005457</v>
      </c>
      <c r="S828" t="s">
        <v>2000</v>
      </c>
      <c r="T828" s="1">
        <v>44594</v>
      </c>
      <c r="U828" s="2">
        <v>1001</v>
      </c>
      <c r="V828" s="2">
        <v>1001</v>
      </c>
    </row>
    <row r="829" spans="1:22" x14ac:dyDescent="0.3">
      <c r="A829" t="s">
        <v>1993</v>
      </c>
      <c r="B829" t="s">
        <v>1994</v>
      </c>
      <c r="C829" t="s">
        <v>1995</v>
      </c>
      <c r="D829" t="s">
        <v>1996</v>
      </c>
      <c r="E829" t="s">
        <v>15</v>
      </c>
      <c r="J829" s="1">
        <v>44703</v>
      </c>
      <c r="K829">
        <v>1381</v>
      </c>
      <c r="L829" t="s">
        <v>2001</v>
      </c>
      <c r="M829">
        <v>12</v>
      </c>
      <c r="N829" t="str">
        <f>VLOOKUP(M829,[1]LOJA!$A:$B,2,0)</f>
        <v>SOFNORTE</v>
      </c>
      <c r="O829">
        <v>44</v>
      </c>
      <c r="P829" t="str">
        <f>VLOOKUP(O829,[1]OPERADORES!$A:$B,2,0)</f>
        <v>LUIS JUNIO</v>
      </c>
      <c r="Q829">
        <v>26</v>
      </c>
      <c r="R829">
        <v>1000006129</v>
      </c>
      <c r="S829" t="s">
        <v>87</v>
      </c>
      <c r="T829" s="1">
        <v>44673</v>
      </c>
      <c r="U829">
        <v>213</v>
      </c>
      <c r="V829">
        <v>213</v>
      </c>
    </row>
    <row r="830" spans="1:22" x14ac:dyDescent="0.3">
      <c r="A830" t="s">
        <v>1993</v>
      </c>
      <c r="B830" t="s">
        <v>1994</v>
      </c>
      <c r="C830" t="s">
        <v>1995</v>
      </c>
      <c r="D830" t="s">
        <v>1996</v>
      </c>
      <c r="E830" t="s">
        <v>15</v>
      </c>
      <c r="J830" s="1">
        <v>44706</v>
      </c>
      <c r="K830">
        <v>1378</v>
      </c>
      <c r="L830" t="s">
        <v>2002</v>
      </c>
      <c r="M830">
        <v>12</v>
      </c>
      <c r="N830" t="str">
        <f>VLOOKUP(M830,[1]LOJA!$A:$B,2,0)</f>
        <v>SOFNORTE</v>
      </c>
      <c r="O830">
        <v>44</v>
      </c>
      <c r="P830" t="str">
        <f>VLOOKUP(O830,[1]OPERADORES!$A:$B,2,0)</f>
        <v>LUIS JUNIO</v>
      </c>
      <c r="Q830">
        <v>26</v>
      </c>
      <c r="R830">
        <v>1000006138</v>
      </c>
      <c r="S830" t="s">
        <v>51</v>
      </c>
      <c r="T830" s="1">
        <v>44676</v>
      </c>
      <c r="U830">
        <v>299.10000000000002</v>
      </c>
      <c r="V830">
        <v>299.10000000000002</v>
      </c>
    </row>
    <row r="831" spans="1:22" x14ac:dyDescent="0.3">
      <c r="A831" t="s">
        <v>1993</v>
      </c>
      <c r="B831" t="s">
        <v>1994</v>
      </c>
      <c r="C831" t="s">
        <v>1995</v>
      </c>
      <c r="D831" t="s">
        <v>1996</v>
      </c>
      <c r="E831" t="s">
        <v>15</v>
      </c>
      <c r="J831" s="1">
        <v>44714</v>
      </c>
      <c r="K831">
        <v>1370</v>
      </c>
      <c r="L831" t="s">
        <v>2003</v>
      </c>
      <c r="M831">
        <v>12</v>
      </c>
      <c r="N831" t="str">
        <f>VLOOKUP(M831,[1]LOJA!$A:$B,2,0)</f>
        <v>SOFNORTE</v>
      </c>
      <c r="O831">
        <v>20</v>
      </c>
      <c r="P831" t="str">
        <f>VLOOKUP(O831,[1]OPERADORES!$A:$B,2,0)</f>
        <v>MAYARA</v>
      </c>
      <c r="Q831">
        <v>26</v>
      </c>
      <c r="R831">
        <v>1000006221</v>
      </c>
      <c r="S831" t="s">
        <v>2004</v>
      </c>
      <c r="T831" s="1">
        <v>44684</v>
      </c>
      <c r="U831">
        <v>820.09</v>
      </c>
      <c r="V831">
        <v>820.09</v>
      </c>
    </row>
    <row r="832" spans="1:22" x14ac:dyDescent="0.3">
      <c r="A832" t="s">
        <v>1993</v>
      </c>
      <c r="B832" t="s">
        <v>1994</v>
      </c>
      <c r="C832" t="s">
        <v>1995</v>
      </c>
      <c r="D832" t="s">
        <v>1996</v>
      </c>
      <c r="E832" t="s">
        <v>15</v>
      </c>
      <c r="J832" s="1">
        <v>44715</v>
      </c>
      <c r="K832">
        <v>1369</v>
      </c>
      <c r="L832" t="s">
        <v>2005</v>
      </c>
      <c r="M832">
        <v>14</v>
      </c>
      <c r="N832" t="str">
        <f>VLOOKUP(M832,[1]LOJA!$A:$B,2,0)</f>
        <v>S IA</v>
      </c>
      <c r="O832">
        <v>20</v>
      </c>
      <c r="P832" t="str">
        <f>VLOOKUP(O832,[1]OPERADORES!$A:$B,2,0)</f>
        <v>MAYARA</v>
      </c>
      <c r="Q832">
        <v>27</v>
      </c>
      <c r="R832">
        <v>1000006030</v>
      </c>
      <c r="S832" t="s">
        <v>2006</v>
      </c>
      <c r="T832" s="1">
        <v>44655</v>
      </c>
      <c r="U832">
        <v>847</v>
      </c>
      <c r="V832">
        <v>847</v>
      </c>
    </row>
    <row r="833" spans="1:22" x14ac:dyDescent="0.3">
      <c r="A833" t="s">
        <v>1993</v>
      </c>
      <c r="B833" t="s">
        <v>1994</v>
      </c>
      <c r="C833" t="s">
        <v>1995</v>
      </c>
      <c r="D833" t="s">
        <v>1996</v>
      </c>
      <c r="E833" t="s">
        <v>15</v>
      </c>
      <c r="J833" s="1">
        <v>44718</v>
      </c>
      <c r="K833">
        <v>1366</v>
      </c>
      <c r="L833" t="s">
        <v>2007</v>
      </c>
      <c r="M833">
        <v>14</v>
      </c>
      <c r="N833" t="str">
        <f>VLOOKUP(M833,[1]LOJA!$A:$B,2,0)</f>
        <v>S IA</v>
      </c>
      <c r="O833">
        <v>20</v>
      </c>
      <c r="P833" t="str">
        <f>VLOOKUP(O833,[1]OPERADORES!$A:$B,2,0)</f>
        <v>MAYARA</v>
      </c>
      <c r="Q833">
        <v>27</v>
      </c>
      <c r="R833">
        <v>1000005748</v>
      </c>
      <c r="S833" t="s">
        <v>2008</v>
      </c>
      <c r="T833" s="1">
        <v>44622</v>
      </c>
      <c r="U833">
        <v>756</v>
      </c>
      <c r="V833">
        <v>756</v>
      </c>
    </row>
    <row r="834" spans="1:22" x14ac:dyDescent="0.3">
      <c r="A834" t="s">
        <v>1993</v>
      </c>
      <c r="B834" t="s">
        <v>1994</v>
      </c>
      <c r="C834" t="s">
        <v>1995</v>
      </c>
      <c r="D834" t="s">
        <v>1996</v>
      </c>
      <c r="E834" t="s">
        <v>15</v>
      </c>
      <c r="J834" s="1">
        <v>44719</v>
      </c>
      <c r="K834">
        <v>1365</v>
      </c>
      <c r="L834" t="s">
        <v>2009</v>
      </c>
      <c r="M834">
        <v>14</v>
      </c>
      <c r="N834" t="str">
        <f>VLOOKUP(M834,[1]LOJA!$A:$B,2,0)</f>
        <v>S IA</v>
      </c>
      <c r="O834">
        <v>20</v>
      </c>
      <c r="P834" t="str">
        <f>VLOOKUP(O834,[1]OPERADORES!$A:$B,2,0)</f>
        <v>MAYARA</v>
      </c>
      <c r="Q834">
        <v>27</v>
      </c>
      <c r="R834">
        <v>1000005458</v>
      </c>
      <c r="S834" t="s">
        <v>2010</v>
      </c>
      <c r="T834" s="1">
        <v>44594</v>
      </c>
      <c r="U834" s="2">
        <v>1001</v>
      </c>
      <c r="V834" s="2">
        <v>1001</v>
      </c>
    </row>
    <row r="835" spans="1:22" x14ac:dyDescent="0.3">
      <c r="A835" t="s">
        <v>1993</v>
      </c>
      <c r="B835" t="s">
        <v>1994</v>
      </c>
      <c r="C835" t="s">
        <v>1995</v>
      </c>
      <c r="D835" t="s">
        <v>1996</v>
      </c>
      <c r="E835" t="s">
        <v>15</v>
      </c>
      <c r="J835" s="1">
        <v>44736</v>
      </c>
      <c r="K835">
        <v>1348</v>
      </c>
      <c r="L835" t="s">
        <v>2011</v>
      </c>
      <c r="M835">
        <v>12</v>
      </c>
      <c r="N835" t="str">
        <f>VLOOKUP(M835,[1]LOJA!$A:$B,2,0)</f>
        <v>SOFNORTE</v>
      </c>
      <c r="O835">
        <v>44</v>
      </c>
      <c r="P835" t="str">
        <f>VLOOKUP(O835,[1]OPERADORES!$A:$B,2,0)</f>
        <v>LUIS JUNIO</v>
      </c>
      <c r="Q835">
        <v>26</v>
      </c>
      <c r="R835">
        <v>1000006139</v>
      </c>
      <c r="S835" t="s">
        <v>53</v>
      </c>
      <c r="T835" s="1">
        <v>44676</v>
      </c>
      <c r="U835">
        <v>299.10000000000002</v>
      </c>
      <c r="V835">
        <v>299.10000000000002</v>
      </c>
    </row>
    <row r="836" spans="1:22" x14ac:dyDescent="0.3">
      <c r="A836" t="s">
        <v>1993</v>
      </c>
      <c r="B836" t="s">
        <v>1994</v>
      </c>
      <c r="C836" t="s">
        <v>1995</v>
      </c>
      <c r="D836" t="s">
        <v>1996</v>
      </c>
      <c r="E836" t="s">
        <v>15</v>
      </c>
      <c r="J836" s="1">
        <v>44744</v>
      </c>
      <c r="K836">
        <v>1340</v>
      </c>
      <c r="L836" t="s">
        <v>2012</v>
      </c>
      <c r="M836">
        <v>12</v>
      </c>
      <c r="N836" t="str">
        <f>VLOOKUP(M836,[1]LOJA!$A:$B,2,0)</f>
        <v>SOFNORTE</v>
      </c>
      <c r="O836">
        <v>20</v>
      </c>
      <c r="P836" t="str">
        <f>VLOOKUP(O836,[1]OPERADORES!$A:$B,2,0)</f>
        <v>MAYARA</v>
      </c>
      <c r="Q836">
        <v>26</v>
      </c>
      <c r="R836">
        <v>1000006222</v>
      </c>
      <c r="S836" t="s">
        <v>2013</v>
      </c>
      <c r="T836" s="1">
        <v>44684</v>
      </c>
      <c r="U836">
        <v>820</v>
      </c>
      <c r="V836">
        <v>820</v>
      </c>
    </row>
    <row r="837" spans="1:22" x14ac:dyDescent="0.3">
      <c r="A837" t="s">
        <v>1993</v>
      </c>
      <c r="B837" t="s">
        <v>1994</v>
      </c>
      <c r="C837" t="s">
        <v>1995</v>
      </c>
      <c r="D837" t="s">
        <v>1996</v>
      </c>
      <c r="E837" t="s">
        <v>15</v>
      </c>
      <c r="J837" s="1">
        <v>44745</v>
      </c>
      <c r="K837">
        <v>1339</v>
      </c>
      <c r="L837" t="s">
        <v>2014</v>
      </c>
      <c r="M837">
        <v>14</v>
      </c>
      <c r="N837" t="str">
        <f>VLOOKUP(M837,[1]LOJA!$A:$B,2,0)</f>
        <v>S IA</v>
      </c>
      <c r="O837">
        <v>20</v>
      </c>
      <c r="P837" t="str">
        <f>VLOOKUP(O837,[1]OPERADORES!$A:$B,2,0)</f>
        <v>MAYARA</v>
      </c>
      <c r="Q837">
        <v>27</v>
      </c>
      <c r="R837">
        <v>1000006031</v>
      </c>
      <c r="S837" t="s">
        <v>2015</v>
      </c>
      <c r="T837" s="1">
        <v>44655</v>
      </c>
      <c r="U837">
        <v>847</v>
      </c>
      <c r="V837">
        <v>847</v>
      </c>
    </row>
    <row r="838" spans="1:22" x14ac:dyDescent="0.3">
      <c r="A838" t="s">
        <v>1993</v>
      </c>
      <c r="B838" t="s">
        <v>1994</v>
      </c>
      <c r="C838" t="s">
        <v>1995</v>
      </c>
      <c r="D838" t="s">
        <v>1996</v>
      </c>
      <c r="E838" t="s">
        <v>15</v>
      </c>
      <c r="J838" s="1">
        <v>44766</v>
      </c>
      <c r="K838">
        <v>1318</v>
      </c>
      <c r="L838" t="s">
        <v>2016</v>
      </c>
      <c r="M838">
        <v>12</v>
      </c>
      <c r="N838" t="str">
        <f>VLOOKUP(M838,[1]LOJA!$A:$B,2,0)</f>
        <v>SOFNORTE</v>
      </c>
      <c r="O838">
        <v>44</v>
      </c>
      <c r="P838" t="str">
        <f>VLOOKUP(O838,[1]OPERADORES!$A:$B,2,0)</f>
        <v>LUIS JUNIO</v>
      </c>
      <c r="Q838">
        <v>26</v>
      </c>
      <c r="R838">
        <v>1000006140</v>
      </c>
      <c r="S838" t="s">
        <v>55</v>
      </c>
      <c r="T838" s="1">
        <v>44676</v>
      </c>
      <c r="U838">
        <v>299.10000000000002</v>
      </c>
      <c r="V838">
        <v>299.10000000000002</v>
      </c>
    </row>
    <row r="839" spans="1:22" x14ac:dyDescent="0.3">
      <c r="A839" t="s">
        <v>1993</v>
      </c>
      <c r="B839" t="s">
        <v>1994</v>
      </c>
      <c r="C839" t="s">
        <v>1995</v>
      </c>
      <c r="D839" t="s">
        <v>1996</v>
      </c>
      <c r="E839" t="s">
        <v>15</v>
      </c>
      <c r="J839" s="1">
        <v>44774</v>
      </c>
      <c r="K839">
        <v>1310</v>
      </c>
      <c r="L839" t="s">
        <v>2017</v>
      </c>
      <c r="M839">
        <v>12</v>
      </c>
      <c r="N839" t="str">
        <f>VLOOKUP(M839,[1]LOJA!$A:$B,2,0)</f>
        <v>SOFNORTE</v>
      </c>
      <c r="O839">
        <v>20</v>
      </c>
      <c r="P839" t="str">
        <f>VLOOKUP(O839,[1]OPERADORES!$A:$B,2,0)</f>
        <v>MAYARA</v>
      </c>
      <c r="Q839">
        <v>26</v>
      </c>
      <c r="R839">
        <v>1000006223</v>
      </c>
      <c r="S839" t="s">
        <v>2018</v>
      </c>
      <c r="T839" s="1">
        <v>44684</v>
      </c>
      <c r="U839">
        <v>820</v>
      </c>
      <c r="V839">
        <v>820</v>
      </c>
    </row>
    <row r="840" spans="1:22" x14ac:dyDescent="0.3">
      <c r="A840" t="s">
        <v>1993</v>
      </c>
      <c r="B840" t="s">
        <v>1994</v>
      </c>
      <c r="C840" t="s">
        <v>1995</v>
      </c>
      <c r="D840" t="s">
        <v>1996</v>
      </c>
      <c r="E840" t="s">
        <v>15</v>
      </c>
      <c r="J840" s="1">
        <v>44775</v>
      </c>
      <c r="K840">
        <v>1309</v>
      </c>
      <c r="L840" t="s">
        <v>2019</v>
      </c>
      <c r="M840">
        <v>14</v>
      </c>
      <c r="N840" t="str">
        <f>VLOOKUP(M840,[1]LOJA!$A:$B,2,0)</f>
        <v>S IA</v>
      </c>
      <c r="O840">
        <v>20</v>
      </c>
      <c r="P840" t="str">
        <f>VLOOKUP(O840,[1]OPERADORES!$A:$B,2,0)</f>
        <v>MAYARA</v>
      </c>
      <c r="Q840">
        <v>27</v>
      </c>
      <c r="R840">
        <v>1000006032</v>
      </c>
      <c r="S840" t="s">
        <v>2020</v>
      </c>
      <c r="T840" s="1">
        <v>44655</v>
      </c>
      <c r="U840">
        <v>847</v>
      </c>
      <c r="V840">
        <v>847</v>
      </c>
    </row>
    <row r="841" spans="1:22" x14ac:dyDescent="0.3">
      <c r="A841" t="s">
        <v>5660</v>
      </c>
      <c r="B841" t="s">
        <v>5661</v>
      </c>
      <c r="C841" t="s">
        <v>207</v>
      </c>
      <c r="D841" t="s">
        <v>5662</v>
      </c>
      <c r="E841" t="s">
        <v>15</v>
      </c>
      <c r="J841" s="1">
        <v>46073</v>
      </c>
      <c r="K841">
        <v>11</v>
      </c>
      <c r="L841" t="s">
        <v>5663</v>
      </c>
      <c r="M841">
        <v>13</v>
      </c>
      <c r="N841" t="str">
        <f>VLOOKUP(M841,[1]LOJA!$A:$B,2,0)</f>
        <v>CEILÂNDIA</v>
      </c>
      <c r="O841">
        <v>20</v>
      </c>
      <c r="P841" t="str">
        <f>VLOOKUP(O841,[1]OPERADORES!$A:$B,2,0)</f>
        <v>MAYARA</v>
      </c>
      <c r="Q841">
        <v>12</v>
      </c>
      <c r="S841" t="s">
        <v>5664</v>
      </c>
      <c r="T841" s="1">
        <v>46057</v>
      </c>
      <c r="U841">
        <v>368.1</v>
      </c>
      <c r="V841">
        <v>368.1</v>
      </c>
    </row>
    <row r="842" spans="1:22" x14ac:dyDescent="0.3">
      <c r="A842" t="s">
        <v>2021</v>
      </c>
      <c r="B842" t="s">
        <v>2022</v>
      </c>
      <c r="C842" t="s">
        <v>207</v>
      </c>
      <c r="D842" t="s">
        <v>2023</v>
      </c>
      <c r="E842" t="s">
        <v>15</v>
      </c>
      <c r="J842" s="1">
        <v>45806</v>
      </c>
      <c r="K842">
        <v>278</v>
      </c>
      <c r="L842" t="s">
        <v>2024</v>
      </c>
      <c r="M842">
        <v>8</v>
      </c>
      <c r="N842" t="str">
        <f>VLOOKUP(M842,[1]LOJA!$A:$B,2,0)</f>
        <v>LUZIÂNIA</v>
      </c>
      <c r="O842">
        <v>20</v>
      </c>
      <c r="P842" t="str">
        <f>VLOOKUP(O842,[1]OPERADORES!$A:$B,2,0)</f>
        <v>MAYARA</v>
      </c>
      <c r="Q842">
        <v>12</v>
      </c>
      <c r="S842" t="s">
        <v>2025</v>
      </c>
      <c r="T842" s="1">
        <v>45784</v>
      </c>
      <c r="U842">
        <v>128.91</v>
      </c>
      <c r="V842">
        <v>128.91</v>
      </c>
    </row>
    <row r="843" spans="1:22" x14ac:dyDescent="0.3">
      <c r="A843" t="s">
        <v>2026</v>
      </c>
      <c r="B843" t="s">
        <v>32</v>
      </c>
      <c r="C843" t="s">
        <v>293</v>
      </c>
      <c r="D843" t="s">
        <v>5665</v>
      </c>
      <c r="E843" t="s">
        <v>15</v>
      </c>
      <c r="J843" s="1">
        <v>46058</v>
      </c>
      <c r="K843">
        <v>26</v>
      </c>
      <c r="L843" t="s">
        <v>2027</v>
      </c>
      <c r="M843">
        <v>9</v>
      </c>
      <c r="N843" t="str">
        <f>VLOOKUP(M843,[1]LOJA!$A:$B,2,0)</f>
        <v>ÚNICA</v>
      </c>
      <c r="O843">
        <v>174</v>
      </c>
      <c r="P843" t="str">
        <f>VLOOKUP(O843,[1]OPERADORES!$A:$B,2,0)</f>
        <v>MIRIÃ LOBATO RODRIGUES</v>
      </c>
      <c r="Q843">
        <v>23</v>
      </c>
      <c r="R843">
        <v>211734</v>
      </c>
      <c r="S843" t="s">
        <v>87</v>
      </c>
      <c r="T843" s="1">
        <v>46028</v>
      </c>
      <c r="U843">
        <v>215.11</v>
      </c>
      <c r="V843">
        <v>215.11</v>
      </c>
    </row>
    <row r="844" spans="1:22" x14ac:dyDescent="0.3">
      <c r="A844" t="s">
        <v>2028</v>
      </c>
      <c r="B844" t="s">
        <v>2029</v>
      </c>
      <c r="C844" t="s">
        <v>13</v>
      </c>
      <c r="D844" t="s">
        <v>2030</v>
      </c>
      <c r="E844" t="s">
        <v>15</v>
      </c>
      <c r="J844" s="1">
        <v>45863</v>
      </c>
      <c r="K844">
        <v>221</v>
      </c>
      <c r="L844" t="s">
        <v>2031</v>
      </c>
      <c r="M844">
        <v>16</v>
      </c>
      <c r="N844" t="str">
        <f>VLOOKUP(M844,[1]LOJA!$A:$B,2,0)</f>
        <v>AG LINDAS</v>
      </c>
      <c r="O844">
        <v>107</v>
      </c>
      <c r="P844" t="str">
        <f>VLOOKUP(O844,[1]OPERADORES!$A:$B,2,0)</f>
        <v>DAIANA PORTELA</v>
      </c>
      <c r="Q844">
        <v>7</v>
      </c>
      <c r="S844" t="s">
        <v>2032</v>
      </c>
      <c r="T844" s="1">
        <v>45863</v>
      </c>
      <c r="U844">
        <v>-0.09</v>
      </c>
      <c r="V844">
        <v>-0.09</v>
      </c>
    </row>
    <row r="845" spans="1:22" x14ac:dyDescent="0.3">
      <c r="A845" t="s">
        <v>2033</v>
      </c>
      <c r="B845" t="s">
        <v>2034</v>
      </c>
      <c r="C845" t="s">
        <v>43</v>
      </c>
      <c r="D845" t="s">
        <v>137</v>
      </c>
      <c r="E845" t="s">
        <v>15</v>
      </c>
      <c r="J845" s="1">
        <v>45441</v>
      </c>
      <c r="K845">
        <v>643</v>
      </c>
      <c r="L845" t="s">
        <v>2035</v>
      </c>
      <c r="M845">
        <v>6</v>
      </c>
      <c r="N845" t="str">
        <f>VLOOKUP(M845,[1]LOJA!$A:$B,2,0)</f>
        <v>GAMA</v>
      </c>
      <c r="O845">
        <v>98</v>
      </c>
      <c r="P845" t="str">
        <f>VLOOKUP(O845,[1]OPERADORES!$A:$B,2,0)</f>
        <v xml:space="preserve">ARIGLEICE </v>
      </c>
      <c r="Q845">
        <v>4</v>
      </c>
      <c r="S845" t="s">
        <v>2036</v>
      </c>
      <c r="T845" s="1">
        <v>45441</v>
      </c>
      <c r="U845">
        <v>-0.1</v>
      </c>
      <c r="V845">
        <v>-0.1</v>
      </c>
    </row>
    <row r="846" spans="1:22" x14ac:dyDescent="0.3">
      <c r="A846" t="s">
        <v>2037</v>
      </c>
      <c r="B846" t="s">
        <v>2038</v>
      </c>
      <c r="C846" t="s">
        <v>13</v>
      </c>
      <c r="D846" t="s">
        <v>2039</v>
      </c>
      <c r="E846" t="s">
        <v>15</v>
      </c>
      <c r="J846" s="1">
        <v>44987</v>
      </c>
      <c r="K846">
        <v>1097</v>
      </c>
      <c r="L846" t="s">
        <v>2040</v>
      </c>
      <c r="M846">
        <v>16</v>
      </c>
      <c r="N846" t="str">
        <f>VLOOKUP(M846,[1]LOJA!$A:$B,2,0)</f>
        <v>AG LINDAS</v>
      </c>
      <c r="O846">
        <v>126</v>
      </c>
      <c r="P846" t="str">
        <f>VLOOKUP(O846,[1]OPERADORES!$A:$B,2,0)</f>
        <v>CESAR OLIVIEIRA DE ARAUJO</v>
      </c>
      <c r="Q846">
        <v>4</v>
      </c>
      <c r="S846" t="s">
        <v>2041</v>
      </c>
      <c r="T846" s="1">
        <v>44987</v>
      </c>
      <c r="U846">
        <v>-0.81</v>
      </c>
      <c r="V846">
        <v>-0.81</v>
      </c>
    </row>
    <row r="847" spans="1:22" x14ac:dyDescent="0.3">
      <c r="A847" t="s">
        <v>2042</v>
      </c>
      <c r="B847" t="s">
        <v>2043</v>
      </c>
      <c r="C847" t="s">
        <v>13</v>
      </c>
      <c r="D847" t="s">
        <v>38</v>
      </c>
      <c r="E847" t="s">
        <v>15</v>
      </c>
      <c r="J847" s="1">
        <v>45794</v>
      </c>
      <c r="K847">
        <v>290</v>
      </c>
      <c r="L847" t="s">
        <v>2044</v>
      </c>
      <c r="M847">
        <v>14</v>
      </c>
      <c r="N847" t="str">
        <f>VLOOKUP(M847,[1]LOJA!$A:$B,2,0)</f>
        <v>S IA</v>
      </c>
      <c r="O847">
        <v>212</v>
      </c>
      <c r="P847" t="str">
        <f>VLOOKUP(O847,[1]OPERADORES!$A:$B,2,0)</f>
        <v>YASMIN</v>
      </c>
      <c r="Q847">
        <v>4</v>
      </c>
      <c r="S847" t="s">
        <v>2045</v>
      </c>
      <c r="T847" s="1">
        <v>45794</v>
      </c>
      <c r="U847">
        <v>-0.42</v>
      </c>
      <c r="V847">
        <v>-0.42</v>
      </c>
    </row>
    <row r="848" spans="1:22" x14ac:dyDescent="0.3">
      <c r="A848" t="s">
        <v>2046</v>
      </c>
      <c r="B848" t="s">
        <v>32</v>
      </c>
      <c r="C848" t="s">
        <v>30</v>
      </c>
      <c r="D848" t="s">
        <v>2047</v>
      </c>
      <c r="E848" t="s">
        <v>15</v>
      </c>
      <c r="J848" s="1">
        <v>45307</v>
      </c>
      <c r="K848">
        <v>777</v>
      </c>
      <c r="L848" t="s">
        <v>2048</v>
      </c>
      <c r="M848">
        <v>9</v>
      </c>
      <c r="N848" t="str">
        <f>VLOOKUP(M848,[1]LOJA!$A:$B,2,0)</f>
        <v>ÚNICA</v>
      </c>
      <c r="O848">
        <v>144</v>
      </c>
      <c r="P848" t="str">
        <f>VLOOKUP(O848,[1]OPERADORES!$A:$B,2,0)</f>
        <v>CINTIA DA SILVA CARLOS</v>
      </c>
      <c r="Q848">
        <v>4</v>
      </c>
      <c r="S848" t="s">
        <v>2049</v>
      </c>
      <c r="T848" s="1">
        <v>45307</v>
      </c>
      <c r="U848">
        <v>-7.89</v>
      </c>
      <c r="V848">
        <v>-7.89</v>
      </c>
    </row>
    <row r="849" spans="1:22" x14ac:dyDescent="0.3">
      <c r="A849" t="s">
        <v>5666</v>
      </c>
      <c r="B849" t="s">
        <v>32</v>
      </c>
      <c r="C849" t="s">
        <v>43</v>
      </c>
      <c r="D849" t="s">
        <v>5667</v>
      </c>
      <c r="E849" t="s">
        <v>15</v>
      </c>
      <c r="J849" s="1">
        <v>46074</v>
      </c>
      <c r="K849">
        <v>10</v>
      </c>
      <c r="L849" t="s">
        <v>5668</v>
      </c>
      <c r="M849">
        <v>13</v>
      </c>
      <c r="N849" t="str">
        <f>VLOOKUP(M849,[1]LOJA!$A:$B,2,0)</f>
        <v>CEILÂNDIA</v>
      </c>
      <c r="O849">
        <v>86</v>
      </c>
      <c r="P849" t="str">
        <f>VLOOKUP(O849,[1]OPERADORES!$A:$B,2,0)</f>
        <v>AMANDA</v>
      </c>
      <c r="Q849">
        <v>7</v>
      </c>
      <c r="S849" t="s">
        <v>5669</v>
      </c>
      <c r="T849" s="1">
        <v>46073</v>
      </c>
      <c r="U849">
        <v>0.9</v>
      </c>
      <c r="V849">
        <v>0.9</v>
      </c>
    </row>
    <row r="850" spans="1:22" x14ac:dyDescent="0.3">
      <c r="A850" t="s">
        <v>2050</v>
      </c>
      <c r="B850" t="s">
        <v>2051</v>
      </c>
      <c r="C850" t="s">
        <v>13</v>
      </c>
      <c r="D850" t="s">
        <v>1271</v>
      </c>
      <c r="E850" t="s">
        <v>15</v>
      </c>
      <c r="J850" s="1">
        <v>45959</v>
      </c>
      <c r="K850">
        <v>125</v>
      </c>
      <c r="L850" t="s">
        <v>2052</v>
      </c>
      <c r="M850">
        <v>22</v>
      </c>
      <c r="N850" t="str">
        <f>VLOOKUP(M850,[1]LOJA!$A:$B,2,0)</f>
        <v>GUARÁ</v>
      </c>
      <c r="O850">
        <v>238</v>
      </c>
      <c r="P850" t="str">
        <f>VLOOKUP(O850,[1]OPERADORES!$A:$B,2,0)</f>
        <v>BIANCA</v>
      </c>
      <c r="Q850">
        <v>4</v>
      </c>
      <c r="S850" t="s">
        <v>2053</v>
      </c>
      <c r="T850" s="1">
        <v>45959</v>
      </c>
      <c r="U850">
        <v>-0.18</v>
      </c>
      <c r="V850">
        <v>-0.18</v>
      </c>
    </row>
    <row r="851" spans="1:22" x14ac:dyDescent="0.3">
      <c r="A851" t="s">
        <v>2054</v>
      </c>
      <c r="B851" t="s">
        <v>2055</v>
      </c>
      <c r="C851" t="s">
        <v>909</v>
      </c>
      <c r="D851" t="s">
        <v>2056</v>
      </c>
      <c r="E851" t="s">
        <v>15</v>
      </c>
      <c r="J851" s="1">
        <v>44811</v>
      </c>
      <c r="K851">
        <v>1273</v>
      </c>
      <c r="L851" t="s">
        <v>2057</v>
      </c>
      <c r="M851">
        <v>9</v>
      </c>
      <c r="N851" t="str">
        <f>VLOOKUP(M851,[1]LOJA!$A:$B,2,0)</f>
        <v>ÚNICA</v>
      </c>
      <c r="O851">
        <v>84</v>
      </c>
      <c r="P851" t="str">
        <f>VLOOKUP(O851,[1]OPERADORES!$A:$B,2,0)</f>
        <v>JEICY AZEVEDO</v>
      </c>
      <c r="Q851">
        <v>4</v>
      </c>
      <c r="S851" t="s">
        <v>2058</v>
      </c>
      <c r="T851" s="1">
        <v>44721</v>
      </c>
      <c r="U851" s="2">
        <v>2826.39</v>
      </c>
      <c r="V851" s="2">
        <v>2826.39</v>
      </c>
    </row>
    <row r="852" spans="1:22" x14ac:dyDescent="0.3">
      <c r="A852" t="s">
        <v>2054</v>
      </c>
      <c r="B852" t="s">
        <v>2055</v>
      </c>
      <c r="C852" t="s">
        <v>909</v>
      </c>
      <c r="D852" t="s">
        <v>2056</v>
      </c>
      <c r="E852" t="s">
        <v>15</v>
      </c>
      <c r="J852" s="1">
        <v>44841</v>
      </c>
      <c r="K852">
        <v>1243</v>
      </c>
      <c r="L852" t="s">
        <v>2059</v>
      </c>
      <c r="M852">
        <v>9</v>
      </c>
      <c r="N852" t="str">
        <f>VLOOKUP(M852,[1]LOJA!$A:$B,2,0)</f>
        <v>ÚNICA</v>
      </c>
      <c r="O852">
        <v>84</v>
      </c>
      <c r="P852" t="str">
        <f>VLOOKUP(O852,[1]OPERADORES!$A:$B,2,0)</f>
        <v>JEICY AZEVEDO</v>
      </c>
      <c r="Q852">
        <v>4</v>
      </c>
      <c r="S852" t="s">
        <v>2060</v>
      </c>
      <c r="T852" s="1">
        <v>44721</v>
      </c>
      <c r="U852" s="2">
        <v>2826.39</v>
      </c>
      <c r="V852" s="2">
        <v>2826.39</v>
      </c>
    </row>
    <row r="853" spans="1:22" x14ac:dyDescent="0.3">
      <c r="A853" t="s">
        <v>5670</v>
      </c>
      <c r="B853" t="s">
        <v>32</v>
      </c>
      <c r="C853" t="s">
        <v>226</v>
      </c>
      <c r="D853" t="s">
        <v>5671</v>
      </c>
      <c r="E853" t="s">
        <v>15</v>
      </c>
      <c r="J853" s="1">
        <v>46071</v>
      </c>
      <c r="K853">
        <v>13</v>
      </c>
      <c r="L853" t="s">
        <v>5672</v>
      </c>
      <c r="M853">
        <v>9</v>
      </c>
      <c r="N853" t="str">
        <f>VLOOKUP(M853,[1]LOJA!$A:$B,2,0)</f>
        <v>ÚNICA</v>
      </c>
      <c r="O853">
        <v>144</v>
      </c>
      <c r="P853" t="str">
        <f>VLOOKUP(O853,[1]OPERADORES!$A:$B,2,0)</f>
        <v>CINTIA DA SILVA CARLOS</v>
      </c>
      <c r="Q853">
        <v>4</v>
      </c>
      <c r="S853" t="s">
        <v>5673</v>
      </c>
      <c r="T853" s="1">
        <v>46071</v>
      </c>
      <c r="U853">
        <v>-118.67</v>
      </c>
      <c r="V853">
        <v>-118.67</v>
      </c>
    </row>
    <row r="854" spans="1:22" x14ac:dyDescent="0.3">
      <c r="A854" t="s">
        <v>2061</v>
      </c>
      <c r="B854" t="s">
        <v>32</v>
      </c>
      <c r="C854" t="s">
        <v>13</v>
      </c>
      <c r="D854" t="s">
        <v>2062</v>
      </c>
      <c r="E854" t="s">
        <v>15</v>
      </c>
      <c r="J854" s="1">
        <v>45027</v>
      </c>
      <c r="K854">
        <v>1057</v>
      </c>
      <c r="L854" t="s">
        <v>2063</v>
      </c>
      <c r="M854">
        <v>14</v>
      </c>
      <c r="N854" t="str">
        <f>VLOOKUP(M854,[1]LOJA!$A:$B,2,0)</f>
        <v>S IA</v>
      </c>
      <c r="O854">
        <v>132</v>
      </c>
      <c r="P854" t="str">
        <f>VLOOKUP(O854,[1]OPERADORES!$A:$B,2,0)</f>
        <v>PAMELA GONÇALVES ROSA</v>
      </c>
      <c r="Q854">
        <v>4</v>
      </c>
      <c r="S854" t="s">
        <v>2064</v>
      </c>
      <c r="T854" s="1">
        <v>45027</v>
      </c>
      <c r="U854">
        <v>-27.1</v>
      </c>
      <c r="V854">
        <v>-27.1</v>
      </c>
    </row>
    <row r="855" spans="1:22" x14ac:dyDescent="0.3">
      <c r="A855" t="s">
        <v>2061</v>
      </c>
      <c r="B855" t="s">
        <v>32</v>
      </c>
      <c r="C855" t="s">
        <v>13</v>
      </c>
      <c r="D855" t="s">
        <v>2062</v>
      </c>
      <c r="E855" t="s">
        <v>15</v>
      </c>
      <c r="J855" s="1">
        <v>45370</v>
      </c>
      <c r="K855">
        <v>714</v>
      </c>
      <c r="L855" t="s">
        <v>2065</v>
      </c>
      <c r="M855">
        <v>14</v>
      </c>
      <c r="N855" t="str">
        <f>VLOOKUP(M855,[1]LOJA!$A:$B,2,0)</f>
        <v>S IA</v>
      </c>
      <c r="O855">
        <v>207</v>
      </c>
      <c r="P855" t="str">
        <f>VLOOKUP(O855,[1]OPERADORES!$A:$B,2,0)</f>
        <v>KETILE SABRINE</v>
      </c>
      <c r="Q855">
        <v>4</v>
      </c>
      <c r="S855" t="s">
        <v>2066</v>
      </c>
      <c r="T855" s="1">
        <v>45370</v>
      </c>
      <c r="U855">
        <v>-0.53</v>
      </c>
      <c r="V855">
        <v>-0.53</v>
      </c>
    </row>
    <row r="856" spans="1:22" x14ac:dyDescent="0.3">
      <c r="A856" t="s">
        <v>2061</v>
      </c>
      <c r="B856" t="s">
        <v>32</v>
      </c>
      <c r="C856" t="s">
        <v>13</v>
      </c>
      <c r="D856" t="s">
        <v>2062</v>
      </c>
      <c r="E856" t="s">
        <v>15</v>
      </c>
      <c r="J856" s="1">
        <v>45659</v>
      </c>
      <c r="K856">
        <v>425</v>
      </c>
      <c r="L856" t="s">
        <v>2067</v>
      </c>
      <c r="M856">
        <v>14</v>
      </c>
      <c r="N856" t="str">
        <f>VLOOKUP(M856,[1]LOJA!$A:$B,2,0)</f>
        <v>S IA</v>
      </c>
      <c r="O856">
        <v>207</v>
      </c>
      <c r="P856" t="str">
        <f>VLOOKUP(O856,[1]OPERADORES!$A:$B,2,0)</f>
        <v>KETILE SABRINE</v>
      </c>
      <c r="Q856">
        <v>4</v>
      </c>
      <c r="S856" t="s">
        <v>2066</v>
      </c>
      <c r="T856" s="1">
        <v>45659</v>
      </c>
      <c r="U856">
        <v>-7.1</v>
      </c>
      <c r="V856">
        <v>-7.1</v>
      </c>
    </row>
    <row r="857" spans="1:22" x14ac:dyDescent="0.3">
      <c r="A857" t="s">
        <v>2068</v>
      </c>
      <c r="B857" t="s">
        <v>2069</v>
      </c>
      <c r="C857" t="s">
        <v>13</v>
      </c>
      <c r="D857" t="s">
        <v>2070</v>
      </c>
      <c r="E857" t="s">
        <v>15</v>
      </c>
      <c r="J857" s="1">
        <v>45265</v>
      </c>
      <c r="K857">
        <v>819</v>
      </c>
      <c r="L857" t="s">
        <v>2071</v>
      </c>
      <c r="M857">
        <v>12</v>
      </c>
      <c r="N857" t="str">
        <f>VLOOKUP(M857,[1]LOJA!$A:$B,2,0)</f>
        <v>SOFNORTE</v>
      </c>
      <c r="O857">
        <v>60</v>
      </c>
      <c r="P857" t="str">
        <f>VLOOKUP(O857,[1]OPERADORES!$A:$B,2,0)</f>
        <v>ALEXANDRA</v>
      </c>
      <c r="Q857">
        <v>4</v>
      </c>
      <c r="S857" t="s">
        <v>2072</v>
      </c>
      <c r="T857" s="1">
        <v>45265</v>
      </c>
      <c r="U857" s="2">
        <v>-5320.8</v>
      </c>
      <c r="V857" s="2">
        <v>-5320.8</v>
      </c>
    </row>
    <row r="858" spans="1:22" x14ac:dyDescent="0.3">
      <c r="A858" t="s">
        <v>2068</v>
      </c>
      <c r="B858" t="s">
        <v>2069</v>
      </c>
      <c r="C858" t="s">
        <v>13</v>
      </c>
      <c r="D858" t="s">
        <v>2070</v>
      </c>
      <c r="E858" t="s">
        <v>15</v>
      </c>
      <c r="J858" s="1">
        <v>45895</v>
      </c>
      <c r="K858">
        <v>189</v>
      </c>
      <c r="L858" t="s">
        <v>2073</v>
      </c>
      <c r="M858">
        <v>9</v>
      </c>
      <c r="N858" t="str">
        <f>VLOOKUP(M858,[1]LOJA!$A:$B,2,0)</f>
        <v>ÚNICA</v>
      </c>
      <c r="O858">
        <v>145</v>
      </c>
      <c r="P858" t="str">
        <f>VLOOKUP(O858,[1]OPERADORES!$A:$B,2,0)</f>
        <v xml:space="preserve">FABRICIA </v>
      </c>
      <c r="Q858">
        <v>23</v>
      </c>
      <c r="R858">
        <v>175749</v>
      </c>
      <c r="S858" t="s">
        <v>1445</v>
      </c>
      <c r="T858" s="1">
        <v>45867</v>
      </c>
      <c r="U858">
        <v>280.33999999999997</v>
      </c>
      <c r="V858">
        <v>280.33999999999997</v>
      </c>
    </row>
    <row r="859" spans="1:22" x14ac:dyDescent="0.3">
      <c r="A859" t="s">
        <v>2068</v>
      </c>
      <c r="B859" t="s">
        <v>2069</v>
      </c>
      <c r="C859" t="s">
        <v>13</v>
      </c>
      <c r="D859" t="s">
        <v>2070</v>
      </c>
      <c r="E859" t="s">
        <v>15</v>
      </c>
      <c r="J859" s="1">
        <v>45909</v>
      </c>
      <c r="K859">
        <v>175</v>
      </c>
      <c r="L859" t="s">
        <v>2074</v>
      </c>
      <c r="M859">
        <v>9</v>
      </c>
      <c r="N859" t="str">
        <f>VLOOKUP(M859,[1]LOJA!$A:$B,2,0)</f>
        <v>ÚNICA</v>
      </c>
      <c r="O859">
        <v>145</v>
      </c>
      <c r="P859" t="str">
        <f>VLOOKUP(O859,[1]OPERADORES!$A:$B,2,0)</f>
        <v xml:space="preserve">FABRICIA </v>
      </c>
      <c r="Q859">
        <v>23</v>
      </c>
      <c r="R859">
        <v>175756</v>
      </c>
      <c r="S859" t="s">
        <v>46</v>
      </c>
      <c r="T859" s="1">
        <v>45867</v>
      </c>
      <c r="U859">
        <v>280.33999999999997</v>
      </c>
      <c r="V859">
        <v>280.33999999999997</v>
      </c>
    </row>
    <row r="860" spans="1:22" x14ac:dyDescent="0.3">
      <c r="A860" t="s">
        <v>2075</v>
      </c>
      <c r="B860" t="s">
        <v>2076</v>
      </c>
      <c r="C860" t="s">
        <v>13</v>
      </c>
      <c r="D860" t="s">
        <v>2077</v>
      </c>
      <c r="E860" t="s">
        <v>15</v>
      </c>
      <c r="J860" s="1">
        <v>46062</v>
      </c>
      <c r="K860">
        <v>22</v>
      </c>
      <c r="L860" t="s">
        <v>2078</v>
      </c>
      <c r="M860">
        <v>16</v>
      </c>
      <c r="N860" t="str">
        <f>VLOOKUP(M860,[1]LOJA!$A:$B,2,0)</f>
        <v>AG LINDAS</v>
      </c>
      <c r="O860">
        <v>107</v>
      </c>
      <c r="P860" t="str">
        <f>VLOOKUP(O860,[1]OPERADORES!$A:$B,2,0)</f>
        <v>DAIANA PORTELA</v>
      </c>
      <c r="Q860">
        <v>7</v>
      </c>
      <c r="S860" t="s">
        <v>2079</v>
      </c>
      <c r="T860" s="1">
        <v>46062</v>
      </c>
      <c r="U860">
        <v>-1.31</v>
      </c>
      <c r="V860">
        <v>-1.31</v>
      </c>
    </row>
    <row r="861" spans="1:22" x14ac:dyDescent="0.3">
      <c r="A861" t="s">
        <v>2080</v>
      </c>
      <c r="B861" t="s">
        <v>2081</v>
      </c>
      <c r="C861" t="s">
        <v>13</v>
      </c>
      <c r="D861" t="s">
        <v>2082</v>
      </c>
      <c r="E861" t="s">
        <v>15</v>
      </c>
      <c r="J861" s="1">
        <v>45240</v>
      </c>
      <c r="K861">
        <v>844</v>
      </c>
      <c r="L861" t="s">
        <v>2083</v>
      </c>
      <c r="M861">
        <v>4</v>
      </c>
      <c r="N861" t="str">
        <f>VLOOKUP(M861,[1]LOJA!$A:$B,2,0)</f>
        <v>ADE</v>
      </c>
      <c r="O861">
        <v>132</v>
      </c>
      <c r="P861" t="str">
        <f>VLOOKUP(O861,[1]OPERADORES!$A:$B,2,0)</f>
        <v>PAMELA GONÇALVES ROSA</v>
      </c>
      <c r="Q861">
        <v>4</v>
      </c>
      <c r="S861" t="s">
        <v>2084</v>
      </c>
      <c r="T861" s="1">
        <v>45240</v>
      </c>
      <c r="U861">
        <v>-3.95</v>
      </c>
      <c r="V861">
        <v>-3.95</v>
      </c>
    </row>
    <row r="862" spans="1:22" x14ac:dyDescent="0.3">
      <c r="A862" t="s">
        <v>2080</v>
      </c>
      <c r="B862" t="s">
        <v>2081</v>
      </c>
      <c r="C862" t="s">
        <v>13</v>
      </c>
      <c r="D862" t="s">
        <v>2082</v>
      </c>
      <c r="E862" t="s">
        <v>15</v>
      </c>
      <c r="J862" s="1">
        <v>45790</v>
      </c>
      <c r="K862">
        <v>294</v>
      </c>
      <c r="L862" t="s">
        <v>2085</v>
      </c>
      <c r="M862">
        <v>4</v>
      </c>
      <c r="N862" t="str">
        <f>VLOOKUP(M862,[1]LOJA!$A:$B,2,0)</f>
        <v>ADE</v>
      </c>
      <c r="O862">
        <v>226</v>
      </c>
      <c r="P862" t="str">
        <f>VLOOKUP(O862,[1]OPERADORES!$A:$B,2,0)</f>
        <v>MARIA FÉLIX</v>
      </c>
      <c r="Q862">
        <v>4</v>
      </c>
      <c r="S862" t="s">
        <v>2086</v>
      </c>
      <c r="T862" s="1">
        <v>45790</v>
      </c>
      <c r="U862">
        <v>-18</v>
      </c>
      <c r="V862">
        <v>-18</v>
      </c>
    </row>
    <row r="863" spans="1:22" x14ac:dyDescent="0.3">
      <c r="A863" t="s">
        <v>2087</v>
      </c>
      <c r="B863" t="s">
        <v>2088</v>
      </c>
      <c r="C863" t="s">
        <v>13</v>
      </c>
      <c r="D863" t="s">
        <v>2089</v>
      </c>
      <c r="E863" t="s">
        <v>15</v>
      </c>
      <c r="J863" s="1">
        <v>45303</v>
      </c>
      <c r="K863">
        <v>781</v>
      </c>
      <c r="L863" t="s">
        <v>2090</v>
      </c>
      <c r="M863">
        <v>12</v>
      </c>
      <c r="N863" t="str">
        <f>VLOOKUP(M863,[1]LOJA!$A:$B,2,0)</f>
        <v>SOFNORTE</v>
      </c>
      <c r="O863">
        <v>147</v>
      </c>
      <c r="P863" t="str">
        <f>VLOOKUP(O863,[1]OPERADORES!$A:$B,2,0)</f>
        <v>MICAELE DA CONCEIÇAO SILVA</v>
      </c>
      <c r="Q863">
        <v>4</v>
      </c>
      <c r="S863" t="s">
        <v>2091</v>
      </c>
      <c r="T863" s="1">
        <v>45303</v>
      </c>
      <c r="U863">
        <v>-0.24</v>
      </c>
      <c r="V863">
        <v>-0.24</v>
      </c>
    </row>
    <row r="864" spans="1:22" x14ac:dyDescent="0.3">
      <c r="A864" t="s">
        <v>2092</v>
      </c>
      <c r="B864" t="s">
        <v>2093</v>
      </c>
      <c r="C864" t="s">
        <v>13</v>
      </c>
      <c r="D864" t="s">
        <v>1500</v>
      </c>
      <c r="E864" t="s">
        <v>15</v>
      </c>
      <c r="J864" s="1">
        <v>45399</v>
      </c>
      <c r="K864">
        <v>685</v>
      </c>
      <c r="L864" t="s">
        <v>2094</v>
      </c>
      <c r="M864">
        <v>9</v>
      </c>
      <c r="N864" t="str">
        <f>VLOOKUP(M864,[1]LOJA!$A:$B,2,0)</f>
        <v>ÚNICA</v>
      </c>
      <c r="O864">
        <v>144</v>
      </c>
      <c r="P864" t="str">
        <f>VLOOKUP(O864,[1]OPERADORES!$A:$B,2,0)</f>
        <v>CINTIA DA SILVA CARLOS</v>
      </c>
      <c r="Q864">
        <v>4</v>
      </c>
      <c r="S864" t="s">
        <v>2095</v>
      </c>
      <c r="T864" s="1">
        <v>45399</v>
      </c>
      <c r="U864">
        <v>-0.12</v>
      </c>
      <c r="V864">
        <v>-0.12</v>
      </c>
    </row>
    <row r="865" spans="1:22" x14ac:dyDescent="0.3">
      <c r="A865" t="s">
        <v>2096</v>
      </c>
      <c r="B865" t="s">
        <v>2097</v>
      </c>
      <c r="C865" t="s">
        <v>30</v>
      </c>
      <c r="D865" t="s">
        <v>2098</v>
      </c>
      <c r="E865" t="s">
        <v>15</v>
      </c>
      <c r="J865" s="1">
        <v>45510</v>
      </c>
      <c r="K865">
        <v>574</v>
      </c>
      <c r="L865" t="s">
        <v>2099</v>
      </c>
      <c r="M865">
        <v>12</v>
      </c>
      <c r="N865" t="str">
        <f>VLOOKUP(M865,[1]LOJA!$A:$B,2,0)</f>
        <v>SOFNORTE</v>
      </c>
      <c r="O865">
        <v>209</v>
      </c>
      <c r="P865" t="str">
        <f>VLOOKUP(O865,[1]OPERADORES!$A:$B,2,0)</f>
        <v>MARIA WITHALINA CUNHA DE SOUZA</v>
      </c>
      <c r="Q865">
        <v>4</v>
      </c>
      <c r="S865" t="s">
        <v>2100</v>
      </c>
      <c r="T865" s="1">
        <v>45510</v>
      </c>
      <c r="U865">
        <v>-0.84</v>
      </c>
      <c r="V865">
        <v>-0.84</v>
      </c>
    </row>
    <row r="866" spans="1:22" x14ac:dyDescent="0.3">
      <c r="A866" t="s">
        <v>2101</v>
      </c>
      <c r="B866" t="s">
        <v>2102</v>
      </c>
      <c r="C866" t="s">
        <v>226</v>
      </c>
      <c r="D866" t="s">
        <v>5674</v>
      </c>
      <c r="E866" t="s">
        <v>15</v>
      </c>
      <c r="J866" s="1">
        <v>45498</v>
      </c>
      <c r="K866">
        <v>586</v>
      </c>
      <c r="L866" t="s">
        <v>2103</v>
      </c>
      <c r="M866">
        <v>9</v>
      </c>
      <c r="N866" t="str">
        <f>VLOOKUP(M866,[1]LOJA!$A:$B,2,0)</f>
        <v>ÚNICA</v>
      </c>
      <c r="O866">
        <v>211</v>
      </c>
      <c r="P866" t="str">
        <f>VLOOKUP(O866,[1]OPERADORES!$A:$B,2,0)</f>
        <v>SHEILA MIRANDA</v>
      </c>
      <c r="Q866">
        <v>7</v>
      </c>
      <c r="S866" t="s">
        <v>87</v>
      </c>
      <c r="T866" s="1">
        <v>45468</v>
      </c>
      <c r="U866">
        <v>11.7</v>
      </c>
      <c r="V866">
        <v>11.7</v>
      </c>
    </row>
    <row r="867" spans="1:22" x14ac:dyDescent="0.3">
      <c r="A867" t="s">
        <v>2101</v>
      </c>
      <c r="B867" t="s">
        <v>2102</v>
      </c>
      <c r="C867" t="s">
        <v>226</v>
      </c>
      <c r="D867" t="s">
        <v>5674</v>
      </c>
      <c r="E867" t="s">
        <v>15</v>
      </c>
      <c r="J867" s="1">
        <v>46081</v>
      </c>
      <c r="K867">
        <v>3</v>
      </c>
      <c r="L867" t="s">
        <v>5675</v>
      </c>
      <c r="M867">
        <v>14</v>
      </c>
      <c r="N867" t="str">
        <f>VLOOKUP(M867,[1]LOJA!$A:$B,2,0)</f>
        <v>S IA</v>
      </c>
      <c r="O867">
        <v>212</v>
      </c>
      <c r="P867" t="str">
        <f>VLOOKUP(O867,[1]OPERADORES!$A:$B,2,0)</f>
        <v>YASMIN</v>
      </c>
      <c r="Q867">
        <v>27</v>
      </c>
      <c r="R867">
        <v>2000008983</v>
      </c>
      <c r="S867" t="s">
        <v>1169</v>
      </c>
      <c r="T867" s="1">
        <v>46051</v>
      </c>
      <c r="U867" s="2">
        <v>1231.58</v>
      </c>
      <c r="V867" s="2">
        <v>1231.58</v>
      </c>
    </row>
    <row r="868" spans="1:22" x14ac:dyDescent="0.3">
      <c r="A868" t="s">
        <v>2104</v>
      </c>
      <c r="B868" t="s">
        <v>2105</v>
      </c>
      <c r="C868" t="s">
        <v>13</v>
      </c>
      <c r="D868" t="s">
        <v>2106</v>
      </c>
      <c r="E868" t="s">
        <v>15</v>
      </c>
      <c r="J868" s="1">
        <v>45597</v>
      </c>
      <c r="K868">
        <v>487</v>
      </c>
      <c r="L868" t="s">
        <v>2107</v>
      </c>
      <c r="M868">
        <v>14</v>
      </c>
      <c r="N868" t="str">
        <f>VLOOKUP(M868,[1]LOJA!$A:$B,2,0)</f>
        <v>S IA</v>
      </c>
      <c r="O868">
        <v>207</v>
      </c>
      <c r="P868" t="str">
        <f>VLOOKUP(O868,[1]OPERADORES!$A:$B,2,0)</f>
        <v>KETILE SABRINE</v>
      </c>
      <c r="Q868">
        <v>4</v>
      </c>
      <c r="S868" t="s">
        <v>2108</v>
      </c>
      <c r="T868" s="1">
        <v>45597</v>
      </c>
      <c r="U868">
        <v>-32.82</v>
      </c>
      <c r="V868">
        <v>-32.82</v>
      </c>
    </row>
    <row r="869" spans="1:22" x14ac:dyDescent="0.3">
      <c r="A869" t="s">
        <v>2109</v>
      </c>
      <c r="B869" t="s">
        <v>2110</v>
      </c>
      <c r="C869" t="s">
        <v>13</v>
      </c>
      <c r="D869" t="s">
        <v>5676</v>
      </c>
      <c r="E869" t="s">
        <v>15</v>
      </c>
      <c r="J869" s="1">
        <v>45979</v>
      </c>
      <c r="K869">
        <v>105</v>
      </c>
      <c r="L869" t="s">
        <v>2111</v>
      </c>
      <c r="M869">
        <v>14</v>
      </c>
      <c r="N869" t="str">
        <f>VLOOKUP(M869,[1]LOJA!$A:$B,2,0)</f>
        <v>S IA</v>
      </c>
      <c r="O869">
        <v>212</v>
      </c>
      <c r="P869" t="str">
        <f>VLOOKUP(O869,[1]OPERADORES!$A:$B,2,0)</f>
        <v>YASMIN</v>
      </c>
      <c r="Q869">
        <v>4</v>
      </c>
      <c r="S869" t="s">
        <v>2112</v>
      </c>
      <c r="T869" s="1">
        <v>45978</v>
      </c>
      <c r="U869">
        <v>-0.4</v>
      </c>
      <c r="V869">
        <v>-0.4</v>
      </c>
    </row>
    <row r="870" spans="1:22" x14ac:dyDescent="0.3">
      <c r="A870" t="s">
        <v>2109</v>
      </c>
      <c r="B870" t="s">
        <v>2110</v>
      </c>
      <c r="C870" t="s">
        <v>13</v>
      </c>
      <c r="D870" t="s">
        <v>5676</v>
      </c>
      <c r="E870" t="s">
        <v>15</v>
      </c>
      <c r="J870" s="1">
        <v>46080</v>
      </c>
      <c r="K870">
        <v>4</v>
      </c>
      <c r="L870" t="s">
        <v>5677</v>
      </c>
      <c r="M870">
        <v>14</v>
      </c>
      <c r="N870" t="str">
        <f>VLOOKUP(M870,[1]LOJA!$A:$B,2,0)</f>
        <v>S IA</v>
      </c>
      <c r="O870">
        <v>54</v>
      </c>
      <c r="P870" t="str">
        <f>VLOOKUP(O870,[1]OPERADORES!$A:$B,2,0)</f>
        <v>ROBSON</v>
      </c>
      <c r="Q870">
        <v>27</v>
      </c>
      <c r="R870">
        <v>2000008977</v>
      </c>
      <c r="S870" t="s">
        <v>87</v>
      </c>
      <c r="T870" s="1">
        <v>46050</v>
      </c>
      <c r="U870">
        <v>972.18</v>
      </c>
      <c r="V870">
        <v>972.18</v>
      </c>
    </row>
    <row r="871" spans="1:22" x14ac:dyDescent="0.3">
      <c r="A871" t="s">
        <v>2113</v>
      </c>
      <c r="B871" t="s">
        <v>2114</v>
      </c>
      <c r="C871" t="s">
        <v>13</v>
      </c>
      <c r="D871" t="s">
        <v>2115</v>
      </c>
      <c r="E871" t="s">
        <v>15</v>
      </c>
      <c r="J871" s="1">
        <v>45553</v>
      </c>
      <c r="K871">
        <v>531</v>
      </c>
      <c r="L871" t="s">
        <v>2116</v>
      </c>
      <c r="M871">
        <v>6</v>
      </c>
      <c r="N871" t="str">
        <f>VLOOKUP(M871,[1]LOJA!$A:$B,2,0)</f>
        <v>GAMA</v>
      </c>
      <c r="O871">
        <v>98</v>
      </c>
      <c r="P871" t="str">
        <f>VLOOKUP(O871,[1]OPERADORES!$A:$B,2,0)</f>
        <v xml:space="preserve">ARIGLEICE </v>
      </c>
      <c r="Q871">
        <v>4</v>
      </c>
      <c r="S871" t="s">
        <v>2117</v>
      </c>
      <c r="T871" s="1">
        <v>45553</v>
      </c>
      <c r="U871">
        <v>-11.3</v>
      </c>
      <c r="V871">
        <v>-11.3</v>
      </c>
    </row>
    <row r="872" spans="1:22" x14ac:dyDescent="0.3">
      <c r="A872" t="s">
        <v>2118</v>
      </c>
      <c r="B872" t="s">
        <v>2119</v>
      </c>
      <c r="C872" t="s">
        <v>2120</v>
      </c>
      <c r="D872" t="s">
        <v>2121</v>
      </c>
      <c r="E872" t="s">
        <v>15</v>
      </c>
      <c r="J872" s="1">
        <v>44701</v>
      </c>
      <c r="K872">
        <v>1383</v>
      </c>
      <c r="L872" t="s">
        <v>2122</v>
      </c>
      <c r="M872">
        <v>4</v>
      </c>
      <c r="N872" t="str">
        <f>VLOOKUP(M872,[1]LOJA!$A:$B,2,0)</f>
        <v>ADE</v>
      </c>
      <c r="O872">
        <v>20</v>
      </c>
      <c r="P872" t="str">
        <f>VLOOKUP(O872,[1]OPERADORES!$A:$B,2,0)</f>
        <v>MAYARA</v>
      </c>
      <c r="Q872">
        <v>12</v>
      </c>
      <c r="S872" t="s">
        <v>2123</v>
      </c>
      <c r="T872" s="1">
        <v>44683</v>
      </c>
      <c r="U872" s="2">
        <v>4792.7700000000004</v>
      </c>
      <c r="V872" s="2">
        <v>4792.7700000000004</v>
      </c>
    </row>
    <row r="873" spans="1:22" x14ac:dyDescent="0.3">
      <c r="A873" t="s">
        <v>2118</v>
      </c>
      <c r="B873" t="s">
        <v>2119</v>
      </c>
      <c r="C873" t="s">
        <v>2120</v>
      </c>
      <c r="D873" t="s">
        <v>2121</v>
      </c>
      <c r="E873" t="s">
        <v>15</v>
      </c>
      <c r="J873" s="1">
        <v>44819</v>
      </c>
      <c r="K873">
        <v>1265</v>
      </c>
      <c r="L873" t="s">
        <v>2124</v>
      </c>
      <c r="M873">
        <v>4</v>
      </c>
      <c r="N873" t="str">
        <f>VLOOKUP(M873,[1]LOJA!$A:$B,2,0)</f>
        <v>ADE</v>
      </c>
      <c r="O873">
        <v>84</v>
      </c>
      <c r="P873" t="str">
        <f>VLOOKUP(O873,[1]OPERADORES!$A:$B,2,0)</f>
        <v>JEICY AZEVEDO</v>
      </c>
      <c r="Q873">
        <v>12</v>
      </c>
      <c r="S873" t="s">
        <v>2125</v>
      </c>
      <c r="T873" s="1">
        <v>44805</v>
      </c>
      <c r="U873" s="2">
        <v>1227.8800000000001</v>
      </c>
      <c r="V873" s="2">
        <v>1227.8800000000001</v>
      </c>
    </row>
    <row r="874" spans="1:22" x14ac:dyDescent="0.3">
      <c r="A874" t="s">
        <v>2118</v>
      </c>
      <c r="B874" t="s">
        <v>2119</v>
      </c>
      <c r="C874" t="s">
        <v>2120</v>
      </c>
      <c r="D874" t="s">
        <v>2121</v>
      </c>
      <c r="E874" t="s">
        <v>15</v>
      </c>
      <c r="J874" s="1">
        <v>44849</v>
      </c>
      <c r="K874">
        <v>1235</v>
      </c>
      <c r="L874" t="s">
        <v>2126</v>
      </c>
      <c r="M874">
        <v>4</v>
      </c>
      <c r="N874" t="str">
        <f>VLOOKUP(M874,[1]LOJA!$A:$B,2,0)</f>
        <v>ADE</v>
      </c>
      <c r="O874">
        <v>20</v>
      </c>
      <c r="P874" t="str">
        <f>VLOOKUP(O874,[1]OPERADORES!$A:$B,2,0)</f>
        <v>MAYARA</v>
      </c>
      <c r="Q874">
        <v>12</v>
      </c>
      <c r="S874" t="s">
        <v>2127</v>
      </c>
      <c r="T874" s="1">
        <v>44837</v>
      </c>
      <c r="U874">
        <v>994.75</v>
      </c>
      <c r="V874">
        <v>994.75</v>
      </c>
    </row>
    <row r="875" spans="1:22" x14ac:dyDescent="0.3">
      <c r="A875" t="s">
        <v>2118</v>
      </c>
      <c r="B875" t="s">
        <v>2119</v>
      </c>
      <c r="C875" t="s">
        <v>2120</v>
      </c>
      <c r="D875" t="s">
        <v>2121</v>
      </c>
      <c r="E875" t="s">
        <v>15</v>
      </c>
      <c r="J875" s="1">
        <v>44880</v>
      </c>
      <c r="K875">
        <v>1204</v>
      </c>
      <c r="L875" t="s">
        <v>2128</v>
      </c>
      <c r="M875">
        <v>4</v>
      </c>
      <c r="N875" t="str">
        <f>VLOOKUP(M875,[1]LOJA!$A:$B,2,0)</f>
        <v>ADE</v>
      </c>
      <c r="O875">
        <v>20</v>
      </c>
      <c r="P875" t="str">
        <f>VLOOKUP(O875,[1]OPERADORES!$A:$B,2,0)</f>
        <v>MAYARA</v>
      </c>
      <c r="Q875">
        <v>12</v>
      </c>
      <c r="S875" t="s">
        <v>2129</v>
      </c>
      <c r="T875" s="1">
        <v>44865</v>
      </c>
      <c r="U875" s="2">
        <v>1822.49</v>
      </c>
      <c r="V875" s="2">
        <v>1822.49</v>
      </c>
    </row>
    <row r="876" spans="1:22" x14ac:dyDescent="0.3">
      <c r="A876" t="s">
        <v>2118</v>
      </c>
      <c r="B876" t="s">
        <v>2119</v>
      </c>
      <c r="C876" t="s">
        <v>2120</v>
      </c>
      <c r="D876" t="s">
        <v>2121</v>
      </c>
      <c r="E876" t="s">
        <v>15</v>
      </c>
      <c r="J876" s="1">
        <v>45989</v>
      </c>
      <c r="K876">
        <v>95</v>
      </c>
      <c r="L876" t="s">
        <v>2130</v>
      </c>
      <c r="M876">
        <v>14</v>
      </c>
      <c r="N876" t="str">
        <f>VLOOKUP(M876,[1]LOJA!$A:$B,2,0)</f>
        <v>S IA</v>
      </c>
      <c r="O876">
        <v>54</v>
      </c>
      <c r="P876" t="str">
        <f>VLOOKUP(O876,[1]OPERADORES!$A:$B,2,0)</f>
        <v>ROBSON</v>
      </c>
      <c r="Q876">
        <v>7</v>
      </c>
      <c r="S876" t="s">
        <v>2131</v>
      </c>
      <c r="T876" s="1">
        <v>45988</v>
      </c>
      <c r="U876">
        <v>951.02</v>
      </c>
      <c r="V876">
        <v>951.02</v>
      </c>
    </row>
    <row r="877" spans="1:22" x14ac:dyDescent="0.3">
      <c r="A877" t="s">
        <v>2132</v>
      </c>
      <c r="B877" t="s">
        <v>2133</v>
      </c>
      <c r="C877" t="s">
        <v>13</v>
      </c>
      <c r="D877" t="s">
        <v>1057</v>
      </c>
      <c r="E877" t="s">
        <v>15</v>
      </c>
      <c r="J877" s="1">
        <v>45461</v>
      </c>
      <c r="K877">
        <v>623</v>
      </c>
      <c r="L877" t="s">
        <v>2134</v>
      </c>
      <c r="M877">
        <v>14</v>
      </c>
      <c r="N877" t="str">
        <f>VLOOKUP(M877,[1]LOJA!$A:$B,2,0)</f>
        <v>S IA</v>
      </c>
      <c r="O877">
        <v>227</v>
      </c>
      <c r="P877" t="str">
        <f>VLOOKUP(O877,[1]OPERADORES!$A:$B,2,0)</f>
        <v>WHALISSON</v>
      </c>
      <c r="Q877">
        <v>4</v>
      </c>
      <c r="S877" t="s">
        <v>2135</v>
      </c>
      <c r="T877" s="1">
        <v>45461</v>
      </c>
      <c r="U877">
        <v>-0.01</v>
      </c>
      <c r="V877">
        <v>-0.01</v>
      </c>
    </row>
    <row r="878" spans="1:22" x14ac:dyDescent="0.3">
      <c r="A878" t="s">
        <v>2136</v>
      </c>
      <c r="B878" t="s">
        <v>2137</v>
      </c>
      <c r="C878" t="s">
        <v>13</v>
      </c>
      <c r="D878" t="s">
        <v>2138</v>
      </c>
      <c r="E878" t="s">
        <v>15</v>
      </c>
      <c r="J878" s="1">
        <v>45946</v>
      </c>
      <c r="K878">
        <v>138</v>
      </c>
      <c r="L878" t="s">
        <v>2139</v>
      </c>
      <c r="M878">
        <v>14</v>
      </c>
      <c r="N878" t="str">
        <f>VLOOKUP(M878,[1]LOJA!$A:$B,2,0)</f>
        <v>S IA</v>
      </c>
      <c r="O878">
        <v>54</v>
      </c>
      <c r="P878" t="str">
        <f>VLOOKUP(O878,[1]OPERADORES!$A:$B,2,0)</f>
        <v>ROBSON</v>
      </c>
      <c r="Q878">
        <v>4</v>
      </c>
      <c r="S878" t="s">
        <v>2140</v>
      </c>
      <c r="T878" s="1">
        <v>45946</v>
      </c>
      <c r="U878">
        <v>-6.28</v>
      </c>
      <c r="V878">
        <v>-6.28</v>
      </c>
    </row>
    <row r="879" spans="1:22" x14ac:dyDescent="0.3">
      <c r="A879" t="s">
        <v>2141</v>
      </c>
      <c r="B879" t="s">
        <v>2142</v>
      </c>
      <c r="C879" t="s">
        <v>293</v>
      </c>
      <c r="D879" t="s">
        <v>5678</v>
      </c>
      <c r="E879" t="s">
        <v>15</v>
      </c>
      <c r="J879" s="1">
        <v>44917</v>
      </c>
      <c r="K879">
        <v>1167</v>
      </c>
      <c r="L879" t="s">
        <v>2143</v>
      </c>
      <c r="M879">
        <v>8</v>
      </c>
      <c r="N879" t="str">
        <f>VLOOKUP(M879,[1]LOJA!$A:$B,2,0)</f>
        <v>LUZIÂNIA</v>
      </c>
      <c r="O879">
        <v>170</v>
      </c>
      <c r="P879" t="str">
        <f>VLOOKUP(O879,[1]OPERADORES!$A:$B,2,0)</f>
        <v>MARIA LUISA</v>
      </c>
      <c r="Q879">
        <v>4</v>
      </c>
      <c r="S879" t="s">
        <v>2144</v>
      </c>
      <c r="T879" s="1">
        <v>44917</v>
      </c>
      <c r="U879">
        <v>-4.4800000000000004</v>
      </c>
      <c r="V879">
        <v>-4.4800000000000004</v>
      </c>
    </row>
    <row r="880" spans="1:22" x14ac:dyDescent="0.3">
      <c r="A880" t="s">
        <v>2141</v>
      </c>
      <c r="B880" t="s">
        <v>2142</v>
      </c>
      <c r="C880" t="s">
        <v>293</v>
      </c>
      <c r="D880" t="s">
        <v>5678</v>
      </c>
      <c r="E880" t="s">
        <v>15</v>
      </c>
      <c r="J880" s="1">
        <v>45140</v>
      </c>
      <c r="K880">
        <v>944</v>
      </c>
      <c r="L880" t="s">
        <v>2145</v>
      </c>
      <c r="M880">
        <v>8</v>
      </c>
      <c r="N880" t="str">
        <f>VLOOKUP(M880,[1]LOJA!$A:$B,2,0)</f>
        <v>LUZIÂNIA</v>
      </c>
      <c r="O880">
        <v>84</v>
      </c>
      <c r="P880" t="str">
        <f>VLOOKUP(O880,[1]OPERADORES!$A:$B,2,0)</f>
        <v>JEICY AZEVEDO</v>
      </c>
      <c r="Q880">
        <v>25</v>
      </c>
      <c r="S880" t="s">
        <v>2146</v>
      </c>
      <c r="T880" s="1">
        <v>45140</v>
      </c>
      <c r="U880">
        <v>-50</v>
      </c>
      <c r="V880">
        <v>-50</v>
      </c>
    </row>
    <row r="881" spans="1:22" x14ac:dyDescent="0.3">
      <c r="A881" t="s">
        <v>2141</v>
      </c>
      <c r="B881" t="s">
        <v>2142</v>
      </c>
      <c r="C881" t="s">
        <v>293</v>
      </c>
      <c r="D881" t="s">
        <v>5678</v>
      </c>
      <c r="E881" t="s">
        <v>15</v>
      </c>
      <c r="J881" s="1">
        <v>46030</v>
      </c>
      <c r="K881">
        <v>54</v>
      </c>
      <c r="L881" t="s">
        <v>2147</v>
      </c>
      <c r="M881">
        <v>6</v>
      </c>
      <c r="N881" t="str">
        <f>VLOOKUP(M881,[1]LOJA!$A:$B,2,0)</f>
        <v>GAMA</v>
      </c>
      <c r="O881">
        <v>229</v>
      </c>
      <c r="P881" t="str">
        <f>VLOOKUP(O881,[1]OPERADORES!$A:$B,2,0)</f>
        <v>FRED</v>
      </c>
      <c r="Q881">
        <v>4</v>
      </c>
      <c r="S881" t="s">
        <v>2148</v>
      </c>
      <c r="T881" s="1">
        <v>46030</v>
      </c>
      <c r="U881">
        <v>-0.02</v>
      </c>
      <c r="V881">
        <v>-0.02</v>
      </c>
    </row>
    <row r="882" spans="1:22" x14ac:dyDescent="0.3">
      <c r="A882" t="s">
        <v>2141</v>
      </c>
      <c r="B882" t="s">
        <v>2142</v>
      </c>
      <c r="C882" t="s">
        <v>293</v>
      </c>
      <c r="D882" t="s">
        <v>5678</v>
      </c>
      <c r="E882" t="s">
        <v>15</v>
      </c>
      <c r="J882" s="1">
        <v>46073</v>
      </c>
      <c r="K882">
        <v>11</v>
      </c>
      <c r="L882" t="s">
        <v>5679</v>
      </c>
      <c r="M882">
        <v>6</v>
      </c>
      <c r="N882" t="str">
        <f>VLOOKUP(M882,[1]LOJA!$A:$B,2,0)</f>
        <v>GAMA</v>
      </c>
      <c r="O882">
        <v>20</v>
      </c>
      <c r="P882" t="str">
        <f>VLOOKUP(O882,[1]OPERADORES!$A:$B,2,0)</f>
        <v>MAYARA</v>
      </c>
      <c r="Q882">
        <v>12</v>
      </c>
      <c r="S882" t="s">
        <v>5680</v>
      </c>
      <c r="T882" s="1">
        <v>46056</v>
      </c>
      <c r="U882" s="2">
        <v>1912.02</v>
      </c>
      <c r="V882" s="2">
        <v>1912.02</v>
      </c>
    </row>
    <row r="883" spans="1:22" x14ac:dyDescent="0.3">
      <c r="A883" t="s">
        <v>2149</v>
      </c>
      <c r="B883" t="s">
        <v>2150</v>
      </c>
      <c r="C883" t="s">
        <v>13</v>
      </c>
      <c r="D883" t="s">
        <v>2151</v>
      </c>
      <c r="E883" t="s">
        <v>15</v>
      </c>
      <c r="J883" s="1">
        <v>44503</v>
      </c>
      <c r="K883">
        <v>1581</v>
      </c>
      <c r="L883" t="s">
        <v>2152</v>
      </c>
      <c r="M883">
        <v>4</v>
      </c>
      <c r="N883" t="str">
        <f>VLOOKUP(M883,[1]LOJA!$A:$B,2,0)</f>
        <v>ADE</v>
      </c>
      <c r="O883">
        <v>84</v>
      </c>
      <c r="P883" t="str">
        <f>VLOOKUP(O883,[1]OPERADORES!$A:$B,2,0)</f>
        <v>JEICY AZEVEDO</v>
      </c>
      <c r="Q883">
        <v>20</v>
      </c>
      <c r="R883">
        <v>1000004160</v>
      </c>
      <c r="S883" t="s">
        <v>2153</v>
      </c>
      <c r="T883" s="1">
        <v>44413</v>
      </c>
      <c r="U883">
        <v>988</v>
      </c>
      <c r="V883">
        <v>988</v>
      </c>
    </row>
    <row r="884" spans="1:22" x14ac:dyDescent="0.3">
      <c r="A884" t="s">
        <v>2154</v>
      </c>
      <c r="B884" t="s">
        <v>2155</v>
      </c>
      <c r="C884" t="s">
        <v>13</v>
      </c>
      <c r="D884" t="s">
        <v>2156</v>
      </c>
      <c r="E884" t="s">
        <v>15</v>
      </c>
      <c r="J884" s="1">
        <v>45615</v>
      </c>
      <c r="K884">
        <v>469</v>
      </c>
      <c r="L884" t="s">
        <v>2157</v>
      </c>
      <c r="M884">
        <v>14</v>
      </c>
      <c r="N884" t="str">
        <f>VLOOKUP(M884,[1]LOJA!$A:$B,2,0)</f>
        <v>S IA</v>
      </c>
      <c r="O884">
        <v>227</v>
      </c>
      <c r="P884" t="str">
        <f>VLOOKUP(O884,[1]OPERADORES!$A:$B,2,0)</f>
        <v>WHALISSON</v>
      </c>
      <c r="Q884">
        <v>4</v>
      </c>
      <c r="S884" t="s">
        <v>2158</v>
      </c>
      <c r="T884" s="1">
        <v>45615</v>
      </c>
      <c r="U884">
        <v>-3.27</v>
      </c>
      <c r="V884">
        <v>-3.27</v>
      </c>
    </row>
    <row r="885" spans="1:22" x14ac:dyDescent="0.3">
      <c r="A885" t="s">
        <v>2154</v>
      </c>
      <c r="B885" t="s">
        <v>2155</v>
      </c>
      <c r="C885" t="s">
        <v>13</v>
      </c>
      <c r="D885" t="s">
        <v>2156</v>
      </c>
      <c r="E885" t="s">
        <v>15</v>
      </c>
      <c r="J885" s="1">
        <v>45694</v>
      </c>
      <c r="K885">
        <v>390</v>
      </c>
      <c r="L885" t="s">
        <v>2159</v>
      </c>
      <c r="M885">
        <v>14</v>
      </c>
      <c r="N885" t="str">
        <f>VLOOKUP(M885,[1]LOJA!$A:$B,2,0)</f>
        <v>S IA</v>
      </c>
      <c r="O885">
        <v>227</v>
      </c>
      <c r="P885" t="str">
        <f>VLOOKUP(O885,[1]OPERADORES!$A:$B,2,0)</f>
        <v>WHALISSON</v>
      </c>
      <c r="Q885">
        <v>7</v>
      </c>
      <c r="S885" t="s">
        <v>87</v>
      </c>
      <c r="T885" s="1">
        <v>45693</v>
      </c>
      <c r="U885">
        <v>137.80000000000001</v>
      </c>
      <c r="V885">
        <v>137.80000000000001</v>
      </c>
    </row>
    <row r="886" spans="1:22" x14ac:dyDescent="0.3">
      <c r="A886" t="s">
        <v>2154</v>
      </c>
      <c r="B886" t="s">
        <v>2155</v>
      </c>
      <c r="C886" t="s">
        <v>13</v>
      </c>
      <c r="D886" t="s">
        <v>2156</v>
      </c>
      <c r="E886" t="s">
        <v>15</v>
      </c>
      <c r="J886" s="1">
        <v>45694</v>
      </c>
      <c r="K886">
        <v>390</v>
      </c>
      <c r="L886" t="s">
        <v>2160</v>
      </c>
      <c r="M886">
        <v>14</v>
      </c>
      <c r="N886" t="str">
        <f>VLOOKUP(M886,[1]LOJA!$A:$B,2,0)</f>
        <v>S IA</v>
      </c>
      <c r="O886">
        <v>54</v>
      </c>
      <c r="P886" t="str">
        <f>VLOOKUP(O886,[1]OPERADORES!$A:$B,2,0)</f>
        <v>ROBSON</v>
      </c>
      <c r="Q886">
        <v>7</v>
      </c>
      <c r="S886" t="s">
        <v>87</v>
      </c>
      <c r="T886" s="1">
        <v>45693</v>
      </c>
      <c r="U886">
        <v>60</v>
      </c>
      <c r="V886">
        <v>60</v>
      </c>
    </row>
    <row r="887" spans="1:22" x14ac:dyDescent="0.3">
      <c r="A887" t="s">
        <v>2161</v>
      </c>
      <c r="B887" t="s">
        <v>2162</v>
      </c>
      <c r="C887" t="s">
        <v>226</v>
      </c>
      <c r="D887" t="s">
        <v>2163</v>
      </c>
      <c r="E887" t="s">
        <v>15</v>
      </c>
      <c r="J887" s="1">
        <v>45866</v>
      </c>
      <c r="K887">
        <v>218</v>
      </c>
      <c r="L887" t="s">
        <v>2164</v>
      </c>
      <c r="M887">
        <v>14</v>
      </c>
      <c r="N887" t="str">
        <f>VLOOKUP(M887,[1]LOJA!$A:$B,2,0)</f>
        <v>S IA</v>
      </c>
      <c r="O887">
        <v>212</v>
      </c>
      <c r="P887" t="str">
        <f>VLOOKUP(O887,[1]OPERADORES!$A:$B,2,0)</f>
        <v>YASMIN</v>
      </c>
      <c r="Q887">
        <v>4</v>
      </c>
      <c r="S887" t="s">
        <v>2165</v>
      </c>
      <c r="T887" s="1">
        <v>45866</v>
      </c>
      <c r="U887">
        <v>-40</v>
      </c>
      <c r="V887">
        <v>-40</v>
      </c>
    </row>
    <row r="888" spans="1:22" x14ac:dyDescent="0.3">
      <c r="A888" t="s">
        <v>5681</v>
      </c>
      <c r="B888" t="s">
        <v>5682</v>
      </c>
      <c r="C888" t="s">
        <v>13</v>
      </c>
      <c r="D888" t="s">
        <v>5683</v>
      </c>
      <c r="E888" t="s">
        <v>15</v>
      </c>
      <c r="J888" s="1">
        <v>46080</v>
      </c>
      <c r="K888">
        <v>4</v>
      </c>
      <c r="L888" t="s">
        <v>5684</v>
      </c>
      <c r="M888">
        <v>14</v>
      </c>
      <c r="N888" t="str">
        <f>VLOOKUP(M888,[1]LOJA!$A:$B,2,0)</f>
        <v>S IA</v>
      </c>
      <c r="O888">
        <v>54</v>
      </c>
      <c r="P888" t="str">
        <f>VLOOKUP(O888,[1]OPERADORES!$A:$B,2,0)</f>
        <v>ROBSON</v>
      </c>
      <c r="Q888">
        <v>7</v>
      </c>
      <c r="S888" t="s">
        <v>87</v>
      </c>
      <c r="T888" s="1">
        <v>46079</v>
      </c>
      <c r="U888">
        <v>429.62</v>
      </c>
      <c r="V888">
        <v>429.62</v>
      </c>
    </row>
    <row r="889" spans="1:22" x14ac:dyDescent="0.3">
      <c r="A889" t="s">
        <v>2166</v>
      </c>
      <c r="B889" t="s">
        <v>2167</v>
      </c>
      <c r="C889" t="s">
        <v>13</v>
      </c>
      <c r="D889" t="s">
        <v>2168</v>
      </c>
      <c r="E889" t="s">
        <v>15</v>
      </c>
      <c r="J889" s="1">
        <v>45644</v>
      </c>
      <c r="K889">
        <v>440</v>
      </c>
      <c r="L889" t="s">
        <v>2169</v>
      </c>
      <c r="M889">
        <v>4</v>
      </c>
      <c r="N889" t="str">
        <f>VLOOKUP(M889,[1]LOJA!$A:$B,2,0)</f>
        <v>ADE</v>
      </c>
      <c r="O889">
        <v>226</v>
      </c>
      <c r="P889" t="str">
        <f>VLOOKUP(O889,[1]OPERADORES!$A:$B,2,0)</f>
        <v>MARIA FÉLIX</v>
      </c>
      <c r="Q889">
        <v>4</v>
      </c>
      <c r="S889" t="s">
        <v>2170</v>
      </c>
      <c r="T889" s="1">
        <v>45644</v>
      </c>
      <c r="U889">
        <v>-6.63</v>
      </c>
      <c r="V889">
        <v>-6.63</v>
      </c>
    </row>
    <row r="890" spans="1:22" x14ac:dyDescent="0.3">
      <c r="A890" t="s">
        <v>2171</v>
      </c>
      <c r="B890" t="s">
        <v>2172</v>
      </c>
      <c r="C890" t="s">
        <v>13</v>
      </c>
      <c r="D890" t="s">
        <v>2173</v>
      </c>
      <c r="E890" t="s">
        <v>15</v>
      </c>
      <c r="J890" s="1">
        <v>45112</v>
      </c>
      <c r="K890">
        <v>972</v>
      </c>
      <c r="L890" t="s">
        <v>2174</v>
      </c>
      <c r="M890">
        <v>16</v>
      </c>
      <c r="N890" t="str">
        <f>VLOOKUP(M890,[1]LOJA!$A:$B,2,0)</f>
        <v>AG LINDAS</v>
      </c>
      <c r="O890">
        <v>185</v>
      </c>
      <c r="P890" t="str">
        <f>VLOOKUP(O890,[1]OPERADORES!$A:$B,2,0)</f>
        <v>FELIPE OLIVEIRA PONTE</v>
      </c>
      <c r="Q890">
        <v>7</v>
      </c>
      <c r="S890" t="s">
        <v>87</v>
      </c>
      <c r="T890" s="1">
        <v>45111</v>
      </c>
      <c r="U890">
        <v>957</v>
      </c>
      <c r="V890">
        <v>957</v>
      </c>
    </row>
    <row r="891" spans="1:22" x14ac:dyDescent="0.3">
      <c r="A891" t="s">
        <v>2171</v>
      </c>
      <c r="B891" t="s">
        <v>2172</v>
      </c>
      <c r="C891" t="s">
        <v>13</v>
      </c>
      <c r="D891" t="s">
        <v>2173</v>
      </c>
      <c r="E891" t="s">
        <v>15</v>
      </c>
      <c r="J891" s="1">
        <v>45112</v>
      </c>
      <c r="K891">
        <v>972</v>
      </c>
      <c r="L891" t="s">
        <v>2175</v>
      </c>
      <c r="M891">
        <v>16</v>
      </c>
      <c r="N891" t="str">
        <f>VLOOKUP(M891,[1]LOJA!$A:$B,2,0)</f>
        <v>AG LINDAS</v>
      </c>
      <c r="O891">
        <v>185</v>
      </c>
      <c r="P891" t="str">
        <f>VLOOKUP(O891,[1]OPERADORES!$A:$B,2,0)</f>
        <v>FELIPE OLIVEIRA PONTE</v>
      </c>
      <c r="Q891">
        <v>7</v>
      </c>
      <c r="S891" t="s">
        <v>2176</v>
      </c>
      <c r="T891" s="1">
        <v>45111</v>
      </c>
      <c r="U891">
        <v>40</v>
      </c>
      <c r="V891">
        <v>40</v>
      </c>
    </row>
    <row r="892" spans="1:22" x14ac:dyDescent="0.3">
      <c r="A892" t="s">
        <v>2177</v>
      </c>
      <c r="B892" t="s">
        <v>2178</v>
      </c>
      <c r="C892" t="s">
        <v>324</v>
      </c>
      <c r="D892" t="s">
        <v>5685</v>
      </c>
      <c r="E892" t="s">
        <v>15</v>
      </c>
      <c r="J892" s="1">
        <v>45940</v>
      </c>
      <c r="K892">
        <v>144</v>
      </c>
      <c r="L892" t="s">
        <v>2179</v>
      </c>
      <c r="M892">
        <v>9</v>
      </c>
      <c r="N892" t="str">
        <f>VLOOKUP(M892,[1]LOJA!$A:$B,2,0)</f>
        <v>ÚNICA</v>
      </c>
      <c r="O892">
        <v>144</v>
      </c>
      <c r="P892" t="str">
        <f>VLOOKUP(O892,[1]OPERADORES!$A:$B,2,0)</f>
        <v>CINTIA DA SILVA CARLOS</v>
      </c>
      <c r="Q892">
        <v>4</v>
      </c>
      <c r="S892" t="s">
        <v>2180</v>
      </c>
      <c r="T892" s="1">
        <v>45940</v>
      </c>
      <c r="U892">
        <v>-47.52</v>
      </c>
      <c r="V892">
        <v>-47.52</v>
      </c>
    </row>
    <row r="893" spans="1:22" x14ac:dyDescent="0.3">
      <c r="A893" t="s">
        <v>2181</v>
      </c>
      <c r="B893" t="s">
        <v>2182</v>
      </c>
      <c r="C893" t="s">
        <v>13</v>
      </c>
      <c r="D893" t="s">
        <v>2183</v>
      </c>
      <c r="E893" t="s">
        <v>15</v>
      </c>
      <c r="J893" s="1">
        <v>45912</v>
      </c>
      <c r="K893">
        <v>172</v>
      </c>
      <c r="L893" t="s">
        <v>2184</v>
      </c>
      <c r="M893">
        <v>14</v>
      </c>
      <c r="N893" t="str">
        <f>VLOOKUP(M893,[1]LOJA!$A:$B,2,0)</f>
        <v>S IA</v>
      </c>
      <c r="O893">
        <v>207</v>
      </c>
      <c r="P893" t="str">
        <f>VLOOKUP(O893,[1]OPERADORES!$A:$B,2,0)</f>
        <v>KETILE SABRINE</v>
      </c>
      <c r="Q893">
        <v>4</v>
      </c>
      <c r="S893" t="s">
        <v>2185</v>
      </c>
      <c r="T893" s="1">
        <v>45912</v>
      </c>
      <c r="U893">
        <v>-16.2</v>
      </c>
      <c r="V893">
        <v>-16.2</v>
      </c>
    </row>
    <row r="894" spans="1:22" x14ac:dyDescent="0.3">
      <c r="A894" t="s">
        <v>2186</v>
      </c>
      <c r="B894" t="s">
        <v>32</v>
      </c>
      <c r="C894" t="s">
        <v>43</v>
      </c>
      <c r="D894" t="s">
        <v>5686</v>
      </c>
      <c r="E894" t="s">
        <v>15</v>
      </c>
      <c r="J894" s="1">
        <v>45987</v>
      </c>
      <c r="K894">
        <v>97</v>
      </c>
      <c r="L894" t="s">
        <v>2187</v>
      </c>
      <c r="M894">
        <v>13</v>
      </c>
      <c r="N894" t="str">
        <f>VLOOKUP(M894,[1]LOJA!$A:$B,2,0)</f>
        <v>CEILÂNDIA</v>
      </c>
      <c r="O894">
        <v>67</v>
      </c>
      <c r="P894" t="str">
        <f>VLOOKUP(O894,[1]OPERADORES!$A:$B,2,0)</f>
        <v>ERIKA</v>
      </c>
      <c r="Q894">
        <v>4</v>
      </c>
      <c r="S894" t="s">
        <v>2188</v>
      </c>
      <c r="T894" s="1">
        <v>45986</v>
      </c>
      <c r="U894">
        <v>-17.38</v>
      </c>
      <c r="V894">
        <v>-17.38</v>
      </c>
    </row>
    <row r="895" spans="1:22" x14ac:dyDescent="0.3">
      <c r="A895" t="s">
        <v>2189</v>
      </c>
      <c r="B895" t="s">
        <v>2190</v>
      </c>
      <c r="C895" t="s">
        <v>13</v>
      </c>
      <c r="D895" t="s">
        <v>5687</v>
      </c>
      <c r="E895" t="s">
        <v>15</v>
      </c>
      <c r="J895" s="1">
        <v>46083</v>
      </c>
      <c r="K895">
        <v>1</v>
      </c>
      <c r="L895" t="s">
        <v>2191</v>
      </c>
      <c r="M895">
        <v>15</v>
      </c>
      <c r="N895" t="str">
        <f>VLOOKUP(M895,[1]LOJA!$A:$B,2,0)</f>
        <v>UNAÍ</v>
      </c>
      <c r="O895">
        <v>183</v>
      </c>
      <c r="P895" t="str">
        <f>VLOOKUP(O895,[1]OPERADORES!$A:$B,2,0)</f>
        <v>NADINE DE OLIVEIRA MORAIS</v>
      </c>
      <c r="Q895">
        <v>4</v>
      </c>
      <c r="S895" t="s">
        <v>5688</v>
      </c>
      <c r="T895" s="1">
        <v>46011</v>
      </c>
      <c r="U895">
        <v>-29.87</v>
      </c>
      <c r="V895">
        <v>-29.87</v>
      </c>
    </row>
    <row r="896" spans="1:22" x14ac:dyDescent="0.3">
      <c r="A896" t="s">
        <v>2192</v>
      </c>
      <c r="B896" t="s">
        <v>2193</v>
      </c>
      <c r="C896" t="s">
        <v>226</v>
      </c>
      <c r="D896" t="s">
        <v>2194</v>
      </c>
      <c r="E896" t="s">
        <v>15</v>
      </c>
      <c r="J896" s="1">
        <v>45610</v>
      </c>
      <c r="K896">
        <v>474</v>
      </c>
      <c r="L896" t="s">
        <v>2195</v>
      </c>
      <c r="M896">
        <v>9</v>
      </c>
      <c r="N896" t="str">
        <f>VLOOKUP(M896,[1]LOJA!$A:$B,2,0)</f>
        <v>ÚNICA</v>
      </c>
      <c r="O896">
        <v>231</v>
      </c>
      <c r="P896" t="str">
        <f>VLOOKUP(O896,[1]OPERADORES!$A:$B,2,0)</f>
        <v>EDIJANE</v>
      </c>
      <c r="Q896">
        <v>4</v>
      </c>
      <c r="S896" t="s">
        <v>2196</v>
      </c>
      <c r="T896" s="1">
        <v>45610</v>
      </c>
      <c r="U896">
        <v>-345.97</v>
      </c>
      <c r="V896">
        <v>-345.97</v>
      </c>
    </row>
    <row r="897" spans="1:22" x14ac:dyDescent="0.3">
      <c r="A897" t="s">
        <v>2197</v>
      </c>
      <c r="B897" t="s">
        <v>2198</v>
      </c>
      <c r="C897" t="s">
        <v>13</v>
      </c>
      <c r="D897" t="s">
        <v>1271</v>
      </c>
      <c r="E897" t="s">
        <v>15</v>
      </c>
      <c r="J897" s="1">
        <v>45982</v>
      </c>
      <c r="K897">
        <v>102</v>
      </c>
      <c r="L897" t="s">
        <v>2199</v>
      </c>
      <c r="M897">
        <v>12</v>
      </c>
      <c r="N897" t="str">
        <f>VLOOKUP(M897,[1]LOJA!$A:$B,2,0)</f>
        <v>SOFNORTE</v>
      </c>
      <c r="O897">
        <v>209</v>
      </c>
      <c r="P897" t="str">
        <f>VLOOKUP(O897,[1]OPERADORES!$A:$B,2,0)</f>
        <v>MARIA WITHALINA CUNHA DE SOUZA</v>
      </c>
      <c r="Q897">
        <v>4</v>
      </c>
      <c r="S897" t="s">
        <v>2200</v>
      </c>
      <c r="T897" s="1">
        <v>45982</v>
      </c>
      <c r="U897">
        <v>-0.18</v>
      </c>
      <c r="V897">
        <v>-0.18</v>
      </c>
    </row>
    <row r="898" spans="1:22" x14ac:dyDescent="0.3">
      <c r="A898" t="s">
        <v>2201</v>
      </c>
      <c r="B898" t="s">
        <v>2202</v>
      </c>
      <c r="C898" t="s">
        <v>13</v>
      </c>
      <c r="D898" t="s">
        <v>2203</v>
      </c>
      <c r="E898" t="s">
        <v>15</v>
      </c>
      <c r="J898" s="1">
        <v>44691</v>
      </c>
      <c r="K898">
        <v>1393</v>
      </c>
      <c r="L898" t="s">
        <v>2204</v>
      </c>
      <c r="M898">
        <v>4</v>
      </c>
      <c r="N898" t="str">
        <f>VLOOKUP(M898,[1]LOJA!$A:$B,2,0)</f>
        <v>ADE</v>
      </c>
      <c r="O898">
        <v>107</v>
      </c>
      <c r="P898" t="str">
        <f>VLOOKUP(O898,[1]OPERADORES!$A:$B,2,0)</f>
        <v>DAIANA PORTELA</v>
      </c>
      <c r="Q898">
        <v>7</v>
      </c>
      <c r="S898" t="s">
        <v>2205</v>
      </c>
      <c r="T898" s="1">
        <v>44690</v>
      </c>
      <c r="U898">
        <v>-175.63</v>
      </c>
      <c r="V898">
        <v>-175.63</v>
      </c>
    </row>
    <row r="899" spans="1:22" x14ac:dyDescent="0.3">
      <c r="A899" t="s">
        <v>5689</v>
      </c>
      <c r="B899" t="s">
        <v>5690</v>
      </c>
      <c r="C899" t="s">
        <v>297</v>
      </c>
      <c r="D899" t="s">
        <v>5691</v>
      </c>
      <c r="E899" t="s">
        <v>15</v>
      </c>
      <c r="J899" s="1">
        <v>46076</v>
      </c>
      <c r="K899">
        <v>8</v>
      </c>
      <c r="L899" t="s">
        <v>5692</v>
      </c>
      <c r="M899">
        <v>13</v>
      </c>
      <c r="N899" t="str">
        <f>VLOOKUP(M899,[1]LOJA!$A:$B,2,0)</f>
        <v>CEILÂNDIA</v>
      </c>
      <c r="O899">
        <v>33</v>
      </c>
      <c r="P899" t="str">
        <f>VLOOKUP(O899,[1]OPERADORES!$A:$B,2,0)</f>
        <v>PAULINHO</v>
      </c>
      <c r="Q899">
        <v>7</v>
      </c>
      <c r="S899" t="s">
        <v>87</v>
      </c>
      <c r="T899" s="1">
        <v>46046</v>
      </c>
      <c r="U899" s="2">
        <v>2890</v>
      </c>
      <c r="V899" s="2">
        <v>2890</v>
      </c>
    </row>
    <row r="900" spans="1:22" x14ac:dyDescent="0.3">
      <c r="A900" t="s">
        <v>5689</v>
      </c>
      <c r="B900" t="s">
        <v>5690</v>
      </c>
      <c r="C900" t="s">
        <v>297</v>
      </c>
      <c r="D900" t="s">
        <v>5691</v>
      </c>
      <c r="E900" t="s">
        <v>15</v>
      </c>
      <c r="J900" s="1">
        <v>46084</v>
      </c>
      <c r="K900">
        <v>0</v>
      </c>
      <c r="L900" t="s">
        <v>5693</v>
      </c>
      <c r="M900">
        <v>13</v>
      </c>
      <c r="N900" t="str">
        <f>VLOOKUP(M900,[1]LOJA!$A:$B,2,0)</f>
        <v>CEILÂNDIA</v>
      </c>
      <c r="O900">
        <v>33</v>
      </c>
      <c r="P900" t="str">
        <f>VLOOKUP(O900,[1]OPERADORES!$A:$B,2,0)</f>
        <v>PAULINHO</v>
      </c>
      <c r="Q900">
        <v>4</v>
      </c>
      <c r="S900" t="s">
        <v>5694</v>
      </c>
      <c r="T900" s="1">
        <v>46084</v>
      </c>
      <c r="U900">
        <v>-403.5</v>
      </c>
      <c r="V900">
        <v>-403.5</v>
      </c>
    </row>
    <row r="901" spans="1:22" x14ac:dyDescent="0.3">
      <c r="A901" t="s">
        <v>2206</v>
      </c>
      <c r="B901" t="s">
        <v>2207</v>
      </c>
      <c r="C901" t="s">
        <v>297</v>
      </c>
      <c r="D901" t="s">
        <v>2208</v>
      </c>
      <c r="E901" t="s">
        <v>15</v>
      </c>
      <c r="J901" s="1">
        <v>45323</v>
      </c>
      <c r="K901">
        <v>761</v>
      </c>
      <c r="L901" t="s">
        <v>2209</v>
      </c>
      <c r="M901">
        <v>4</v>
      </c>
      <c r="N901" t="str">
        <f>VLOOKUP(M901,[1]LOJA!$A:$B,2,0)</f>
        <v>ADE</v>
      </c>
      <c r="O901">
        <v>20</v>
      </c>
      <c r="P901" t="str">
        <f>VLOOKUP(O901,[1]OPERADORES!$A:$B,2,0)</f>
        <v>MAYARA</v>
      </c>
      <c r="Q901">
        <v>20</v>
      </c>
      <c r="R901">
        <v>1000010704</v>
      </c>
      <c r="S901" t="s">
        <v>5695</v>
      </c>
      <c r="T901" s="1">
        <v>45173</v>
      </c>
      <c r="U901">
        <v>185.63</v>
      </c>
      <c r="V901">
        <v>185.63</v>
      </c>
    </row>
    <row r="902" spans="1:22" x14ac:dyDescent="0.3">
      <c r="A902" t="s">
        <v>2206</v>
      </c>
      <c r="B902" t="s">
        <v>2207</v>
      </c>
      <c r="C902" t="s">
        <v>297</v>
      </c>
      <c r="D902" t="s">
        <v>2208</v>
      </c>
      <c r="E902" t="s">
        <v>15</v>
      </c>
      <c r="J902" s="1">
        <v>45325</v>
      </c>
      <c r="K902">
        <v>759</v>
      </c>
      <c r="L902" t="s">
        <v>2210</v>
      </c>
      <c r="M902">
        <v>4</v>
      </c>
      <c r="N902" t="str">
        <f>VLOOKUP(M902,[1]LOJA!$A:$B,2,0)</f>
        <v>ADE</v>
      </c>
      <c r="O902">
        <v>20</v>
      </c>
      <c r="P902" t="str">
        <f>VLOOKUP(O902,[1]OPERADORES!$A:$B,2,0)</f>
        <v>MAYARA</v>
      </c>
      <c r="Q902">
        <v>20</v>
      </c>
      <c r="R902">
        <v>1000011233</v>
      </c>
      <c r="S902" t="s">
        <v>2211</v>
      </c>
      <c r="T902" s="1">
        <v>45265</v>
      </c>
      <c r="U902" s="2">
        <v>2477</v>
      </c>
      <c r="V902" s="2">
        <v>2477</v>
      </c>
    </row>
    <row r="903" spans="1:22" x14ac:dyDescent="0.3">
      <c r="A903" t="s">
        <v>2206</v>
      </c>
      <c r="B903" t="s">
        <v>2207</v>
      </c>
      <c r="C903" t="s">
        <v>297</v>
      </c>
      <c r="D903" t="s">
        <v>2208</v>
      </c>
      <c r="E903" t="s">
        <v>15</v>
      </c>
      <c r="J903" s="1">
        <v>45325</v>
      </c>
      <c r="K903">
        <v>759</v>
      </c>
      <c r="L903" t="s">
        <v>2212</v>
      </c>
      <c r="M903">
        <v>4</v>
      </c>
      <c r="N903" t="str">
        <f>VLOOKUP(M903,[1]LOJA!$A:$B,2,0)</f>
        <v>ADE</v>
      </c>
      <c r="O903">
        <v>20</v>
      </c>
      <c r="P903" t="str">
        <f>VLOOKUP(O903,[1]OPERADORES!$A:$B,2,0)</f>
        <v>MAYARA</v>
      </c>
      <c r="Q903">
        <v>20</v>
      </c>
      <c r="R903">
        <v>1000011560</v>
      </c>
      <c r="S903" t="s">
        <v>2213</v>
      </c>
      <c r="T903" s="1">
        <v>45295</v>
      </c>
      <c r="U903" s="2">
        <v>1054.8599999999999</v>
      </c>
      <c r="V903" s="2">
        <v>1054.8599999999999</v>
      </c>
    </row>
    <row r="904" spans="1:22" x14ac:dyDescent="0.3">
      <c r="A904" t="s">
        <v>2206</v>
      </c>
      <c r="B904" t="s">
        <v>2207</v>
      </c>
      <c r="C904" t="s">
        <v>297</v>
      </c>
      <c r="D904" t="s">
        <v>2208</v>
      </c>
      <c r="E904" t="s">
        <v>15</v>
      </c>
      <c r="J904" s="1">
        <v>45351</v>
      </c>
      <c r="K904">
        <v>733</v>
      </c>
      <c r="L904" t="s">
        <v>2214</v>
      </c>
      <c r="M904">
        <v>4</v>
      </c>
      <c r="N904" t="str">
        <f>VLOOKUP(M904,[1]LOJA!$A:$B,2,0)</f>
        <v>ADE</v>
      </c>
      <c r="O904">
        <v>20</v>
      </c>
      <c r="P904" t="str">
        <f>VLOOKUP(O904,[1]OPERADORES!$A:$B,2,0)</f>
        <v>MAYARA</v>
      </c>
      <c r="Q904">
        <v>20</v>
      </c>
      <c r="R904">
        <v>1000010981</v>
      </c>
      <c r="S904" t="s">
        <v>2215</v>
      </c>
      <c r="T904" s="1">
        <v>45231</v>
      </c>
      <c r="U904" s="2">
        <v>2444</v>
      </c>
      <c r="V904" s="2">
        <v>2444</v>
      </c>
    </row>
    <row r="905" spans="1:22" x14ac:dyDescent="0.3">
      <c r="A905" t="s">
        <v>2206</v>
      </c>
      <c r="B905" t="s">
        <v>2207</v>
      </c>
      <c r="C905" t="s">
        <v>297</v>
      </c>
      <c r="D905" t="s">
        <v>2208</v>
      </c>
      <c r="E905" t="s">
        <v>15</v>
      </c>
      <c r="J905" s="1">
        <v>45352</v>
      </c>
      <c r="K905">
        <v>732</v>
      </c>
      <c r="L905" t="s">
        <v>2216</v>
      </c>
      <c r="M905">
        <v>4</v>
      </c>
      <c r="N905" t="str">
        <f>VLOOKUP(M905,[1]LOJA!$A:$B,2,0)</f>
        <v>ADE</v>
      </c>
      <c r="O905">
        <v>20</v>
      </c>
      <c r="P905" t="str">
        <f>VLOOKUP(O905,[1]OPERADORES!$A:$B,2,0)</f>
        <v>MAYARA</v>
      </c>
      <c r="Q905">
        <v>20</v>
      </c>
      <c r="R905">
        <v>1000010829</v>
      </c>
      <c r="S905" t="s">
        <v>2217</v>
      </c>
      <c r="T905" s="1">
        <v>45202</v>
      </c>
      <c r="U905" s="2">
        <v>2714</v>
      </c>
      <c r="V905" s="2">
        <v>2714</v>
      </c>
    </row>
    <row r="906" spans="1:22" x14ac:dyDescent="0.3">
      <c r="A906" t="s">
        <v>2206</v>
      </c>
      <c r="B906" t="s">
        <v>2207</v>
      </c>
      <c r="C906" t="s">
        <v>297</v>
      </c>
      <c r="D906" t="s">
        <v>2208</v>
      </c>
      <c r="E906" t="s">
        <v>15</v>
      </c>
      <c r="J906" s="1">
        <v>45355</v>
      </c>
      <c r="K906">
        <v>729</v>
      </c>
      <c r="L906" t="s">
        <v>2218</v>
      </c>
      <c r="M906">
        <v>4</v>
      </c>
      <c r="N906" t="str">
        <f>VLOOKUP(M906,[1]LOJA!$A:$B,2,0)</f>
        <v>ADE</v>
      </c>
      <c r="O906">
        <v>20</v>
      </c>
      <c r="P906" t="str">
        <f>VLOOKUP(O906,[1]OPERADORES!$A:$B,2,0)</f>
        <v>MAYARA</v>
      </c>
      <c r="Q906">
        <v>20</v>
      </c>
      <c r="R906">
        <v>1000011234</v>
      </c>
      <c r="S906" t="s">
        <v>2219</v>
      </c>
      <c r="T906" s="1">
        <v>45265</v>
      </c>
      <c r="U906" s="2">
        <v>2477</v>
      </c>
      <c r="V906" s="2">
        <v>2477</v>
      </c>
    </row>
    <row r="907" spans="1:22" x14ac:dyDescent="0.3">
      <c r="A907" t="s">
        <v>2206</v>
      </c>
      <c r="B907" t="s">
        <v>2207</v>
      </c>
      <c r="C907" t="s">
        <v>297</v>
      </c>
      <c r="D907" t="s">
        <v>2208</v>
      </c>
      <c r="E907" t="s">
        <v>15</v>
      </c>
      <c r="J907" s="1">
        <v>45355</v>
      </c>
      <c r="K907">
        <v>729</v>
      </c>
      <c r="L907" t="s">
        <v>2220</v>
      </c>
      <c r="M907">
        <v>4</v>
      </c>
      <c r="N907" t="str">
        <f>VLOOKUP(M907,[1]LOJA!$A:$B,2,0)</f>
        <v>ADE</v>
      </c>
      <c r="O907">
        <v>20</v>
      </c>
      <c r="P907" t="str">
        <f>VLOOKUP(O907,[1]OPERADORES!$A:$B,2,0)</f>
        <v>MAYARA</v>
      </c>
      <c r="Q907">
        <v>20</v>
      </c>
      <c r="R907">
        <v>1000011561</v>
      </c>
      <c r="S907" t="s">
        <v>2221</v>
      </c>
      <c r="T907" s="1">
        <v>45295</v>
      </c>
      <c r="U907" s="2">
        <v>2093</v>
      </c>
      <c r="V907" s="2">
        <v>2093</v>
      </c>
    </row>
    <row r="908" spans="1:22" x14ac:dyDescent="0.3">
      <c r="A908" t="s">
        <v>2206</v>
      </c>
      <c r="B908" t="s">
        <v>2207</v>
      </c>
      <c r="C908" t="s">
        <v>297</v>
      </c>
      <c r="D908" t="s">
        <v>2208</v>
      </c>
      <c r="E908" t="s">
        <v>15</v>
      </c>
      <c r="J908" s="1">
        <v>45381</v>
      </c>
      <c r="K908">
        <v>703</v>
      </c>
      <c r="L908" t="s">
        <v>2222</v>
      </c>
      <c r="M908">
        <v>4</v>
      </c>
      <c r="N908" t="str">
        <f>VLOOKUP(M908,[1]LOJA!$A:$B,2,0)</f>
        <v>ADE</v>
      </c>
      <c r="O908">
        <v>20</v>
      </c>
      <c r="P908" t="str">
        <f>VLOOKUP(O908,[1]OPERADORES!$A:$B,2,0)</f>
        <v>MAYARA</v>
      </c>
      <c r="Q908">
        <v>20</v>
      </c>
      <c r="R908">
        <v>1000010982</v>
      </c>
      <c r="S908" t="s">
        <v>2223</v>
      </c>
      <c r="T908" s="1">
        <v>45231</v>
      </c>
      <c r="U908" s="2">
        <v>2444</v>
      </c>
      <c r="V908" s="2">
        <v>2444</v>
      </c>
    </row>
    <row r="909" spans="1:22" x14ac:dyDescent="0.3">
      <c r="A909" t="s">
        <v>2206</v>
      </c>
      <c r="B909" t="s">
        <v>2207</v>
      </c>
      <c r="C909" t="s">
        <v>297</v>
      </c>
      <c r="D909" t="s">
        <v>2208</v>
      </c>
      <c r="E909" t="s">
        <v>15</v>
      </c>
      <c r="J909" s="1">
        <v>45385</v>
      </c>
      <c r="K909">
        <v>699</v>
      </c>
      <c r="L909" t="s">
        <v>2224</v>
      </c>
      <c r="M909">
        <v>4</v>
      </c>
      <c r="N909" t="str">
        <f>VLOOKUP(M909,[1]LOJA!$A:$B,2,0)</f>
        <v>ADE</v>
      </c>
      <c r="O909">
        <v>20</v>
      </c>
      <c r="P909" t="str">
        <f>VLOOKUP(O909,[1]OPERADORES!$A:$B,2,0)</f>
        <v>MAYARA</v>
      </c>
      <c r="Q909">
        <v>20</v>
      </c>
      <c r="R909">
        <v>1000011235</v>
      </c>
      <c r="S909" t="s">
        <v>2225</v>
      </c>
      <c r="T909" s="1">
        <v>45265</v>
      </c>
      <c r="U909" s="2">
        <v>2477</v>
      </c>
      <c r="V909" s="2">
        <v>2477</v>
      </c>
    </row>
    <row r="910" spans="1:22" x14ac:dyDescent="0.3">
      <c r="A910" t="s">
        <v>2206</v>
      </c>
      <c r="B910" t="s">
        <v>2207</v>
      </c>
      <c r="C910" t="s">
        <v>297</v>
      </c>
      <c r="D910" t="s">
        <v>2208</v>
      </c>
      <c r="E910" t="s">
        <v>15</v>
      </c>
      <c r="J910" s="1">
        <v>45385</v>
      </c>
      <c r="K910">
        <v>699</v>
      </c>
      <c r="L910" t="s">
        <v>2226</v>
      </c>
      <c r="M910">
        <v>4</v>
      </c>
      <c r="N910" t="str">
        <f>VLOOKUP(M910,[1]LOJA!$A:$B,2,0)</f>
        <v>ADE</v>
      </c>
      <c r="O910">
        <v>20</v>
      </c>
      <c r="P910" t="str">
        <f>VLOOKUP(O910,[1]OPERADORES!$A:$B,2,0)</f>
        <v>MAYARA</v>
      </c>
      <c r="Q910">
        <v>20</v>
      </c>
      <c r="R910">
        <v>1000011562</v>
      </c>
      <c r="S910" t="s">
        <v>2227</v>
      </c>
      <c r="T910" s="1">
        <v>45295</v>
      </c>
      <c r="U910" s="2">
        <v>2093</v>
      </c>
      <c r="V910" s="2">
        <v>2093</v>
      </c>
    </row>
    <row r="911" spans="1:22" x14ac:dyDescent="0.3">
      <c r="A911" t="s">
        <v>2206</v>
      </c>
      <c r="B911" t="s">
        <v>2207</v>
      </c>
      <c r="C911" t="s">
        <v>297</v>
      </c>
      <c r="D911" t="s">
        <v>2208</v>
      </c>
      <c r="E911" t="s">
        <v>15</v>
      </c>
      <c r="J911" s="1">
        <v>45415</v>
      </c>
      <c r="K911">
        <v>669</v>
      </c>
      <c r="L911" t="s">
        <v>2228</v>
      </c>
      <c r="M911">
        <v>4</v>
      </c>
      <c r="N911" t="str">
        <f>VLOOKUP(M911,[1]LOJA!$A:$B,2,0)</f>
        <v>ADE</v>
      </c>
      <c r="O911">
        <v>20</v>
      </c>
      <c r="P911" t="str">
        <f>VLOOKUP(O911,[1]OPERADORES!$A:$B,2,0)</f>
        <v>MAYARA</v>
      </c>
      <c r="Q911">
        <v>20</v>
      </c>
      <c r="R911">
        <v>1000011236</v>
      </c>
      <c r="S911" t="s">
        <v>2229</v>
      </c>
      <c r="T911" s="1">
        <v>45265</v>
      </c>
      <c r="U911" s="2">
        <v>2477</v>
      </c>
      <c r="V911" s="2">
        <v>2477</v>
      </c>
    </row>
    <row r="912" spans="1:22" x14ac:dyDescent="0.3">
      <c r="A912" t="s">
        <v>2206</v>
      </c>
      <c r="B912" t="s">
        <v>2207</v>
      </c>
      <c r="C912" t="s">
        <v>297</v>
      </c>
      <c r="D912" t="s">
        <v>2208</v>
      </c>
      <c r="E912" t="s">
        <v>15</v>
      </c>
      <c r="J912" s="1">
        <v>45415</v>
      </c>
      <c r="K912">
        <v>669</v>
      </c>
      <c r="L912" t="s">
        <v>2230</v>
      </c>
      <c r="M912">
        <v>4</v>
      </c>
      <c r="N912" t="str">
        <f>VLOOKUP(M912,[1]LOJA!$A:$B,2,0)</f>
        <v>ADE</v>
      </c>
      <c r="O912">
        <v>20</v>
      </c>
      <c r="P912" t="str">
        <f>VLOOKUP(O912,[1]OPERADORES!$A:$B,2,0)</f>
        <v>MAYARA</v>
      </c>
      <c r="Q912">
        <v>20</v>
      </c>
      <c r="R912">
        <v>1000011563</v>
      </c>
      <c r="S912" t="s">
        <v>2231</v>
      </c>
      <c r="T912" s="1">
        <v>45295</v>
      </c>
      <c r="U912" s="2">
        <v>2093</v>
      </c>
      <c r="V912" s="2">
        <v>2093</v>
      </c>
    </row>
    <row r="913" spans="1:22" x14ac:dyDescent="0.3">
      <c r="A913" t="s">
        <v>2206</v>
      </c>
      <c r="B913" t="s">
        <v>2207</v>
      </c>
      <c r="C913" t="s">
        <v>297</v>
      </c>
      <c r="D913" t="s">
        <v>2208</v>
      </c>
      <c r="E913" t="s">
        <v>15</v>
      </c>
      <c r="J913" s="1">
        <v>45445</v>
      </c>
      <c r="K913">
        <v>639</v>
      </c>
      <c r="L913" t="s">
        <v>2232</v>
      </c>
      <c r="M913">
        <v>4</v>
      </c>
      <c r="N913" t="str">
        <f>VLOOKUP(M913,[1]LOJA!$A:$B,2,0)</f>
        <v>ADE</v>
      </c>
      <c r="O913">
        <v>20</v>
      </c>
      <c r="P913" t="str">
        <f>VLOOKUP(O913,[1]OPERADORES!$A:$B,2,0)</f>
        <v>MAYARA</v>
      </c>
      <c r="Q913">
        <v>20</v>
      </c>
      <c r="R913">
        <v>1000011564</v>
      </c>
      <c r="S913" t="s">
        <v>2233</v>
      </c>
      <c r="T913" s="1">
        <v>45295</v>
      </c>
      <c r="U913" s="2">
        <v>2093</v>
      </c>
      <c r="V913" s="2">
        <v>2093</v>
      </c>
    </row>
    <row r="914" spans="1:22" x14ac:dyDescent="0.3">
      <c r="A914" t="s">
        <v>2234</v>
      </c>
      <c r="B914" t="s">
        <v>2235</v>
      </c>
      <c r="C914" t="s">
        <v>13</v>
      </c>
      <c r="D914" t="s">
        <v>2236</v>
      </c>
      <c r="E914" t="s">
        <v>15</v>
      </c>
      <c r="J914" s="1">
        <v>45742</v>
      </c>
      <c r="K914">
        <v>342</v>
      </c>
      <c r="L914" t="s">
        <v>2237</v>
      </c>
      <c r="M914">
        <v>8</v>
      </c>
      <c r="N914" t="str">
        <f>VLOOKUP(M914,[1]LOJA!$A:$B,2,0)</f>
        <v>LUZIÂNIA</v>
      </c>
      <c r="O914">
        <v>170</v>
      </c>
      <c r="P914" t="str">
        <f>VLOOKUP(O914,[1]OPERADORES!$A:$B,2,0)</f>
        <v>MARIA LUISA</v>
      </c>
      <c r="Q914">
        <v>4</v>
      </c>
      <c r="S914" t="s">
        <v>2238</v>
      </c>
      <c r="T914" s="1">
        <v>45706</v>
      </c>
      <c r="U914">
        <v>-8.8800000000000008</v>
      </c>
      <c r="V914">
        <v>-8.8800000000000008</v>
      </c>
    </row>
    <row r="915" spans="1:22" x14ac:dyDescent="0.3">
      <c r="A915" t="s">
        <v>2234</v>
      </c>
      <c r="B915" t="s">
        <v>2235</v>
      </c>
      <c r="C915" t="s">
        <v>13</v>
      </c>
      <c r="D915" t="s">
        <v>2236</v>
      </c>
      <c r="E915" t="s">
        <v>15</v>
      </c>
      <c r="J915" s="1">
        <v>45805</v>
      </c>
      <c r="K915">
        <v>279</v>
      </c>
      <c r="L915" t="s">
        <v>2239</v>
      </c>
      <c r="M915">
        <v>8</v>
      </c>
      <c r="N915" t="str">
        <f>VLOOKUP(M915,[1]LOJA!$A:$B,2,0)</f>
        <v>LUZIÂNIA</v>
      </c>
      <c r="O915">
        <v>170</v>
      </c>
      <c r="P915" t="str">
        <f>VLOOKUP(O915,[1]OPERADORES!$A:$B,2,0)</f>
        <v>MARIA LUISA</v>
      </c>
      <c r="Q915">
        <v>4</v>
      </c>
      <c r="S915" t="s">
        <v>2240</v>
      </c>
      <c r="T915" s="1">
        <v>45805</v>
      </c>
      <c r="U915">
        <v>-5.88</v>
      </c>
      <c r="V915">
        <v>-5.88</v>
      </c>
    </row>
    <row r="916" spans="1:22" x14ac:dyDescent="0.3">
      <c r="A916" t="s">
        <v>2234</v>
      </c>
      <c r="B916" t="s">
        <v>2235</v>
      </c>
      <c r="C916" t="s">
        <v>13</v>
      </c>
      <c r="D916" t="s">
        <v>2236</v>
      </c>
      <c r="E916" t="s">
        <v>15</v>
      </c>
      <c r="J916" s="1">
        <v>45964</v>
      </c>
      <c r="K916">
        <v>120</v>
      </c>
      <c r="L916" t="s">
        <v>2241</v>
      </c>
      <c r="M916">
        <v>24</v>
      </c>
      <c r="N916" t="str">
        <f>VLOOKUP(M916,[1]LOJA!$A:$B,2,0)</f>
        <v>LUZIÂNIA</v>
      </c>
      <c r="O916">
        <v>150</v>
      </c>
      <c r="P916" t="str">
        <f>VLOOKUP(O916,[1]OPERADORES!$A:$B,2,0)</f>
        <v>LUZIBERTO GOMES DA SILVA</v>
      </c>
      <c r="Q916">
        <v>4</v>
      </c>
      <c r="S916" t="s">
        <v>2242</v>
      </c>
      <c r="T916" s="1">
        <v>45960</v>
      </c>
      <c r="U916">
        <v>-16</v>
      </c>
      <c r="V916">
        <v>-16</v>
      </c>
    </row>
    <row r="917" spans="1:22" x14ac:dyDescent="0.3">
      <c r="A917" t="s">
        <v>2243</v>
      </c>
      <c r="B917" t="s">
        <v>2244</v>
      </c>
      <c r="C917" t="s">
        <v>13</v>
      </c>
      <c r="D917" t="s">
        <v>2245</v>
      </c>
      <c r="E917" t="s">
        <v>15</v>
      </c>
      <c r="J917" s="1">
        <v>44549</v>
      </c>
      <c r="K917">
        <v>1535</v>
      </c>
      <c r="L917" t="s">
        <v>2246</v>
      </c>
      <c r="M917">
        <v>14</v>
      </c>
      <c r="N917" t="str">
        <f>VLOOKUP(M917,[1]LOJA!$A:$B,2,0)</f>
        <v>S IA</v>
      </c>
      <c r="O917">
        <v>60</v>
      </c>
      <c r="P917" t="str">
        <f>VLOOKUP(O917,[1]OPERADORES!$A:$B,2,0)</f>
        <v>ALEXANDRA</v>
      </c>
      <c r="Q917">
        <v>27</v>
      </c>
      <c r="R917">
        <v>2000003360</v>
      </c>
      <c r="S917" t="s">
        <v>87</v>
      </c>
      <c r="T917" s="1">
        <v>44519</v>
      </c>
      <c r="U917">
        <v>143</v>
      </c>
      <c r="V917">
        <v>143</v>
      </c>
    </row>
    <row r="918" spans="1:22" x14ac:dyDescent="0.3">
      <c r="A918" t="s">
        <v>2247</v>
      </c>
      <c r="B918" t="s">
        <v>2248</v>
      </c>
      <c r="C918" t="s">
        <v>13</v>
      </c>
      <c r="D918" t="s">
        <v>300</v>
      </c>
      <c r="E918" t="s">
        <v>15</v>
      </c>
      <c r="J918" s="1">
        <v>45974</v>
      </c>
      <c r="K918">
        <v>110</v>
      </c>
      <c r="L918" t="s">
        <v>2249</v>
      </c>
      <c r="M918">
        <v>6</v>
      </c>
      <c r="N918" t="str">
        <f>VLOOKUP(M918,[1]LOJA!$A:$B,2,0)</f>
        <v>GAMA</v>
      </c>
      <c r="O918">
        <v>246</v>
      </c>
      <c r="P918" t="str">
        <f>VLOOKUP(O918,[1]OPERADORES!$A:$B,2,0)</f>
        <v>VITORIA APARECIDA</v>
      </c>
      <c r="Q918">
        <v>4</v>
      </c>
      <c r="S918" t="s">
        <v>2250</v>
      </c>
      <c r="T918" s="1">
        <v>45974</v>
      </c>
      <c r="U918">
        <v>-0.2</v>
      </c>
      <c r="V918">
        <v>-0.2</v>
      </c>
    </row>
    <row r="919" spans="1:22" x14ac:dyDescent="0.3">
      <c r="A919" t="s">
        <v>2247</v>
      </c>
      <c r="B919" t="s">
        <v>2248</v>
      </c>
      <c r="C919" t="s">
        <v>13</v>
      </c>
      <c r="D919" t="s">
        <v>300</v>
      </c>
      <c r="E919" t="s">
        <v>15</v>
      </c>
      <c r="J919" s="1">
        <v>45978</v>
      </c>
      <c r="K919">
        <v>106</v>
      </c>
      <c r="L919" t="s">
        <v>2251</v>
      </c>
      <c r="M919">
        <v>6</v>
      </c>
      <c r="N919" t="str">
        <f>VLOOKUP(M919,[1]LOJA!$A:$B,2,0)</f>
        <v>GAMA</v>
      </c>
      <c r="O919">
        <v>246</v>
      </c>
      <c r="P919" t="str">
        <f>VLOOKUP(O919,[1]OPERADORES!$A:$B,2,0)</f>
        <v>VITORIA APARECIDA</v>
      </c>
      <c r="Q919">
        <v>4</v>
      </c>
      <c r="S919" t="s">
        <v>2250</v>
      </c>
      <c r="T919" s="1">
        <v>45978</v>
      </c>
      <c r="U919">
        <v>-0.4</v>
      </c>
      <c r="V919">
        <v>-0.4</v>
      </c>
    </row>
    <row r="920" spans="1:22" x14ac:dyDescent="0.3">
      <c r="A920" t="s">
        <v>2247</v>
      </c>
      <c r="B920" t="s">
        <v>2248</v>
      </c>
      <c r="C920" t="s">
        <v>13</v>
      </c>
      <c r="D920" t="s">
        <v>300</v>
      </c>
      <c r="E920" t="s">
        <v>15</v>
      </c>
      <c r="J920" s="1">
        <v>46010</v>
      </c>
      <c r="K920">
        <v>74</v>
      </c>
      <c r="L920" t="s">
        <v>2252</v>
      </c>
      <c r="M920">
        <v>6</v>
      </c>
      <c r="N920" t="str">
        <f>VLOOKUP(M920,[1]LOJA!$A:$B,2,0)</f>
        <v>GAMA</v>
      </c>
      <c r="O920">
        <v>246</v>
      </c>
      <c r="P920" t="str">
        <f>VLOOKUP(O920,[1]OPERADORES!$A:$B,2,0)</f>
        <v>VITORIA APARECIDA</v>
      </c>
      <c r="Q920">
        <v>4</v>
      </c>
      <c r="S920" t="s">
        <v>2250</v>
      </c>
      <c r="T920" s="1">
        <v>46010</v>
      </c>
      <c r="U920">
        <v>-0.2</v>
      </c>
      <c r="V920">
        <v>-0.2</v>
      </c>
    </row>
    <row r="921" spans="1:22" x14ac:dyDescent="0.3">
      <c r="A921" t="s">
        <v>2253</v>
      </c>
      <c r="B921" t="s">
        <v>2254</v>
      </c>
      <c r="C921" t="s">
        <v>13</v>
      </c>
      <c r="D921" t="s">
        <v>2255</v>
      </c>
      <c r="E921" t="s">
        <v>15</v>
      </c>
      <c r="J921" s="1">
        <v>45778</v>
      </c>
      <c r="K921">
        <v>306</v>
      </c>
      <c r="L921" t="s">
        <v>2256</v>
      </c>
      <c r="M921">
        <v>14</v>
      </c>
      <c r="N921" t="str">
        <f>VLOOKUP(M921,[1]LOJA!$A:$B,2,0)</f>
        <v>S IA</v>
      </c>
      <c r="O921">
        <v>54</v>
      </c>
      <c r="P921" t="str">
        <f>VLOOKUP(O921,[1]OPERADORES!$A:$B,2,0)</f>
        <v>ROBSON</v>
      </c>
      <c r="Q921">
        <v>7</v>
      </c>
      <c r="S921" t="s">
        <v>87</v>
      </c>
      <c r="T921" s="1">
        <v>45777</v>
      </c>
      <c r="U921">
        <v>74.900000000000006</v>
      </c>
      <c r="V921">
        <v>74.900000000000006</v>
      </c>
    </row>
    <row r="922" spans="1:22" x14ac:dyDescent="0.3">
      <c r="A922" t="s">
        <v>2258</v>
      </c>
      <c r="B922" t="s">
        <v>2259</v>
      </c>
      <c r="C922" t="s">
        <v>43</v>
      </c>
      <c r="D922" t="s">
        <v>2260</v>
      </c>
      <c r="E922" t="s">
        <v>15</v>
      </c>
      <c r="J922" s="1">
        <v>45505</v>
      </c>
      <c r="K922">
        <v>579</v>
      </c>
      <c r="L922" t="s">
        <v>2261</v>
      </c>
      <c r="M922">
        <v>12</v>
      </c>
      <c r="N922" t="str">
        <f>VLOOKUP(M922,[1]LOJA!$A:$B,2,0)</f>
        <v>SOFNORTE</v>
      </c>
      <c r="O922">
        <v>209</v>
      </c>
      <c r="P922" t="str">
        <f>VLOOKUP(O922,[1]OPERADORES!$A:$B,2,0)</f>
        <v>MARIA WITHALINA CUNHA DE SOUZA</v>
      </c>
      <c r="Q922">
        <v>4</v>
      </c>
      <c r="S922" t="s">
        <v>2262</v>
      </c>
      <c r="T922" s="1">
        <v>45505</v>
      </c>
      <c r="U922">
        <v>-0.05</v>
      </c>
      <c r="V922">
        <v>-0.05</v>
      </c>
    </row>
    <row r="923" spans="1:22" x14ac:dyDescent="0.3">
      <c r="A923" t="s">
        <v>2263</v>
      </c>
      <c r="B923" t="s">
        <v>32</v>
      </c>
      <c r="C923" t="s">
        <v>13</v>
      </c>
      <c r="D923" t="s">
        <v>2264</v>
      </c>
      <c r="E923" t="s">
        <v>15</v>
      </c>
      <c r="J923" s="1">
        <v>44226</v>
      </c>
      <c r="K923">
        <v>1858</v>
      </c>
      <c r="L923" t="s">
        <v>2265</v>
      </c>
      <c r="M923">
        <v>1</v>
      </c>
      <c r="N923" t="str">
        <f>VLOOKUP(M923,[1]LOJA!$A:$B,2,0)</f>
        <v>GUARÁ</v>
      </c>
      <c r="O923">
        <v>20</v>
      </c>
      <c r="P923" t="str">
        <f>VLOOKUP(O923,[1]OPERADORES!$A:$B,2,0)</f>
        <v>MAYARA</v>
      </c>
      <c r="Q923">
        <v>11</v>
      </c>
      <c r="R923">
        <v>1000002635</v>
      </c>
      <c r="S923" t="s">
        <v>2266</v>
      </c>
      <c r="T923" s="1">
        <v>44139</v>
      </c>
      <c r="U923">
        <v>425</v>
      </c>
      <c r="V923">
        <v>425</v>
      </c>
    </row>
    <row r="924" spans="1:22" x14ac:dyDescent="0.3">
      <c r="A924" t="s">
        <v>2263</v>
      </c>
      <c r="B924" t="s">
        <v>32</v>
      </c>
      <c r="C924" t="s">
        <v>13</v>
      </c>
      <c r="D924" t="s">
        <v>2264</v>
      </c>
      <c r="E924" t="s">
        <v>15</v>
      </c>
      <c r="J924" s="1">
        <v>44257</v>
      </c>
      <c r="K924">
        <v>1827</v>
      </c>
      <c r="L924" t="s">
        <v>2267</v>
      </c>
      <c r="M924">
        <v>1</v>
      </c>
      <c r="N924" t="str">
        <f>VLOOKUP(M924,[1]LOJA!$A:$B,2,0)</f>
        <v>GUARÁ</v>
      </c>
      <c r="O924">
        <v>20</v>
      </c>
      <c r="P924" t="str">
        <f>VLOOKUP(O924,[1]OPERADORES!$A:$B,2,0)</f>
        <v>MAYARA</v>
      </c>
      <c r="Q924">
        <v>11</v>
      </c>
      <c r="R924">
        <v>1000002805</v>
      </c>
      <c r="S924" t="s">
        <v>2268</v>
      </c>
      <c r="T924" s="1">
        <v>44167</v>
      </c>
      <c r="U924">
        <v>171</v>
      </c>
      <c r="V924">
        <v>171</v>
      </c>
    </row>
    <row r="925" spans="1:22" x14ac:dyDescent="0.3">
      <c r="A925" t="s">
        <v>2263</v>
      </c>
      <c r="B925" t="s">
        <v>32</v>
      </c>
      <c r="C925" t="s">
        <v>13</v>
      </c>
      <c r="D925" t="s">
        <v>2264</v>
      </c>
      <c r="E925" t="s">
        <v>15</v>
      </c>
      <c r="J925" s="1">
        <v>44259</v>
      </c>
      <c r="K925">
        <v>1825</v>
      </c>
      <c r="L925" t="s">
        <v>2269</v>
      </c>
      <c r="M925">
        <v>1</v>
      </c>
      <c r="N925" t="str">
        <f>VLOOKUP(M925,[1]LOJA!$A:$B,2,0)</f>
        <v>GUARÁ</v>
      </c>
      <c r="O925">
        <v>20</v>
      </c>
      <c r="P925" t="str">
        <f>VLOOKUP(O925,[1]OPERADORES!$A:$B,2,0)</f>
        <v>MAYARA</v>
      </c>
      <c r="Q925">
        <v>11</v>
      </c>
      <c r="R925">
        <v>1000002406</v>
      </c>
      <c r="S925" t="s">
        <v>2270</v>
      </c>
      <c r="T925" s="1">
        <v>44109</v>
      </c>
      <c r="U925">
        <v>634</v>
      </c>
      <c r="V925">
        <v>634</v>
      </c>
    </row>
    <row r="926" spans="1:22" x14ac:dyDescent="0.3">
      <c r="A926" t="s">
        <v>2263</v>
      </c>
      <c r="B926" t="s">
        <v>32</v>
      </c>
      <c r="C926" t="s">
        <v>13</v>
      </c>
      <c r="D926" t="s">
        <v>2264</v>
      </c>
      <c r="E926" t="s">
        <v>15</v>
      </c>
      <c r="J926" s="1">
        <v>44259</v>
      </c>
      <c r="K926">
        <v>1825</v>
      </c>
      <c r="L926" t="s">
        <v>2271</v>
      </c>
      <c r="M926">
        <v>1</v>
      </c>
      <c r="N926" t="str">
        <f>VLOOKUP(M926,[1]LOJA!$A:$B,2,0)</f>
        <v>GUARÁ</v>
      </c>
      <c r="O926">
        <v>20</v>
      </c>
      <c r="P926" t="str">
        <f>VLOOKUP(O926,[1]OPERADORES!$A:$B,2,0)</f>
        <v>MAYARA</v>
      </c>
      <c r="Q926">
        <v>11</v>
      </c>
      <c r="R926">
        <v>1000002636</v>
      </c>
      <c r="S926" t="s">
        <v>2272</v>
      </c>
      <c r="T926" s="1">
        <v>44139</v>
      </c>
      <c r="U926">
        <v>425</v>
      </c>
      <c r="V926">
        <v>425</v>
      </c>
    </row>
    <row r="927" spans="1:22" x14ac:dyDescent="0.3">
      <c r="A927" t="s">
        <v>2263</v>
      </c>
      <c r="B927" t="s">
        <v>32</v>
      </c>
      <c r="C927" t="s">
        <v>13</v>
      </c>
      <c r="D927" t="s">
        <v>2264</v>
      </c>
      <c r="E927" t="s">
        <v>15</v>
      </c>
      <c r="J927" s="1">
        <v>44289</v>
      </c>
      <c r="K927">
        <v>1795</v>
      </c>
      <c r="L927" t="s">
        <v>2273</v>
      </c>
      <c r="M927">
        <v>1</v>
      </c>
      <c r="N927" t="str">
        <f>VLOOKUP(M927,[1]LOJA!$A:$B,2,0)</f>
        <v>GUARÁ</v>
      </c>
      <c r="O927">
        <v>20</v>
      </c>
      <c r="P927" t="str">
        <f>VLOOKUP(O927,[1]OPERADORES!$A:$B,2,0)</f>
        <v>MAYARA</v>
      </c>
      <c r="Q927">
        <v>11</v>
      </c>
      <c r="R927">
        <v>1000002637</v>
      </c>
      <c r="S927" t="s">
        <v>2274</v>
      </c>
      <c r="T927" s="1">
        <v>44139</v>
      </c>
      <c r="U927">
        <v>425</v>
      </c>
      <c r="V927">
        <v>425</v>
      </c>
    </row>
    <row r="928" spans="1:22" x14ac:dyDescent="0.3">
      <c r="A928" t="s">
        <v>2275</v>
      </c>
      <c r="B928" t="s">
        <v>2276</v>
      </c>
      <c r="C928" t="s">
        <v>13</v>
      </c>
      <c r="D928" t="s">
        <v>5696</v>
      </c>
      <c r="E928" t="s">
        <v>15</v>
      </c>
      <c r="J928" s="1">
        <v>45925</v>
      </c>
      <c r="K928">
        <v>159</v>
      </c>
      <c r="L928" t="s">
        <v>2277</v>
      </c>
      <c r="M928">
        <v>9</v>
      </c>
      <c r="N928" t="str">
        <f>VLOOKUP(M928,[1]LOJA!$A:$B,2,0)</f>
        <v>ÚNICA</v>
      </c>
      <c r="O928">
        <v>144</v>
      </c>
      <c r="P928" t="str">
        <f>VLOOKUP(O928,[1]OPERADORES!$A:$B,2,0)</f>
        <v>CINTIA DA SILVA CARLOS</v>
      </c>
      <c r="Q928">
        <v>4</v>
      </c>
      <c r="S928" t="s">
        <v>2278</v>
      </c>
      <c r="T928" s="1">
        <v>45925</v>
      </c>
      <c r="U928">
        <v>-14.02</v>
      </c>
      <c r="V928">
        <v>-14.02</v>
      </c>
    </row>
    <row r="929" spans="1:22" x14ac:dyDescent="0.3">
      <c r="A929" t="s">
        <v>2275</v>
      </c>
      <c r="B929" t="s">
        <v>2276</v>
      </c>
      <c r="C929" t="s">
        <v>13</v>
      </c>
      <c r="D929" t="s">
        <v>5696</v>
      </c>
      <c r="E929" t="s">
        <v>15</v>
      </c>
      <c r="J929" s="1">
        <v>46080</v>
      </c>
      <c r="K929">
        <v>4</v>
      </c>
      <c r="L929" t="s">
        <v>5697</v>
      </c>
      <c r="M929">
        <v>9</v>
      </c>
      <c r="N929" t="str">
        <f>VLOOKUP(M929,[1]LOJA!$A:$B,2,0)</f>
        <v>ÚNICA</v>
      </c>
      <c r="O929">
        <v>144</v>
      </c>
      <c r="P929" t="str">
        <f>VLOOKUP(O929,[1]OPERADORES!$A:$B,2,0)</f>
        <v>CINTIA DA SILVA CARLOS</v>
      </c>
      <c r="Q929">
        <v>4</v>
      </c>
      <c r="S929" t="s">
        <v>5698</v>
      </c>
      <c r="T929" s="1">
        <v>46080</v>
      </c>
      <c r="U929">
        <v>-3.82</v>
      </c>
      <c r="V929">
        <v>-3.82</v>
      </c>
    </row>
    <row r="930" spans="1:22" x14ac:dyDescent="0.3">
      <c r="A930" t="s">
        <v>2279</v>
      </c>
      <c r="B930" t="s">
        <v>2280</v>
      </c>
      <c r="C930" t="s">
        <v>848</v>
      </c>
      <c r="D930" t="s">
        <v>5699</v>
      </c>
      <c r="E930" t="s">
        <v>15</v>
      </c>
      <c r="J930" s="1">
        <v>45632</v>
      </c>
      <c r="K930">
        <v>452</v>
      </c>
      <c r="L930" t="s">
        <v>2281</v>
      </c>
      <c r="M930">
        <v>9</v>
      </c>
      <c r="N930" t="str">
        <f>VLOOKUP(M930,[1]LOJA!$A:$B,2,0)</f>
        <v>ÚNICA</v>
      </c>
      <c r="O930">
        <v>197</v>
      </c>
      <c r="P930" t="str">
        <f>VLOOKUP(O930,[1]OPERADORES!$A:$B,2,0)</f>
        <v xml:space="preserve">POLIANA LORRANE DE AMORIM </v>
      </c>
      <c r="Q930">
        <v>4</v>
      </c>
      <c r="S930" t="s">
        <v>2282</v>
      </c>
      <c r="T930" s="1">
        <v>45632</v>
      </c>
      <c r="U930">
        <v>-49.66</v>
      </c>
      <c r="V930">
        <v>-49.66</v>
      </c>
    </row>
    <row r="931" spans="1:22" x14ac:dyDescent="0.3">
      <c r="A931" t="s">
        <v>2283</v>
      </c>
      <c r="B931" t="s">
        <v>2284</v>
      </c>
      <c r="C931" t="s">
        <v>13</v>
      </c>
      <c r="D931" t="s">
        <v>2285</v>
      </c>
      <c r="E931" t="s">
        <v>15</v>
      </c>
      <c r="J931" s="1">
        <v>44972</v>
      </c>
      <c r="K931">
        <v>1112</v>
      </c>
      <c r="L931" t="s">
        <v>2286</v>
      </c>
      <c r="M931">
        <v>9</v>
      </c>
      <c r="N931" t="str">
        <f>VLOOKUP(M931,[1]LOJA!$A:$B,2,0)</f>
        <v>ÚNICA</v>
      </c>
      <c r="O931">
        <v>84</v>
      </c>
      <c r="P931" t="str">
        <f>VLOOKUP(O931,[1]OPERADORES!$A:$B,2,0)</f>
        <v>JEICY AZEVEDO</v>
      </c>
      <c r="Q931">
        <v>4</v>
      </c>
      <c r="S931" t="s">
        <v>2287</v>
      </c>
      <c r="T931" s="1">
        <v>44972</v>
      </c>
      <c r="U931">
        <v>-0.36</v>
      </c>
      <c r="V931">
        <v>-0.36</v>
      </c>
    </row>
    <row r="932" spans="1:22" x14ac:dyDescent="0.3">
      <c r="A932" t="s">
        <v>2283</v>
      </c>
      <c r="B932" t="s">
        <v>2284</v>
      </c>
      <c r="C932" t="s">
        <v>13</v>
      </c>
      <c r="D932" t="s">
        <v>2285</v>
      </c>
      <c r="E932" t="s">
        <v>15</v>
      </c>
      <c r="J932" s="1">
        <v>44974</v>
      </c>
      <c r="K932">
        <v>1110</v>
      </c>
      <c r="L932" t="s">
        <v>2288</v>
      </c>
      <c r="M932">
        <v>9</v>
      </c>
      <c r="N932" t="str">
        <f>VLOOKUP(M932,[1]LOJA!$A:$B,2,0)</f>
        <v>ÚNICA</v>
      </c>
      <c r="O932">
        <v>84</v>
      </c>
      <c r="P932" t="str">
        <f>VLOOKUP(O932,[1]OPERADORES!$A:$B,2,0)</f>
        <v>JEICY AZEVEDO</v>
      </c>
      <c r="Q932">
        <v>4</v>
      </c>
      <c r="S932" t="s">
        <v>2289</v>
      </c>
      <c r="T932" s="1">
        <v>44974</v>
      </c>
      <c r="U932">
        <v>-5.86</v>
      </c>
      <c r="V932">
        <v>-5.86</v>
      </c>
    </row>
    <row r="933" spans="1:22" x14ac:dyDescent="0.3">
      <c r="A933" t="s">
        <v>2283</v>
      </c>
      <c r="B933" t="s">
        <v>2284</v>
      </c>
      <c r="C933" t="s">
        <v>13</v>
      </c>
      <c r="D933" t="s">
        <v>2285</v>
      </c>
      <c r="E933" t="s">
        <v>15</v>
      </c>
      <c r="J933" s="1">
        <v>45657</v>
      </c>
      <c r="K933">
        <v>427</v>
      </c>
      <c r="L933" t="s">
        <v>2290</v>
      </c>
      <c r="M933">
        <v>9</v>
      </c>
      <c r="N933" t="str">
        <f>VLOOKUP(M933,[1]LOJA!$A:$B,2,0)</f>
        <v>ÚNICA</v>
      </c>
      <c r="O933">
        <v>20</v>
      </c>
      <c r="P933" t="str">
        <f>VLOOKUP(O933,[1]OPERADORES!$A:$B,2,0)</f>
        <v>MAYARA</v>
      </c>
      <c r="Q933">
        <v>4</v>
      </c>
      <c r="S933" t="s">
        <v>2291</v>
      </c>
      <c r="T933" s="1">
        <v>45559</v>
      </c>
      <c r="U933" s="2">
        <v>-1117.5999999999999</v>
      </c>
      <c r="V933" s="2">
        <v>-1117.5999999999999</v>
      </c>
    </row>
    <row r="934" spans="1:22" x14ac:dyDescent="0.3">
      <c r="A934" t="s">
        <v>2292</v>
      </c>
      <c r="B934" t="s">
        <v>2293</v>
      </c>
      <c r="C934" t="s">
        <v>13</v>
      </c>
      <c r="D934" t="s">
        <v>2294</v>
      </c>
      <c r="E934" t="s">
        <v>15</v>
      </c>
      <c r="J934" s="1">
        <v>45912</v>
      </c>
      <c r="K934">
        <v>172</v>
      </c>
      <c r="L934" t="s">
        <v>2295</v>
      </c>
      <c r="M934">
        <v>14</v>
      </c>
      <c r="N934" t="str">
        <f>VLOOKUP(M934,[1]LOJA!$A:$B,2,0)</f>
        <v>S IA</v>
      </c>
      <c r="O934">
        <v>54</v>
      </c>
      <c r="P934" t="str">
        <f>VLOOKUP(O934,[1]OPERADORES!$A:$B,2,0)</f>
        <v>ROBSON</v>
      </c>
      <c r="Q934">
        <v>7</v>
      </c>
      <c r="S934" t="s">
        <v>87</v>
      </c>
      <c r="T934" s="1">
        <v>45911</v>
      </c>
      <c r="U934">
        <v>90</v>
      </c>
      <c r="V934">
        <v>90</v>
      </c>
    </row>
    <row r="935" spans="1:22" x14ac:dyDescent="0.3">
      <c r="A935" t="s">
        <v>2296</v>
      </c>
      <c r="B935" t="s">
        <v>2297</v>
      </c>
      <c r="C935" t="s">
        <v>691</v>
      </c>
      <c r="D935" t="s">
        <v>760</v>
      </c>
      <c r="E935" t="s">
        <v>15</v>
      </c>
      <c r="J935" s="1">
        <v>45744</v>
      </c>
      <c r="K935">
        <v>340</v>
      </c>
      <c r="L935" t="s">
        <v>2298</v>
      </c>
      <c r="M935">
        <v>14</v>
      </c>
      <c r="N935" t="str">
        <f>VLOOKUP(M935,[1]LOJA!$A:$B,2,0)</f>
        <v>S IA</v>
      </c>
      <c r="O935">
        <v>212</v>
      </c>
      <c r="P935" t="str">
        <f>VLOOKUP(O935,[1]OPERADORES!$A:$B,2,0)</f>
        <v>YASMIN</v>
      </c>
      <c r="Q935">
        <v>4</v>
      </c>
      <c r="S935" t="s">
        <v>2299</v>
      </c>
      <c r="T935" s="1">
        <v>45744</v>
      </c>
      <c r="U935">
        <v>-0.02</v>
      </c>
      <c r="V935">
        <v>-0.02</v>
      </c>
    </row>
    <row r="936" spans="1:22" x14ac:dyDescent="0.3">
      <c r="A936" t="s">
        <v>2300</v>
      </c>
      <c r="B936" t="s">
        <v>2301</v>
      </c>
      <c r="C936" t="s">
        <v>13</v>
      </c>
      <c r="D936" t="s">
        <v>2302</v>
      </c>
      <c r="E936" t="s">
        <v>15</v>
      </c>
      <c r="J936" s="1">
        <v>45061</v>
      </c>
      <c r="K936">
        <v>1023</v>
      </c>
      <c r="L936" t="s">
        <v>2303</v>
      </c>
      <c r="M936">
        <v>4</v>
      </c>
      <c r="N936" t="str">
        <f>VLOOKUP(M936,[1]LOJA!$A:$B,2,0)</f>
        <v>ADE</v>
      </c>
      <c r="O936">
        <v>189</v>
      </c>
      <c r="P936" t="str">
        <f>VLOOKUP(O936,[1]OPERADORES!$A:$B,2,0)</f>
        <v>CAMILA WILLIANE</v>
      </c>
      <c r="Q936">
        <v>4</v>
      </c>
      <c r="S936" t="s">
        <v>2304</v>
      </c>
      <c r="T936" s="1">
        <v>45061</v>
      </c>
      <c r="U936">
        <v>-17.95</v>
      </c>
      <c r="V936">
        <v>-17.95</v>
      </c>
    </row>
    <row r="937" spans="1:22" x14ac:dyDescent="0.3">
      <c r="A937" t="s">
        <v>2305</v>
      </c>
      <c r="B937" t="s">
        <v>2306</v>
      </c>
      <c r="C937" t="s">
        <v>13</v>
      </c>
      <c r="D937" t="s">
        <v>2307</v>
      </c>
      <c r="E937" t="s">
        <v>15</v>
      </c>
      <c r="J937" s="1">
        <v>45877</v>
      </c>
      <c r="K937">
        <v>207</v>
      </c>
      <c r="L937" t="s">
        <v>2308</v>
      </c>
      <c r="M937">
        <v>14</v>
      </c>
      <c r="N937" t="str">
        <f>VLOOKUP(M937,[1]LOJA!$A:$B,2,0)</f>
        <v>S IA</v>
      </c>
      <c r="O937">
        <v>54</v>
      </c>
      <c r="P937" t="str">
        <f>VLOOKUP(O937,[1]OPERADORES!$A:$B,2,0)</f>
        <v>ROBSON</v>
      </c>
      <c r="Q937">
        <v>4</v>
      </c>
      <c r="S937" t="s">
        <v>2309</v>
      </c>
      <c r="T937" s="1">
        <v>45877</v>
      </c>
      <c r="U937">
        <v>-8.77</v>
      </c>
      <c r="V937">
        <v>-8.77</v>
      </c>
    </row>
    <row r="938" spans="1:22" x14ac:dyDescent="0.3">
      <c r="A938" t="s">
        <v>2305</v>
      </c>
      <c r="B938" t="s">
        <v>2306</v>
      </c>
      <c r="C938" t="s">
        <v>13</v>
      </c>
      <c r="D938" t="s">
        <v>2307</v>
      </c>
      <c r="E938" t="s">
        <v>15</v>
      </c>
      <c r="J938" s="1">
        <v>45879</v>
      </c>
      <c r="K938">
        <v>205</v>
      </c>
      <c r="L938" t="s">
        <v>2310</v>
      </c>
      <c r="M938">
        <v>14</v>
      </c>
      <c r="N938" t="str">
        <f>VLOOKUP(M938,[1]LOJA!$A:$B,2,0)</f>
        <v>S IA</v>
      </c>
      <c r="O938">
        <v>212</v>
      </c>
      <c r="P938" t="str">
        <f>VLOOKUP(O938,[1]OPERADORES!$A:$B,2,0)</f>
        <v>YASMIN</v>
      </c>
      <c r="Q938">
        <v>27</v>
      </c>
      <c r="R938">
        <v>2000008591</v>
      </c>
      <c r="S938" t="s">
        <v>51</v>
      </c>
      <c r="T938" s="1">
        <v>45849</v>
      </c>
      <c r="U938" s="2">
        <v>1218.55</v>
      </c>
      <c r="V938" s="2">
        <v>1218.55</v>
      </c>
    </row>
    <row r="939" spans="1:22" x14ac:dyDescent="0.3">
      <c r="A939" t="s">
        <v>2305</v>
      </c>
      <c r="B939" t="s">
        <v>2306</v>
      </c>
      <c r="C939" t="s">
        <v>13</v>
      </c>
      <c r="D939" t="s">
        <v>2307</v>
      </c>
      <c r="E939" t="s">
        <v>15</v>
      </c>
      <c r="J939" s="1">
        <v>45890</v>
      </c>
      <c r="K939">
        <v>194</v>
      </c>
      <c r="L939" t="s">
        <v>2311</v>
      </c>
      <c r="M939">
        <v>14</v>
      </c>
      <c r="N939" t="str">
        <f>VLOOKUP(M939,[1]LOJA!$A:$B,2,0)</f>
        <v>S IA</v>
      </c>
      <c r="O939">
        <v>54</v>
      </c>
      <c r="P939" t="str">
        <f>VLOOKUP(O939,[1]OPERADORES!$A:$B,2,0)</f>
        <v>ROBSON</v>
      </c>
      <c r="Q939">
        <v>27</v>
      </c>
      <c r="R939">
        <v>2000008621</v>
      </c>
      <c r="S939" t="s">
        <v>51</v>
      </c>
      <c r="T939" s="1">
        <v>45860</v>
      </c>
      <c r="U939" s="2">
        <v>2263.38</v>
      </c>
      <c r="V939" s="2">
        <v>2263.38</v>
      </c>
    </row>
    <row r="940" spans="1:22" x14ac:dyDescent="0.3">
      <c r="A940" t="s">
        <v>2305</v>
      </c>
      <c r="B940" t="s">
        <v>2306</v>
      </c>
      <c r="C940" t="s">
        <v>13</v>
      </c>
      <c r="D940" t="s">
        <v>2307</v>
      </c>
      <c r="E940" t="s">
        <v>15</v>
      </c>
      <c r="J940" s="1">
        <v>45890</v>
      </c>
      <c r="K940">
        <v>194</v>
      </c>
      <c r="L940" t="s">
        <v>2312</v>
      </c>
      <c r="M940">
        <v>14</v>
      </c>
      <c r="N940" t="str">
        <f>VLOOKUP(M940,[1]LOJA!$A:$B,2,0)</f>
        <v>S IA</v>
      </c>
      <c r="O940">
        <v>54</v>
      </c>
      <c r="P940" t="str">
        <f>VLOOKUP(O940,[1]OPERADORES!$A:$B,2,0)</f>
        <v>ROBSON</v>
      </c>
      <c r="Q940">
        <v>27</v>
      </c>
      <c r="R940">
        <v>2000008624</v>
      </c>
      <c r="S940" t="s">
        <v>87</v>
      </c>
      <c r="T940" s="1">
        <v>45860</v>
      </c>
      <c r="U940">
        <v>553.13</v>
      </c>
      <c r="V940">
        <v>553.13</v>
      </c>
    </row>
    <row r="941" spans="1:22" x14ac:dyDescent="0.3">
      <c r="A941" t="s">
        <v>2305</v>
      </c>
      <c r="B941" t="s">
        <v>2306</v>
      </c>
      <c r="C941" t="s">
        <v>13</v>
      </c>
      <c r="D941" t="s">
        <v>2307</v>
      </c>
      <c r="E941" t="s">
        <v>15</v>
      </c>
      <c r="J941" s="1">
        <v>45909</v>
      </c>
      <c r="K941">
        <v>175</v>
      </c>
      <c r="L941" t="s">
        <v>2313</v>
      </c>
      <c r="M941">
        <v>14</v>
      </c>
      <c r="N941" t="str">
        <f>VLOOKUP(M941,[1]LOJA!$A:$B,2,0)</f>
        <v>S IA</v>
      </c>
      <c r="O941">
        <v>212</v>
      </c>
      <c r="P941" t="str">
        <f>VLOOKUP(O941,[1]OPERADORES!$A:$B,2,0)</f>
        <v>YASMIN</v>
      </c>
      <c r="Q941">
        <v>27</v>
      </c>
      <c r="R941">
        <v>2000008592</v>
      </c>
      <c r="S941" t="s">
        <v>53</v>
      </c>
      <c r="T941" s="1">
        <v>45849</v>
      </c>
      <c r="U941" s="2">
        <v>1218.55</v>
      </c>
      <c r="V941" s="2">
        <v>1218.55</v>
      </c>
    </row>
    <row r="942" spans="1:22" x14ac:dyDescent="0.3">
      <c r="A942" t="s">
        <v>2305</v>
      </c>
      <c r="B942" t="s">
        <v>2306</v>
      </c>
      <c r="C942" t="s">
        <v>13</v>
      </c>
      <c r="D942" t="s">
        <v>2307</v>
      </c>
      <c r="E942" t="s">
        <v>15</v>
      </c>
      <c r="J942" s="1">
        <v>45920</v>
      </c>
      <c r="K942">
        <v>164</v>
      </c>
      <c r="L942" t="s">
        <v>2314</v>
      </c>
      <c r="M942">
        <v>14</v>
      </c>
      <c r="N942" t="str">
        <f>VLOOKUP(M942,[1]LOJA!$A:$B,2,0)</f>
        <v>S IA</v>
      </c>
      <c r="O942">
        <v>54</v>
      </c>
      <c r="P942" t="str">
        <f>VLOOKUP(O942,[1]OPERADORES!$A:$B,2,0)</f>
        <v>ROBSON</v>
      </c>
      <c r="Q942">
        <v>27</v>
      </c>
      <c r="R942">
        <v>2000008622</v>
      </c>
      <c r="S942" t="s">
        <v>53</v>
      </c>
      <c r="T942" s="1">
        <v>45860</v>
      </c>
      <c r="U942" s="2">
        <v>2263.38</v>
      </c>
      <c r="V942" s="2">
        <v>2263.38</v>
      </c>
    </row>
    <row r="943" spans="1:22" x14ac:dyDescent="0.3">
      <c r="A943" t="s">
        <v>2305</v>
      </c>
      <c r="B943" t="s">
        <v>2306</v>
      </c>
      <c r="C943" t="s">
        <v>13</v>
      </c>
      <c r="D943" t="s">
        <v>2307</v>
      </c>
      <c r="E943" t="s">
        <v>15</v>
      </c>
      <c r="J943" s="1">
        <v>45927</v>
      </c>
      <c r="K943">
        <v>157</v>
      </c>
      <c r="L943" t="s">
        <v>2315</v>
      </c>
      <c r="M943">
        <v>14</v>
      </c>
      <c r="N943" t="str">
        <f>VLOOKUP(M943,[1]LOJA!$A:$B,2,0)</f>
        <v>S IA</v>
      </c>
      <c r="O943">
        <v>54</v>
      </c>
      <c r="P943" t="str">
        <f>VLOOKUP(O943,[1]OPERADORES!$A:$B,2,0)</f>
        <v>ROBSON</v>
      </c>
      <c r="Q943">
        <v>7</v>
      </c>
      <c r="S943" t="s">
        <v>46</v>
      </c>
      <c r="T943" s="1">
        <v>45867</v>
      </c>
      <c r="U943">
        <v>361.46</v>
      </c>
      <c r="V943">
        <v>361.46</v>
      </c>
    </row>
    <row r="944" spans="1:22" x14ac:dyDescent="0.3">
      <c r="A944" t="s">
        <v>2305</v>
      </c>
      <c r="B944" t="s">
        <v>2306</v>
      </c>
      <c r="C944" t="s">
        <v>13</v>
      </c>
      <c r="D944" t="s">
        <v>2307</v>
      </c>
      <c r="E944" t="s">
        <v>15</v>
      </c>
      <c r="J944" s="1">
        <v>45939</v>
      </c>
      <c r="K944">
        <v>145</v>
      </c>
      <c r="L944" t="s">
        <v>2316</v>
      </c>
      <c r="M944">
        <v>14</v>
      </c>
      <c r="N944" t="str">
        <f>VLOOKUP(M944,[1]LOJA!$A:$B,2,0)</f>
        <v>S IA</v>
      </c>
      <c r="O944">
        <v>212</v>
      </c>
      <c r="P944" t="str">
        <f>VLOOKUP(O944,[1]OPERADORES!$A:$B,2,0)</f>
        <v>YASMIN</v>
      </c>
      <c r="Q944">
        <v>27</v>
      </c>
      <c r="R944">
        <v>2000008593</v>
      </c>
      <c r="S944" t="s">
        <v>55</v>
      </c>
      <c r="T944" s="1">
        <v>45849</v>
      </c>
      <c r="U944" s="2">
        <v>1218.54</v>
      </c>
      <c r="V944" s="2">
        <v>1218.54</v>
      </c>
    </row>
    <row r="945" spans="1:22" x14ac:dyDescent="0.3">
      <c r="A945" t="s">
        <v>2317</v>
      </c>
      <c r="B945" t="s">
        <v>2318</v>
      </c>
      <c r="C945" t="s">
        <v>13</v>
      </c>
      <c r="D945" t="s">
        <v>2319</v>
      </c>
      <c r="E945" t="s">
        <v>15</v>
      </c>
      <c r="J945" s="1">
        <v>46037</v>
      </c>
      <c r="K945">
        <v>47</v>
      </c>
      <c r="L945" t="s">
        <v>2320</v>
      </c>
      <c r="M945">
        <v>14</v>
      </c>
      <c r="N945" t="str">
        <f>VLOOKUP(M945,[1]LOJA!$A:$B,2,0)</f>
        <v>S IA</v>
      </c>
      <c r="O945">
        <v>207</v>
      </c>
      <c r="P945" t="str">
        <f>VLOOKUP(O945,[1]OPERADORES!$A:$B,2,0)</f>
        <v>KETILE SABRINE</v>
      </c>
      <c r="Q945">
        <v>4</v>
      </c>
      <c r="S945" t="s">
        <v>2321</v>
      </c>
      <c r="T945" s="1">
        <v>46037</v>
      </c>
      <c r="U945">
        <v>-133.30000000000001</v>
      </c>
      <c r="V945">
        <v>-133.30000000000001</v>
      </c>
    </row>
    <row r="946" spans="1:22" x14ac:dyDescent="0.3">
      <c r="A946" t="s">
        <v>5700</v>
      </c>
      <c r="B946" t="s">
        <v>32</v>
      </c>
      <c r="C946" t="s">
        <v>1238</v>
      </c>
      <c r="D946" t="s">
        <v>5701</v>
      </c>
      <c r="E946" t="s">
        <v>15</v>
      </c>
      <c r="J946" s="1">
        <v>46068</v>
      </c>
      <c r="K946">
        <v>16</v>
      </c>
      <c r="L946" t="s">
        <v>5702</v>
      </c>
      <c r="M946">
        <v>9</v>
      </c>
      <c r="N946" t="str">
        <f>VLOOKUP(M946,[1]LOJA!$A:$B,2,0)</f>
        <v>ÚNICA</v>
      </c>
      <c r="O946">
        <v>236</v>
      </c>
      <c r="P946" t="str">
        <f>VLOOKUP(O946,[1]OPERADORES!$A:$B,2,0)</f>
        <v>DANIEL</v>
      </c>
      <c r="Q946">
        <v>23</v>
      </c>
      <c r="R946">
        <v>209357</v>
      </c>
      <c r="S946" t="s">
        <v>53</v>
      </c>
      <c r="T946" s="1">
        <v>46008</v>
      </c>
      <c r="U946">
        <v>500.85</v>
      </c>
      <c r="V946">
        <v>500.85</v>
      </c>
    </row>
    <row r="947" spans="1:22" x14ac:dyDescent="0.3">
      <c r="A947" t="s">
        <v>5703</v>
      </c>
      <c r="B947" t="s">
        <v>32</v>
      </c>
      <c r="C947" t="s">
        <v>43</v>
      </c>
      <c r="D947" t="s">
        <v>5704</v>
      </c>
      <c r="E947" t="s">
        <v>15</v>
      </c>
      <c r="J947" s="1">
        <v>46084</v>
      </c>
      <c r="K947">
        <v>0</v>
      </c>
      <c r="L947" t="s">
        <v>5705</v>
      </c>
      <c r="M947">
        <v>14</v>
      </c>
      <c r="N947" t="str">
        <f>VLOOKUP(M947,[1]LOJA!$A:$B,2,0)</f>
        <v>S IA</v>
      </c>
      <c r="O947">
        <v>54</v>
      </c>
      <c r="P947" t="str">
        <f>VLOOKUP(O947,[1]OPERADORES!$A:$B,2,0)</f>
        <v>ROBSON</v>
      </c>
      <c r="Q947">
        <v>4</v>
      </c>
      <c r="S947" t="s">
        <v>5706</v>
      </c>
      <c r="T947" s="1">
        <v>46084</v>
      </c>
      <c r="U947">
        <v>-80</v>
      </c>
      <c r="V947">
        <v>-80</v>
      </c>
    </row>
    <row r="948" spans="1:22" x14ac:dyDescent="0.3">
      <c r="A948" t="s">
        <v>5707</v>
      </c>
      <c r="B948" t="s">
        <v>5708</v>
      </c>
      <c r="C948" t="s">
        <v>30</v>
      </c>
      <c r="D948" t="s">
        <v>5709</v>
      </c>
      <c r="E948" t="s">
        <v>15</v>
      </c>
      <c r="J948" s="1">
        <v>46082</v>
      </c>
      <c r="K948">
        <v>2</v>
      </c>
      <c r="L948" t="s">
        <v>5710</v>
      </c>
      <c r="M948">
        <v>14</v>
      </c>
      <c r="N948" t="str">
        <f>VLOOKUP(M948,[1]LOJA!$A:$B,2,0)</f>
        <v>S IA</v>
      </c>
      <c r="O948">
        <v>212</v>
      </c>
      <c r="P948" t="str">
        <f>VLOOKUP(O948,[1]OPERADORES!$A:$B,2,0)</f>
        <v>YASMIN</v>
      </c>
      <c r="Q948">
        <v>27</v>
      </c>
      <c r="R948">
        <v>2000008987</v>
      </c>
      <c r="S948" t="s">
        <v>51</v>
      </c>
      <c r="T948" s="1">
        <v>46052</v>
      </c>
      <c r="U948">
        <v>560.77</v>
      </c>
      <c r="V948">
        <v>560.77</v>
      </c>
    </row>
    <row r="949" spans="1:22" x14ac:dyDescent="0.3">
      <c r="A949" t="s">
        <v>5711</v>
      </c>
      <c r="B949" t="s">
        <v>5712</v>
      </c>
      <c r="C949" t="s">
        <v>293</v>
      </c>
      <c r="D949" t="s">
        <v>5713</v>
      </c>
      <c r="E949" t="s">
        <v>15</v>
      </c>
      <c r="J949" s="1">
        <v>46084</v>
      </c>
      <c r="K949">
        <v>0</v>
      </c>
      <c r="L949" t="s">
        <v>5714</v>
      </c>
      <c r="M949">
        <v>22</v>
      </c>
      <c r="N949" t="str">
        <f>VLOOKUP(M949,[1]LOJA!$A:$B,2,0)</f>
        <v>GUARÁ</v>
      </c>
      <c r="O949">
        <v>20</v>
      </c>
      <c r="P949" t="str">
        <f>VLOOKUP(O949,[1]OPERADORES!$A:$B,2,0)</f>
        <v>MAYARA</v>
      </c>
      <c r="Q949">
        <v>27</v>
      </c>
      <c r="R949">
        <v>1000019329</v>
      </c>
      <c r="S949" t="s">
        <v>5715</v>
      </c>
      <c r="T949" s="1">
        <v>45994</v>
      </c>
      <c r="U949">
        <v>674</v>
      </c>
      <c r="V949">
        <v>674</v>
      </c>
    </row>
    <row r="950" spans="1:22" x14ac:dyDescent="0.3">
      <c r="A950" t="s">
        <v>2322</v>
      </c>
      <c r="B950" t="s">
        <v>32</v>
      </c>
      <c r="C950" t="s">
        <v>13</v>
      </c>
      <c r="D950" t="s">
        <v>134</v>
      </c>
      <c r="E950" t="s">
        <v>15</v>
      </c>
      <c r="J950" s="1">
        <v>44671</v>
      </c>
      <c r="K950">
        <v>1413</v>
      </c>
      <c r="L950" t="s">
        <v>2323</v>
      </c>
      <c r="M950">
        <v>13</v>
      </c>
      <c r="N950" t="str">
        <f>VLOOKUP(M950,[1]LOJA!$A:$B,2,0)</f>
        <v>CEILÂNDIA</v>
      </c>
      <c r="O950">
        <v>60</v>
      </c>
      <c r="P950" t="str">
        <f>VLOOKUP(O950,[1]OPERADORES!$A:$B,2,0)</f>
        <v>ALEXANDRA</v>
      </c>
      <c r="Q950">
        <v>4</v>
      </c>
      <c r="S950" t="s">
        <v>2324</v>
      </c>
      <c r="T950" s="1">
        <v>44671</v>
      </c>
      <c r="U950">
        <v>-1.1000000000000001</v>
      </c>
      <c r="V950">
        <v>-1.1000000000000001</v>
      </c>
    </row>
    <row r="951" spans="1:22" x14ac:dyDescent="0.3">
      <c r="A951" t="s">
        <v>5716</v>
      </c>
      <c r="B951" t="s">
        <v>5717</v>
      </c>
      <c r="C951" t="s">
        <v>13</v>
      </c>
      <c r="D951" t="s">
        <v>243</v>
      </c>
      <c r="E951" t="s">
        <v>15</v>
      </c>
      <c r="J951" s="1">
        <v>46083</v>
      </c>
      <c r="K951">
        <v>1</v>
      </c>
      <c r="L951" t="s">
        <v>447</v>
      </c>
      <c r="M951">
        <v>24</v>
      </c>
      <c r="N951" t="str">
        <f>VLOOKUP(M951,[1]LOJA!$A:$B,2,0)</f>
        <v>LUZIÂNIA</v>
      </c>
      <c r="O951">
        <v>170</v>
      </c>
      <c r="P951" t="str">
        <f>VLOOKUP(O951,[1]OPERADORES!$A:$B,2,0)</f>
        <v>MARIA LUISA</v>
      </c>
      <c r="Q951">
        <v>4</v>
      </c>
      <c r="S951" t="s">
        <v>5718</v>
      </c>
      <c r="T951" s="1">
        <v>46083</v>
      </c>
      <c r="U951">
        <v>-0.2</v>
      </c>
      <c r="V951">
        <v>-0.2</v>
      </c>
    </row>
    <row r="952" spans="1:22" x14ac:dyDescent="0.3">
      <c r="A952" t="s">
        <v>2325</v>
      </c>
      <c r="B952" t="s">
        <v>2326</v>
      </c>
      <c r="C952" t="s">
        <v>43</v>
      </c>
      <c r="D952" t="s">
        <v>956</v>
      </c>
      <c r="E952" t="s">
        <v>15</v>
      </c>
      <c r="J952" s="1">
        <v>46031</v>
      </c>
      <c r="K952">
        <v>53</v>
      </c>
      <c r="L952" t="s">
        <v>2327</v>
      </c>
      <c r="M952">
        <v>14</v>
      </c>
      <c r="N952" t="str">
        <f>VLOOKUP(M952,[1]LOJA!$A:$B,2,0)</f>
        <v>S IA</v>
      </c>
      <c r="O952">
        <v>207</v>
      </c>
      <c r="P952" t="str">
        <f>VLOOKUP(O952,[1]OPERADORES!$A:$B,2,0)</f>
        <v>KETILE SABRINE</v>
      </c>
      <c r="Q952">
        <v>4</v>
      </c>
      <c r="S952" t="s">
        <v>2328</v>
      </c>
      <c r="T952" s="1">
        <v>46031</v>
      </c>
      <c r="U952">
        <v>-9</v>
      </c>
      <c r="V952">
        <v>-9</v>
      </c>
    </row>
    <row r="953" spans="1:22" x14ac:dyDescent="0.3">
      <c r="A953" t="s">
        <v>2329</v>
      </c>
      <c r="B953" t="s">
        <v>2330</v>
      </c>
      <c r="C953" t="s">
        <v>13</v>
      </c>
      <c r="D953" t="s">
        <v>2331</v>
      </c>
      <c r="E953" t="s">
        <v>15</v>
      </c>
      <c r="J953" s="1">
        <v>45873</v>
      </c>
      <c r="K953">
        <v>211</v>
      </c>
      <c r="L953" t="s">
        <v>2332</v>
      </c>
      <c r="M953">
        <v>14</v>
      </c>
      <c r="N953" t="str">
        <f>VLOOKUP(M953,[1]LOJA!$A:$B,2,0)</f>
        <v>S IA</v>
      </c>
      <c r="O953">
        <v>108</v>
      </c>
      <c r="P953" t="str">
        <f>VLOOKUP(O953,[1]OPERADORES!$A:$B,2,0)</f>
        <v>CRISLANY DA SILVA</v>
      </c>
      <c r="Q953">
        <v>4</v>
      </c>
      <c r="S953" t="s">
        <v>2333</v>
      </c>
      <c r="T953" s="1">
        <v>45873</v>
      </c>
      <c r="U953">
        <v>-0.28999999999999998</v>
      </c>
      <c r="V953">
        <v>-0.28999999999999998</v>
      </c>
    </row>
    <row r="954" spans="1:22" x14ac:dyDescent="0.3">
      <c r="A954" t="s">
        <v>2334</v>
      </c>
      <c r="B954" t="s">
        <v>2335</v>
      </c>
      <c r="C954" t="s">
        <v>13</v>
      </c>
      <c r="D954" t="s">
        <v>2336</v>
      </c>
      <c r="E954" t="s">
        <v>15</v>
      </c>
      <c r="J954" s="1">
        <v>44473</v>
      </c>
      <c r="K954">
        <v>1611</v>
      </c>
      <c r="L954" t="s">
        <v>2337</v>
      </c>
      <c r="M954">
        <v>14</v>
      </c>
      <c r="N954" t="str">
        <f>VLOOKUP(M954,[1]LOJA!$A:$B,2,0)</f>
        <v>S IA</v>
      </c>
      <c r="O954">
        <v>60</v>
      </c>
      <c r="P954" t="str">
        <f>VLOOKUP(O954,[1]OPERADORES!$A:$B,2,0)</f>
        <v>ALEXANDRA</v>
      </c>
      <c r="Q954">
        <v>4</v>
      </c>
      <c r="S954" t="s">
        <v>2338</v>
      </c>
      <c r="T954" s="1">
        <v>44473</v>
      </c>
      <c r="U954">
        <v>-347.32</v>
      </c>
      <c r="V954">
        <v>-347.32</v>
      </c>
    </row>
    <row r="955" spans="1:22" x14ac:dyDescent="0.3">
      <c r="A955" t="s">
        <v>2339</v>
      </c>
      <c r="B955" t="s">
        <v>2340</v>
      </c>
      <c r="C955" t="s">
        <v>13</v>
      </c>
      <c r="D955" t="s">
        <v>2341</v>
      </c>
      <c r="E955" t="s">
        <v>15</v>
      </c>
      <c r="J955" s="1">
        <v>44412</v>
      </c>
      <c r="K955">
        <v>1672</v>
      </c>
      <c r="L955" t="s">
        <v>2342</v>
      </c>
      <c r="M955">
        <v>12</v>
      </c>
      <c r="N955" t="str">
        <f>VLOOKUP(M955,[1]LOJA!$A:$B,2,0)</f>
        <v>SOFNORTE</v>
      </c>
      <c r="O955">
        <v>104</v>
      </c>
      <c r="P955" t="str">
        <f>VLOOKUP(O955,[1]OPERADORES!$A:$B,2,0)</f>
        <v>GUSTAVO</v>
      </c>
      <c r="Q955">
        <v>7</v>
      </c>
      <c r="S955" t="s">
        <v>2343</v>
      </c>
      <c r="T955" s="1">
        <v>44384</v>
      </c>
      <c r="U955">
        <v>17.25</v>
      </c>
      <c r="V955">
        <v>17.25</v>
      </c>
    </row>
    <row r="956" spans="1:22" x14ac:dyDescent="0.3">
      <c r="A956" t="s">
        <v>2344</v>
      </c>
      <c r="B956" t="s">
        <v>2345</v>
      </c>
      <c r="C956" t="s">
        <v>13</v>
      </c>
      <c r="D956" t="s">
        <v>2346</v>
      </c>
      <c r="E956" t="s">
        <v>15</v>
      </c>
      <c r="J956" s="1">
        <v>44495</v>
      </c>
      <c r="K956">
        <v>1589</v>
      </c>
      <c r="L956" t="s">
        <v>2347</v>
      </c>
      <c r="M956">
        <v>14</v>
      </c>
      <c r="N956" t="str">
        <f>VLOOKUP(M956,[1]LOJA!$A:$B,2,0)</f>
        <v>S IA</v>
      </c>
      <c r="O956">
        <v>54</v>
      </c>
      <c r="P956" t="str">
        <f>VLOOKUP(O956,[1]OPERADORES!$A:$B,2,0)</f>
        <v>ROBSON</v>
      </c>
      <c r="Q956">
        <v>4</v>
      </c>
      <c r="S956" t="s">
        <v>2348</v>
      </c>
      <c r="T956" s="1">
        <v>44495</v>
      </c>
      <c r="U956">
        <v>-127.14</v>
      </c>
      <c r="V956">
        <v>-127.14</v>
      </c>
    </row>
    <row r="957" spans="1:22" x14ac:dyDescent="0.3">
      <c r="A957" t="s">
        <v>2349</v>
      </c>
      <c r="B957" t="s">
        <v>2350</v>
      </c>
      <c r="C957" t="s">
        <v>13</v>
      </c>
      <c r="D957" t="s">
        <v>5719</v>
      </c>
      <c r="E957" t="s">
        <v>15</v>
      </c>
      <c r="J957" s="1">
        <v>44489</v>
      </c>
      <c r="K957">
        <v>1595</v>
      </c>
      <c r="L957" t="s">
        <v>2351</v>
      </c>
      <c r="M957">
        <v>1</v>
      </c>
      <c r="N957" t="str">
        <f>VLOOKUP(M957,[1]LOJA!$A:$B,2,0)</f>
        <v>GUARÁ</v>
      </c>
      <c r="O957">
        <v>84</v>
      </c>
      <c r="P957" t="str">
        <f>VLOOKUP(O957,[1]OPERADORES!$A:$B,2,0)</f>
        <v>JEICY AZEVEDO</v>
      </c>
      <c r="Q957">
        <v>4</v>
      </c>
      <c r="S957" t="s">
        <v>2352</v>
      </c>
      <c r="T957" s="1">
        <v>44468</v>
      </c>
      <c r="U957" s="2">
        <v>2071</v>
      </c>
      <c r="V957" s="2">
        <v>2071</v>
      </c>
    </row>
    <row r="958" spans="1:22" x14ac:dyDescent="0.3">
      <c r="A958" t="s">
        <v>2349</v>
      </c>
      <c r="B958" t="s">
        <v>2350</v>
      </c>
      <c r="C958" t="s">
        <v>13</v>
      </c>
      <c r="D958" t="s">
        <v>5719</v>
      </c>
      <c r="E958" t="s">
        <v>15</v>
      </c>
      <c r="J958" s="1">
        <v>44515</v>
      </c>
      <c r="K958">
        <v>1569</v>
      </c>
      <c r="L958" t="s">
        <v>2353</v>
      </c>
      <c r="M958">
        <v>1</v>
      </c>
      <c r="N958" t="str">
        <f>VLOOKUP(M958,[1]LOJA!$A:$B,2,0)</f>
        <v>GUARÁ</v>
      </c>
      <c r="O958">
        <v>84</v>
      </c>
      <c r="P958" t="str">
        <f>VLOOKUP(O958,[1]OPERADORES!$A:$B,2,0)</f>
        <v>JEICY AZEVEDO</v>
      </c>
      <c r="Q958">
        <v>4</v>
      </c>
      <c r="S958" t="s">
        <v>2354</v>
      </c>
      <c r="T958" s="1">
        <v>44432</v>
      </c>
      <c r="U958" s="2">
        <v>1463</v>
      </c>
      <c r="V958" s="2">
        <v>1463</v>
      </c>
    </row>
    <row r="959" spans="1:22" x14ac:dyDescent="0.3">
      <c r="A959" t="s">
        <v>2349</v>
      </c>
      <c r="B959" t="s">
        <v>2350</v>
      </c>
      <c r="C959" t="s">
        <v>13</v>
      </c>
      <c r="D959" t="s">
        <v>5719</v>
      </c>
      <c r="E959" t="s">
        <v>15</v>
      </c>
      <c r="J959" s="1">
        <v>44525</v>
      </c>
      <c r="K959">
        <v>1559</v>
      </c>
      <c r="L959" t="s">
        <v>2355</v>
      </c>
      <c r="M959">
        <v>1</v>
      </c>
      <c r="N959" t="str">
        <f>VLOOKUP(M959,[1]LOJA!$A:$B,2,0)</f>
        <v>GUARÁ</v>
      </c>
      <c r="O959">
        <v>20</v>
      </c>
      <c r="P959" t="str">
        <f>VLOOKUP(O959,[1]OPERADORES!$A:$B,2,0)</f>
        <v>MAYARA</v>
      </c>
      <c r="Q959">
        <v>12</v>
      </c>
      <c r="S959" t="s">
        <v>2356</v>
      </c>
      <c r="T959" s="1">
        <v>44501</v>
      </c>
      <c r="U959" s="2">
        <v>1186.77</v>
      </c>
      <c r="V959" s="2">
        <v>1186.77</v>
      </c>
    </row>
    <row r="960" spans="1:22" x14ac:dyDescent="0.3">
      <c r="A960" t="s">
        <v>2349</v>
      </c>
      <c r="B960" t="s">
        <v>2350</v>
      </c>
      <c r="C960" t="s">
        <v>13</v>
      </c>
      <c r="D960" t="s">
        <v>5719</v>
      </c>
      <c r="E960" t="s">
        <v>15</v>
      </c>
      <c r="J960" s="1">
        <v>44782</v>
      </c>
      <c r="K960">
        <v>1302</v>
      </c>
      <c r="L960" t="s">
        <v>2357</v>
      </c>
      <c r="M960">
        <v>1</v>
      </c>
      <c r="N960" t="str">
        <f>VLOOKUP(M960,[1]LOJA!$A:$B,2,0)</f>
        <v>GUARÁ</v>
      </c>
      <c r="O960">
        <v>28</v>
      </c>
      <c r="P960" t="str">
        <f>VLOOKUP(O960,[1]OPERADORES!$A:$B,2,0)</f>
        <v>GABRIELA</v>
      </c>
      <c r="Q960">
        <v>4</v>
      </c>
      <c r="S960" t="s">
        <v>2358</v>
      </c>
      <c r="T960" s="1">
        <v>44782</v>
      </c>
      <c r="U960">
        <v>-0.34</v>
      </c>
      <c r="V960">
        <v>-0.34</v>
      </c>
    </row>
    <row r="961" spans="1:22" x14ac:dyDescent="0.3">
      <c r="A961" t="s">
        <v>2349</v>
      </c>
      <c r="B961" t="s">
        <v>2350</v>
      </c>
      <c r="C961" t="s">
        <v>13</v>
      </c>
      <c r="D961" t="s">
        <v>5719</v>
      </c>
      <c r="E961" t="s">
        <v>15</v>
      </c>
      <c r="J961" s="1">
        <v>45097</v>
      </c>
      <c r="K961">
        <v>987</v>
      </c>
      <c r="L961" t="s">
        <v>2359</v>
      </c>
      <c r="M961">
        <v>1</v>
      </c>
      <c r="N961" t="str">
        <f>VLOOKUP(M961,[1]LOJA!$A:$B,2,0)</f>
        <v>GUARÁ</v>
      </c>
      <c r="O961">
        <v>26</v>
      </c>
      <c r="P961" t="str">
        <f>VLOOKUP(O961,[1]OPERADORES!$A:$B,2,0)</f>
        <v>JANUARIO</v>
      </c>
      <c r="Q961">
        <v>4</v>
      </c>
      <c r="S961" t="s">
        <v>2360</v>
      </c>
      <c r="T961" s="1">
        <v>45097</v>
      </c>
      <c r="U961">
        <v>-4</v>
      </c>
      <c r="V961">
        <v>-4</v>
      </c>
    </row>
    <row r="962" spans="1:22" x14ac:dyDescent="0.3">
      <c r="A962" t="s">
        <v>2361</v>
      </c>
      <c r="B962" t="s">
        <v>2362</v>
      </c>
      <c r="C962" t="s">
        <v>13</v>
      </c>
      <c r="D962" t="s">
        <v>2363</v>
      </c>
      <c r="E962" t="s">
        <v>15</v>
      </c>
      <c r="J962" s="1">
        <v>45602</v>
      </c>
      <c r="K962">
        <v>482</v>
      </c>
      <c r="L962" t="s">
        <v>2364</v>
      </c>
      <c r="M962">
        <v>9</v>
      </c>
      <c r="N962" t="str">
        <f>VLOOKUP(M962,[1]LOJA!$A:$B,2,0)</f>
        <v>ÚNICA</v>
      </c>
      <c r="O962">
        <v>20</v>
      </c>
      <c r="P962" t="str">
        <f>VLOOKUP(O962,[1]OPERADORES!$A:$B,2,0)</f>
        <v>MAYARA</v>
      </c>
      <c r="Q962">
        <v>23</v>
      </c>
      <c r="R962">
        <v>101513</v>
      </c>
      <c r="S962" t="s">
        <v>2365</v>
      </c>
      <c r="T962" s="1">
        <v>45491</v>
      </c>
      <c r="U962">
        <v>988</v>
      </c>
      <c r="V962">
        <v>988</v>
      </c>
    </row>
    <row r="963" spans="1:22" x14ac:dyDescent="0.3">
      <c r="A963" t="s">
        <v>2361</v>
      </c>
      <c r="B963" t="s">
        <v>2362</v>
      </c>
      <c r="C963" t="s">
        <v>13</v>
      </c>
      <c r="D963" t="s">
        <v>2363</v>
      </c>
      <c r="E963" t="s">
        <v>15</v>
      </c>
      <c r="J963" s="1">
        <v>45618</v>
      </c>
      <c r="K963">
        <v>466</v>
      </c>
      <c r="L963" t="s">
        <v>2366</v>
      </c>
      <c r="M963">
        <v>9</v>
      </c>
      <c r="N963" t="str">
        <f>VLOOKUP(M963,[1]LOJA!$A:$B,2,0)</f>
        <v>ÚNICA</v>
      </c>
      <c r="O963">
        <v>20</v>
      </c>
      <c r="P963" t="str">
        <f>VLOOKUP(O963,[1]OPERADORES!$A:$B,2,0)</f>
        <v>MAYARA</v>
      </c>
      <c r="Q963">
        <v>23</v>
      </c>
      <c r="R963">
        <v>101505</v>
      </c>
      <c r="S963" t="s">
        <v>2367</v>
      </c>
      <c r="T963" s="1">
        <v>45491</v>
      </c>
      <c r="U963">
        <v>386.1</v>
      </c>
      <c r="V963">
        <v>386.1</v>
      </c>
    </row>
    <row r="964" spans="1:22" x14ac:dyDescent="0.3">
      <c r="A964" t="s">
        <v>2361</v>
      </c>
      <c r="B964" t="s">
        <v>2362</v>
      </c>
      <c r="C964" t="s">
        <v>13</v>
      </c>
      <c r="D964" t="s">
        <v>2363</v>
      </c>
      <c r="E964" t="s">
        <v>15</v>
      </c>
      <c r="J964" s="1">
        <v>46084</v>
      </c>
      <c r="K964">
        <v>0</v>
      </c>
      <c r="L964" t="s">
        <v>5720</v>
      </c>
      <c r="M964">
        <v>14</v>
      </c>
      <c r="N964" t="str">
        <f>VLOOKUP(M964,[1]LOJA!$A:$B,2,0)</f>
        <v>S IA</v>
      </c>
      <c r="O964">
        <v>20</v>
      </c>
      <c r="P964" t="str">
        <f>VLOOKUP(O964,[1]OPERADORES!$A:$B,2,0)</f>
        <v>MAYARA</v>
      </c>
      <c r="Q964">
        <v>27</v>
      </c>
      <c r="R964">
        <v>1000014575</v>
      </c>
      <c r="S964" t="s">
        <v>5721</v>
      </c>
      <c r="T964" s="1">
        <v>45600</v>
      </c>
      <c r="U964">
        <v>843.06</v>
      </c>
      <c r="V964">
        <v>843.06</v>
      </c>
    </row>
    <row r="965" spans="1:22" x14ac:dyDescent="0.3">
      <c r="A965" t="s">
        <v>2368</v>
      </c>
      <c r="B965" t="s">
        <v>2369</v>
      </c>
      <c r="C965" t="s">
        <v>13</v>
      </c>
      <c r="D965" t="s">
        <v>5722</v>
      </c>
      <c r="E965" t="s">
        <v>15</v>
      </c>
      <c r="J965" s="1">
        <v>46068</v>
      </c>
      <c r="K965">
        <v>16</v>
      </c>
      <c r="L965" t="s">
        <v>5723</v>
      </c>
      <c r="M965">
        <v>13</v>
      </c>
      <c r="N965" t="str">
        <f>VLOOKUP(M965,[1]LOJA!$A:$B,2,0)</f>
        <v>CEILÂNDIA</v>
      </c>
      <c r="O965">
        <v>86</v>
      </c>
      <c r="P965" t="str">
        <f>VLOOKUP(O965,[1]OPERADORES!$A:$B,2,0)</f>
        <v>AMANDA</v>
      </c>
      <c r="Q965">
        <v>7</v>
      </c>
      <c r="S965" t="s">
        <v>87</v>
      </c>
      <c r="T965" s="1">
        <v>46059</v>
      </c>
      <c r="U965" s="2">
        <v>4500</v>
      </c>
      <c r="V965" s="2">
        <v>4500</v>
      </c>
    </row>
    <row r="966" spans="1:22" x14ac:dyDescent="0.3">
      <c r="A966" t="s">
        <v>2368</v>
      </c>
      <c r="B966" t="s">
        <v>2369</v>
      </c>
      <c r="C966" t="s">
        <v>13</v>
      </c>
      <c r="D966" t="s">
        <v>5722</v>
      </c>
      <c r="E966" t="s">
        <v>15</v>
      </c>
      <c r="J966" s="1">
        <v>46081</v>
      </c>
      <c r="K966">
        <v>3</v>
      </c>
      <c r="L966" t="s">
        <v>5724</v>
      </c>
      <c r="M966">
        <v>13</v>
      </c>
      <c r="N966" t="str">
        <f>VLOOKUP(M966,[1]LOJA!$A:$B,2,0)</f>
        <v>CEILÂNDIA</v>
      </c>
      <c r="O966">
        <v>86</v>
      </c>
      <c r="P966" t="str">
        <f>VLOOKUP(O966,[1]OPERADORES!$A:$B,2,0)</f>
        <v>AMANDA</v>
      </c>
      <c r="Q966">
        <v>7</v>
      </c>
      <c r="S966" t="s">
        <v>5725</v>
      </c>
      <c r="T966" s="1">
        <v>46081</v>
      </c>
      <c r="U966">
        <v>-0.16</v>
      </c>
      <c r="V966">
        <v>-0.16</v>
      </c>
    </row>
    <row r="967" spans="1:22" x14ac:dyDescent="0.3">
      <c r="A967" t="s">
        <v>2370</v>
      </c>
      <c r="B967" t="s">
        <v>2371</v>
      </c>
      <c r="C967" t="s">
        <v>13</v>
      </c>
      <c r="D967" t="s">
        <v>64</v>
      </c>
      <c r="E967" t="s">
        <v>15</v>
      </c>
      <c r="J967" s="1">
        <v>45771</v>
      </c>
      <c r="K967">
        <v>313</v>
      </c>
      <c r="L967" t="s">
        <v>2372</v>
      </c>
      <c r="M967">
        <v>6</v>
      </c>
      <c r="N967" t="str">
        <f>VLOOKUP(M967,[1]LOJA!$A:$B,2,0)</f>
        <v>GAMA</v>
      </c>
      <c r="O967">
        <v>185</v>
      </c>
      <c r="P967" t="str">
        <f>VLOOKUP(O967,[1]OPERADORES!$A:$B,2,0)</f>
        <v>FELIPE OLIVEIRA PONTE</v>
      </c>
      <c r="Q967">
        <v>4</v>
      </c>
      <c r="S967" t="s">
        <v>2373</v>
      </c>
      <c r="T967" s="1">
        <v>45771</v>
      </c>
      <c r="U967">
        <v>-5</v>
      </c>
      <c r="V967">
        <v>-5</v>
      </c>
    </row>
    <row r="968" spans="1:22" x14ac:dyDescent="0.3">
      <c r="A968" t="s">
        <v>2374</v>
      </c>
      <c r="B968" t="s">
        <v>32</v>
      </c>
      <c r="C968" t="s">
        <v>13</v>
      </c>
      <c r="D968" t="s">
        <v>2375</v>
      </c>
      <c r="E968" t="s">
        <v>15</v>
      </c>
      <c r="J968" s="1">
        <v>45145</v>
      </c>
      <c r="K968">
        <v>939</v>
      </c>
      <c r="L968" t="s">
        <v>2376</v>
      </c>
      <c r="M968">
        <v>8</v>
      </c>
      <c r="N968" t="str">
        <f>VLOOKUP(M968,[1]LOJA!$A:$B,2,0)</f>
        <v>LUZIÂNIA</v>
      </c>
      <c r="O968">
        <v>170</v>
      </c>
      <c r="P968" t="str">
        <f>VLOOKUP(O968,[1]OPERADORES!$A:$B,2,0)</f>
        <v>MARIA LUISA</v>
      </c>
      <c r="Q968">
        <v>4</v>
      </c>
      <c r="S968" t="s">
        <v>2377</v>
      </c>
      <c r="T968" s="1">
        <v>45145</v>
      </c>
      <c r="U968">
        <v>-12.32</v>
      </c>
      <c r="V968">
        <v>-12.32</v>
      </c>
    </row>
    <row r="969" spans="1:22" x14ac:dyDescent="0.3">
      <c r="A969" t="s">
        <v>2378</v>
      </c>
      <c r="B969" t="s">
        <v>2379</v>
      </c>
      <c r="C969" t="s">
        <v>13</v>
      </c>
      <c r="D969" t="s">
        <v>2380</v>
      </c>
      <c r="E969" t="s">
        <v>15</v>
      </c>
      <c r="J969" s="1">
        <v>45213</v>
      </c>
      <c r="K969">
        <v>871</v>
      </c>
      <c r="L969" t="s">
        <v>2381</v>
      </c>
      <c r="M969">
        <v>13</v>
      </c>
      <c r="N969" t="str">
        <f>VLOOKUP(M969,[1]LOJA!$A:$B,2,0)</f>
        <v>CEILÂNDIA</v>
      </c>
      <c r="O969">
        <v>185</v>
      </c>
      <c r="P969" t="str">
        <f>VLOOKUP(O969,[1]OPERADORES!$A:$B,2,0)</f>
        <v>FELIPE OLIVEIRA PONTE</v>
      </c>
      <c r="Q969">
        <v>4</v>
      </c>
      <c r="S969" t="s">
        <v>2382</v>
      </c>
      <c r="T969" s="1">
        <v>45213</v>
      </c>
      <c r="U969">
        <v>-11.86</v>
      </c>
      <c r="V969">
        <v>-11.86</v>
      </c>
    </row>
    <row r="970" spans="1:22" x14ac:dyDescent="0.3">
      <c r="A970" t="s">
        <v>2378</v>
      </c>
      <c r="B970" t="s">
        <v>2379</v>
      </c>
      <c r="C970" t="s">
        <v>13</v>
      </c>
      <c r="D970" t="s">
        <v>2380</v>
      </c>
      <c r="E970" t="s">
        <v>15</v>
      </c>
      <c r="J970" s="1">
        <v>45238</v>
      </c>
      <c r="K970">
        <v>846</v>
      </c>
      <c r="L970" t="s">
        <v>2383</v>
      </c>
      <c r="M970">
        <v>13</v>
      </c>
      <c r="N970" t="str">
        <f>VLOOKUP(M970,[1]LOJA!$A:$B,2,0)</f>
        <v>CEILÂNDIA</v>
      </c>
      <c r="O970">
        <v>67</v>
      </c>
      <c r="P970" t="str">
        <f>VLOOKUP(O970,[1]OPERADORES!$A:$B,2,0)</f>
        <v>ERIKA</v>
      </c>
      <c r="Q970">
        <v>10</v>
      </c>
      <c r="S970" t="s">
        <v>2384</v>
      </c>
      <c r="T970" s="1">
        <v>45238</v>
      </c>
      <c r="U970">
        <v>-0.78</v>
      </c>
      <c r="V970">
        <v>-0.78</v>
      </c>
    </row>
    <row r="971" spans="1:22" x14ac:dyDescent="0.3">
      <c r="A971" t="s">
        <v>5726</v>
      </c>
      <c r="B971" t="s">
        <v>5727</v>
      </c>
      <c r="C971" t="s">
        <v>13</v>
      </c>
      <c r="D971" t="s">
        <v>5728</v>
      </c>
      <c r="E971" t="s">
        <v>15</v>
      </c>
      <c r="J971" s="1">
        <v>46076</v>
      </c>
      <c r="K971">
        <v>8</v>
      </c>
      <c r="L971" t="s">
        <v>5729</v>
      </c>
      <c r="M971">
        <v>9</v>
      </c>
      <c r="N971" t="str">
        <f>VLOOKUP(M971,[1]LOJA!$A:$B,2,0)</f>
        <v>ÚNICA</v>
      </c>
      <c r="O971">
        <v>144</v>
      </c>
      <c r="P971" t="str">
        <f>VLOOKUP(O971,[1]OPERADORES!$A:$B,2,0)</f>
        <v>CINTIA DA SILVA CARLOS</v>
      </c>
      <c r="Q971">
        <v>4</v>
      </c>
      <c r="S971" t="s">
        <v>5730</v>
      </c>
      <c r="T971" s="1">
        <v>46076</v>
      </c>
      <c r="U971">
        <v>-77.95</v>
      </c>
      <c r="V971">
        <v>-77.95</v>
      </c>
    </row>
    <row r="972" spans="1:22" x14ac:dyDescent="0.3">
      <c r="A972" t="s">
        <v>2385</v>
      </c>
      <c r="B972" t="s">
        <v>2386</v>
      </c>
      <c r="C972" t="s">
        <v>13</v>
      </c>
      <c r="D972" t="s">
        <v>2387</v>
      </c>
      <c r="E972" t="s">
        <v>15</v>
      </c>
      <c r="J972" s="1">
        <v>45182</v>
      </c>
      <c r="K972">
        <v>902</v>
      </c>
      <c r="L972" t="s">
        <v>2388</v>
      </c>
      <c r="M972">
        <v>4</v>
      </c>
      <c r="N972" t="str">
        <f>VLOOKUP(M972,[1]LOJA!$A:$B,2,0)</f>
        <v>ADE</v>
      </c>
      <c r="O972">
        <v>189</v>
      </c>
      <c r="P972" t="str">
        <f>VLOOKUP(O972,[1]OPERADORES!$A:$B,2,0)</f>
        <v>CAMILA WILLIANE</v>
      </c>
      <c r="Q972">
        <v>4</v>
      </c>
      <c r="S972" t="s">
        <v>2389</v>
      </c>
      <c r="T972" s="1">
        <v>45182</v>
      </c>
      <c r="U972">
        <v>-20.99</v>
      </c>
      <c r="V972">
        <v>-20.99</v>
      </c>
    </row>
    <row r="973" spans="1:22" x14ac:dyDescent="0.3">
      <c r="A973" t="s">
        <v>2390</v>
      </c>
      <c r="B973" t="s">
        <v>32</v>
      </c>
      <c r="C973" t="s">
        <v>848</v>
      </c>
      <c r="D973" t="s">
        <v>5731</v>
      </c>
      <c r="E973" t="s">
        <v>15</v>
      </c>
      <c r="J973" s="1">
        <v>46058</v>
      </c>
      <c r="K973">
        <v>26</v>
      </c>
      <c r="L973" t="s">
        <v>2391</v>
      </c>
      <c r="M973">
        <v>24</v>
      </c>
      <c r="N973" t="str">
        <f>VLOOKUP(M973,[1]LOJA!$A:$B,2,0)</f>
        <v>LUZIÂNIA</v>
      </c>
      <c r="O973">
        <v>244</v>
      </c>
      <c r="P973" t="str">
        <f>VLOOKUP(O973,[1]OPERADORES!$A:$B,2,0)</f>
        <v>NATHALIA PEREIRA DA SILVA</v>
      </c>
      <c r="Q973">
        <v>4</v>
      </c>
      <c r="S973" t="s">
        <v>2392</v>
      </c>
      <c r="T973" s="1">
        <v>46058</v>
      </c>
      <c r="U973">
        <v>-187.49</v>
      </c>
      <c r="V973">
        <v>-187.49</v>
      </c>
    </row>
    <row r="974" spans="1:22" x14ac:dyDescent="0.3">
      <c r="A974" t="s">
        <v>2390</v>
      </c>
      <c r="B974" t="s">
        <v>32</v>
      </c>
      <c r="C974" t="s">
        <v>848</v>
      </c>
      <c r="D974" t="s">
        <v>5731</v>
      </c>
      <c r="E974" t="s">
        <v>15</v>
      </c>
      <c r="J974" s="1">
        <v>46073</v>
      </c>
      <c r="K974">
        <v>11</v>
      </c>
      <c r="L974" t="s">
        <v>2948</v>
      </c>
      <c r="M974">
        <v>24</v>
      </c>
      <c r="N974" t="str">
        <f>VLOOKUP(M974,[1]LOJA!$A:$B,2,0)</f>
        <v>LUZIÂNIA</v>
      </c>
      <c r="O974">
        <v>170</v>
      </c>
      <c r="P974" t="str">
        <f>VLOOKUP(O974,[1]OPERADORES!$A:$B,2,0)</f>
        <v>MARIA LUISA</v>
      </c>
      <c r="Q974">
        <v>4</v>
      </c>
      <c r="S974" t="s">
        <v>110</v>
      </c>
      <c r="T974" s="1">
        <v>46073</v>
      </c>
      <c r="U974" s="2">
        <v>-1250</v>
      </c>
      <c r="V974" s="2">
        <v>-1250</v>
      </c>
    </row>
    <row r="975" spans="1:22" x14ac:dyDescent="0.3">
      <c r="A975" t="s">
        <v>2390</v>
      </c>
      <c r="B975" t="s">
        <v>32</v>
      </c>
      <c r="C975" t="s">
        <v>848</v>
      </c>
      <c r="D975" t="s">
        <v>5731</v>
      </c>
      <c r="E975" t="s">
        <v>15</v>
      </c>
      <c r="J975" s="1">
        <v>46084</v>
      </c>
      <c r="K975">
        <v>0</v>
      </c>
      <c r="L975" t="s">
        <v>5732</v>
      </c>
      <c r="M975">
        <v>24</v>
      </c>
      <c r="N975" t="str">
        <f>VLOOKUP(M975,[1]LOJA!$A:$B,2,0)</f>
        <v>LUZIÂNIA</v>
      </c>
      <c r="O975">
        <v>170</v>
      </c>
      <c r="P975" t="str">
        <f>VLOOKUP(O975,[1]OPERADORES!$A:$B,2,0)</f>
        <v>MARIA LUISA</v>
      </c>
      <c r="Q975">
        <v>4</v>
      </c>
      <c r="S975" t="s">
        <v>110</v>
      </c>
      <c r="T975" s="1">
        <v>46084</v>
      </c>
      <c r="U975">
        <v>-540</v>
      </c>
      <c r="V975">
        <v>-540</v>
      </c>
    </row>
    <row r="976" spans="1:22" x14ac:dyDescent="0.3">
      <c r="A976" t="s">
        <v>2393</v>
      </c>
      <c r="B976" t="s">
        <v>2394</v>
      </c>
      <c r="C976" t="s">
        <v>43</v>
      </c>
      <c r="D976" t="s">
        <v>2395</v>
      </c>
      <c r="E976" t="s">
        <v>15</v>
      </c>
      <c r="J976" s="1">
        <v>44638</v>
      </c>
      <c r="K976">
        <v>1446</v>
      </c>
      <c r="L976" t="s">
        <v>2396</v>
      </c>
      <c r="M976">
        <v>13</v>
      </c>
      <c r="N976" t="str">
        <f>VLOOKUP(M976,[1]LOJA!$A:$B,2,0)</f>
        <v>CEILÂNDIA</v>
      </c>
      <c r="O976">
        <v>67</v>
      </c>
      <c r="P976" t="str">
        <f>VLOOKUP(O976,[1]OPERADORES!$A:$B,2,0)</f>
        <v>ERIKA</v>
      </c>
      <c r="Q976">
        <v>10</v>
      </c>
      <c r="S976" t="s">
        <v>142</v>
      </c>
      <c r="T976" s="1">
        <v>44638</v>
      </c>
      <c r="U976">
        <v>-0.7</v>
      </c>
      <c r="V976">
        <v>-0.7</v>
      </c>
    </row>
    <row r="977" spans="1:22" x14ac:dyDescent="0.3">
      <c r="A977" t="s">
        <v>2393</v>
      </c>
      <c r="B977" t="s">
        <v>2394</v>
      </c>
      <c r="C977" t="s">
        <v>43</v>
      </c>
      <c r="D977" t="s">
        <v>2395</v>
      </c>
      <c r="E977" t="s">
        <v>15</v>
      </c>
      <c r="J977" s="1">
        <v>45867</v>
      </c>
      <c r="K977">
        <v>217</v>
      </c>
      <c r="L977" t="s">
        <v>2397</v>
      </c>
      <c r="M977">
        <v>13</v>
      </c>
      <c r="N977" t="str">
        <f>VLOOKUP(M977,[1]LOJA!$A:$B,2,0)</f>
        <v>CEILÂNDIA</v>
      </c>
      <c r="O977">
        <v>67</v>
      </c>
      <c r="P977" t="str">
        <f>VLOOKUP(O977,[1]OPERADORES!$A:$B,2,0)</f>
        <v>ERIKA</v>
      </c>
      <c r="Q977">
        <v>10</v>
      </c>
      <c r="S977" t="s">
        <v>2398</v>
      </c>
      <c r="T977" s="1">
        <v>45867</v>
      </c>
      <c r="U977">
        <v>-0.12</v>
      </c>
      <c r="V977">
        <v>-0.12</v>
      </c>
    </row>
    <row r="978" spans="1:22" x14ac:dyDescent="0.3">
      <c r="A978" t="s">
        <v>2393</v>
      </c>
      <c r="B978" t="s">
        <v>2394</v>
      </c>
      <c r="C978" t="s">
        <v>43</v>
      </c>
      <c r="D978" t="s">
        <v>2395</v>
      </c>
      <c r="E978" t="s">
        <v>15</v>
      </c>
      <c r="J978" s="1">
        <v>45878</v>
      </c>
      <c r="K978">
        <v>206</v>
      </c>
      <c r="L978" t="s">
        <v>2399</v>
      </c>
      <c r="M978">
        <v>13</v>
      </c>
      <c r="N978" t="str">
        <f>VLOOKUP(M978,[1]LOJA!$A:$B,2,0)</f>
        <v>CEILÂNDIA</v>
      </c>
      <c r="O978">
        <v>86</v>
      </c>
      <c r="P978" t="str">
        <f>VLOOKUP(O978,[1]OPERADORES!$A:$B,2,0)</f>
        <v>AMANDA</v>
      </c>
      <c r="Q978">
        <v>7</v>
      </c>
      <c r="S978" t="s">
        <v>2400</v>
      </c>
      <c r="T978" s="1">
        <v>45877</v>
      </c>
      <c r="U978">
        <v>2</v>
      </c>
      <c r="V978">
        <v>2</v>
      </c>
    </row>
    <row r="979" spans="1:22" x14ac:dyDescent="0.3">
      <c r="A979" t="s">
        <v>2401</v>
      </c>
      <c r="B979" t="s">
        <v>2402</v>
      </c>
      <c r="C979" t="s">
        <v>43</v>
      </c>
      <c r="D979" t="s">
        <v>2825</v>
      </c>
      <c r="E979" t="s">
        <v>15</v>
      </c>
      <c r="J979" s="1">
        <v>46081</v>
      </c>
      <c r="K979">
        <v>3</v>
      </c>
      <c r="L979" t="s">
        <v>5733</v>
      </c>
      <c r="M979">
        <v>13</v>
      </c>
      <c r="N979" t="str">
        <f>VLOOKUP(M979,[1]LOJA!$A:$B,2,0)</f>
        <v>CEILÂNDIA</v>
      </c>
      <c r="O979">
        <v>86</v>
      </c>
      <c r="P979" t="str">
        <f>VLOOKUP(O979,[1]OPERADORES!$A:$B,2,0)</f>
        <v>AMANDA</v>
      </c>
      <c r="Q979">
        <v>7</v>
      </c>
      <c r="S979" t="s">
        <v>5734</v>
      </c>
      <c r="T979" s="1">
        <v>46081</v>
      </c>
      <c r="U979">
        <v>-0.15</v>
      </c>
      <c r="V979">
        <v>-0.15</v>
      </c>
    </row>
    <row r="980" spans="1:22" x14ac:dyDescent="0.3">
      <c r="A980" t="s">
        <v>2404</v>
      </c>
      <c r="B980" t="s">
        <v>2405</v>
      </c>
      <c r="C980" t="s">
        <v>13</v>
      </c>
      <c r="D980" t="s">
        <v>5735</v>
      </c>
      <c r="E980" t="s">
        <v>15</v>
      </c>
      <c r="J980" s="1">
        <v>46057</v>
      </c>
      <c r="K980">
        <v>27</v>
      </c>
      <c r="L980" t="s">
        <v>2406</v>
      </c>
      <c r="M980">
        <v>13</v>
      </c>
      <c r="N980" t="str">
        <f>VLOOKUP(M980,[1]LOJA!$A:$B,2,0)</f>
        <v>CEILÂNDIA</v>
      </c>
      <c r="O980">
        <v>67</v>
      </c>
      <c r="P980" t="str">
        <f>VLOOKUP(O980,[1]OPERADORES!$A:$B,2,0)</f>
        <v>ERIKA</v>
      </c>
      <c r="Q980">
        <v>10</v>
      </c>
      <c r="S980" t="s">
        <v>2407</v>
      </c>
      <c r="T980" s="1">
        <v>46057</v>
      </c>
      <c r="U980">
        <v>-20</v>
      </c>
      <c r="V980">
        <v>-20</v>
      </c>
    </row>
    <row r="981" spans="1:22" x14ac:dyDescent="0.3">
      <c r="A981" t="s">
        <v>2408</v>
      </c>
      <c r="B981" t="s">
        <v>2409</v>
      </c>
      <c r="C981" t="s">
        <v>13</v>
      </c>
      <c r="D981" t="s">
        <v>2410</v>
      </c>
      <c r="E981" t="s">
        <v>15</v>
      </c>
      <c r="J981" s="1">
        <v>45323</v>
      </c>
      <c r="K981">
        <v>761</v>
      </c>
      <c r="L981" t="s">
        <v>2411</v>
      </c>
      <c r="M981">
        <v>22</v>
      </c>
      <c r="N981" t="str">
        <f>VLOOKUP(M981,[1]LOJA!$A:$B,2,0)</f>
        <v>GUARÁ</v>
      </c>
      <c r="O981">
        <v>209</v>
      </c>
      <c r="P981" t="str">
        <f>VLOOKUP(O981,[1]OPERADORES!$A:$B,2,0)</f>
        <v>MARIA WITHALINA CUNHA DE SOUZA</v>
      </c>
      <c r="Q981">
        <v>4</v>
      </c>
      <c r="S981" t="s">
        <v>2412</v>
      </c>
      <c r="T981" s="1">
        <v>45323</v>
      </c>
      <c r="U981">
        <v>-24</v>
      </c>
      <c r="V981">
        <v>-24</v>
      </c>
    </row>
    <row r="982" spans="1:22" x14ac:dyDescent="0.3">
      <c r="A982" t="s">
        <v>2413</v>
      </c>
      <c r="B982" t="s">
        <v>2414</v>
      </c>
      <c r="C982" t="s">
        <v>13</v>
      </c>
      <c r="D982" t="s">
        <v>2415</v>
      </c>
      <c r="E982" t="s">
        <v>15</v>
      </c>
      <c r="J982" s="1">
        <v>44925</v>
      </c>
      <c r="K982">
        <v>1159</v>
      </c>
      <c r="L982" t="s">
        <v>2416</v>
      </c>
      <c r="M982">
        <v>4</v>
      </c>
      <c r="N982" t="str">
        <f>VLOOKUP(M982,[1]LOJA!$A:$B,2,0)</f>
        <v>ADE</v>
      </c>
      <c r="O982">
        <v>107</v>
      </c>
      <c r="P982" t="str">
        <f>VLOOKUP(O982,[1]OPERADORES!$A:$B,2,0)</f>
        <v>DAIANA PORTELA</v>
      </c>
      <c r="Q982">
        <v>7</v>
      </c>
      <c r="S982" t="s">
        <v>2417</v>
      </c>
      <c r="T982" s="1">
        <v>44925</v>
      </c>
      <c r="U982">
        <v>-0.7</v>
      </c>
      <c r="V982">
        <v>-0.7</v>
      </c>
    </row>
    <row r="983" spans="1:22" x14ac:dyDescent="0.3">
      <c r="A983" t="s">
        <v>2413</v>
      </c>
      <c r="B983" t="s">
        <v>2414</v>
      </c>
      <c r="C983" t="s">
        <v>13</v>
      </c>
      <c r="D983" t="s">
        <v>2415</v>
      </c>
      <c r="E983" t="s">
        <v>15</v>
      </c>
      <c r="J983" s="1">
        <v>44974</v>
      </c>
      <c r="K983">
        <v>1110</v>
      </c>
      <c r="L983" t="s">
        <v>2418</v>
      </c>
      <c r="M983">
        <v>4</v>
      </c>
      <c r="N983" t="str">
        <f>VLOOKUP(M983,[1]LOJA!$A:$B,2,0)</f>
        <v>ADE</v>
      </c>
      <c r="O983">
        <v>107</v>
      </c>
      <c r="P983" t="str">
        <f>VLOOKUP(O983,[1]OPERADORES!$A:$B,2,0)</f>
        <v>DAIANA PORTELA</v>
      </c>
      <c r="Q983">
        <v>7</v>
      </c>
      <c r="S983" t="s">
        <v>2417</v>
      </c>
      <c r="T983" s="1">
        <v>44974</v>
      </c>
      <c r="U983">
        <v>-0.39</v>
      </c>
      <c r="V983">
        <v>-0.39</v>
      </c>
    </row>
    <row r="984" spans="1:22" x14ac:dyDescent="0.3">
      <c r="A984" t="s">
        <v>2413</v>
      </c>
      <c r="B984" t="s">
        <v>2414</v>
      </c>
      <c r="C984" t="s">
        <v>13</v>
      </c>
      <c r="D984" t="s">
        <v>2415</v>
      </c>
      <c r="E984" t="s">
        <v>15</v>
      </c>
      <c r="J984" s="1">
        <v>45154</v>
      </c>
      <c r="K984">
        <v>930</v>
      </c>
      <c r="L984" t="s">
        <v>2419</v>
      </c>
      <c r="M984">
        <v>14</v>
      </c>
      <c r="N984" t="str">
        <f>VLOOKUP(M984,[1]LOJA!$A:$B,2,0)</f>
        <v>S IA</v>
      </c>
      <c r="O984">
        <v>144</v>
      </c>
      <c r="P984" t="str">
        <f>VLOOKUP(O984,[1]OPERADORES!$A:$B,2,0)</f>
        <v>CINTIA DA SILVA CARLOS</v>
      </c>
      <c r="Q984">
        <v>10</v>
      </c>
      <c r="S984" t="s">
        <v>2420</v>
      </c>
      <c r="T984" s="1">
        <v>45154</v>
      </c>
      <c r="U984">
        <v>-0.2</v>
      </c>
      <c r="V984">
        <v>-0.2</v>
      </c>
    </row>
    <row r="985" spans="1:22" x14ac:dyDescent="0.3">
      <c r="A985" t="s">
        <v>2421</v>
      </c>
      <c r="B985" t="s">
        <v>2422</v>
      </c>
      <c r="C985" t="s">
        <v>13</v>
      </c>
      <c r="D985" t="s">
        <v>2423</v>
      </c>
      <c r="E985" t="s">
        <v>15</v>
      </c>
      <c r="J985" s="1">
        <v>44607</v>
      </c>
      <c r="K985">
        <v>1477</v>
      </c>
      <c r="L985" t="s">
        <v>2424</v>
      </c>
      <c r="M985">
        <v>4</v>
      </c>
      <c r="N985" t="str">
        <f>VLOOKUP(M985,[1]LOJA!$A:$B,2,0)</f>
        <v>ADE</v>
      </c>
      <c r="O985">
        <v>20</v>
      </c>
      <c r="P985" t="str">
        <f>VLOOKUP(O985,[1]OPERADORES!$A:$B,2,0)</f>
        <v>MAYARA</v>
      </c>
      <c r="Q985">
        <v>12</v>
      </c>
      <c r="S985" t="s">
        <v>2425</v>
      </c>
      <c r="T985" s="1">
        <v>44599</v>
      </c>
      <c r="U985">
        <v>21.1</v>
      </c>
      <c r="V985">
        <v>21.1</v>
      </c>
    </row>
    <row r="986" spans="1:22" x14ac:dyDescent="0.3">
      <c r="A986" t="s">
        <v>2426</v>
      </c>
      <c r="B986" t="s">
        <v>32</v>
      </c>
      <c r="C986" t="s">
        <v>13</v>
      </c>
      <c r="D986" t="s">
        <v>2427</v>
      </c>
      <c r="E986" t="s">
        <v>15</v>
      </c>
      <c r="J986" s="1">
        <v>45821</v>
      </c>
      <c r="K986">
        <v>263</v>
      </c>
      <c r="L986" t="s">
        <v>2428</v>
      </c>
      <c r="M986">
        <v>9</v>
      </c>
      <c r="N986" t="str">
        <f>VLOOKUP(M986,[1]LOJA!$A:$B,2,0)</f>
        <v>ÚNICA</v>
      </c>
      <c r="O986">
        <v>174</v>
      </c>
      <c r="P986" t="str">
        <f>VLOOKUP(O986,[1]OPERADORES!$A:$B,2,0)</f>
        <v>MIRIÃ LOBATO RODRIGUES</v>
      </c>
      <c r="Q986">
        <v>4</v>
      </c>
      <c r="S986" t="s">
        <v>2429</v>
      </c>
      <c r="T986" s="1">
        <v>45821</v>
      </c>
      <c r="U986">
        <v>-7.0000000000000007E-2</v>
      </c>
      <c r="V986">
        <v>-7.0000000000000007E-2</v>
      </c>
    </row>
    <row r="987" spans="1:22" x14ac:dyDescent="0.3">
      <c r="A987" t="s">
        <v>2426</v>
      </c>
      <c r="B987" t="s">
        <v>32</v>
      </c>
      <c r="C987" t="s">
        <v>13</v>
      </c>
      <c r="D987" t="s">
        <v>2427</v>
      </c>
      <c r="E987" t="s">
        <v>15</v>
      </c>
      <c r="J987" s="1">
        <v>45852</v>
      </c>
      <c r="K987">
        <v>232</v>
      </c>
      <c r="L987" t="s">
        <v>2430</v>
      </c>
      <c r="M987">
        <v>9</v>
      </c>
      <c r="N987" t="str">
        <f>VLOOKUP(M987,[1]LOJA!$A:$B,2,0)</f>
        <v>ÚNICA</v>
      </c>
      <c r="O987">
        <v>174</v>
      </c>
      <c r="P987" t="str">
        <f>VLOOKUP(O987,[1]OPERADORES!$A:$B,2,0)</f>
        <v>MIRIÃ LOBATO RODRIGUES</v>
      </c>
      <c r="Q987">
        <v>23</v>
      </c>
      <c r="R987">
        <v>159990</v>
      </c>
      <c r="S987" t="s">
        <v>53</v>
      </c>
      <c r="T987" s="1">
        <v>45792</v>
      </c>
      <c r="U987" s="2">
        <v>2921.15</v>
      </c>
      <c r="V987" s="2">
        <v>2921.15</v>
      </c>
    </row>
    <row r="988" spans="1:22" x14ac:dyDescent="0.3">
      <c r="A988" t="s">
        <v>2426</v>
      </c>
      <c r="B988" t="s">
        <v>32</v>
      </c>
      <c r="C988" t="s">
        <v>13</v>
      </c>
      <c r="D988" t="s">
        <v>2427</v>
      </c>
      <c r="E988" t="s">
        <v>15</v>
      </c>
      <c r="J988" s="1">
        <v>45875</v>
      </c>
      <c r="K988">
        <v>209</v>
      </c>
      <c r="L988" t="s">
        <v>2431</v>
      </c>
      <c r="M988">
        <v>9</v>
      </c>
      <c r="N988" t="str">
        <f>VLOOKUP(M988,[1]LOJA!$A:$B,2,0)</f>
        <v>ÚNICA</v>
      </c>
      <c r="O988">
        <v>174</v>
      </c>
      <c r="P988" t="str">
        <f>VLOOKUP(O988,[1]OPERADORES!$A:$B,2,0)</f>
        <v>MIRIÃ LOBATO RODRIGUES</v>
      </c>
      <c r="Q988">
        <v>23</v>
      </c>
      <c r="R988">
        <v>170732</v>
      </c>
      <c r="S988" t="s">
        <v>1445</v>
      </c>
      <c r="T988" s="1">
        <v>45845</v>
      </c>
      <c r="U988">
        <v>716.75</v>
      </c>
      <c r="V988">
        <v>716.75</v>
      </c>
    </row>
    <row r="989" spans="1:22" x14ac:dyDescent="0.3">
      <c r="A989" t="s">
        <v>2426</v>
      </c>
      <c r="B989" t="s">
        <v>32</v>
      </c>
      <c r="C989" t="s">
        <v>13</v>
      </c>
      <c r="D989" t="s">
        <v>2427</v>
      </c>
      <c r="E989" t="s">
        <v>15</v>
      </c>
      <c r="J989" s="1">
        <v>45882</v>
      </c>
      <c r="K989">
        <v>202</v>
      </c>
      <c r="L989" t="s">
        <v>2432</v>
      </c>
      <c r="M989">
        <v>9</v>
      </c>
      <c r="N989" t="str">
        <f>VLOOKUP(M989,[1]LOJA!$A:$B,2,0)</f>
        <v>ÚNICA</v>
      </c>
      <c r="O989">
        <v>174</v>
      </c>
      <c r="P989" t="str">
        <f>VLOOKUP(O989,[1]OPERADORES!$A:$B,2,0)</f>
        <v>MIRIÃ LOBATO RODRIGUES</v>
      </c>
      <c r="Q989">
        <v>23</v>
      </c>
      <c r="R989">
        <v>160006</v>
      </c>
      <c r="S989" t="s">
        <v>55</v>
      </c>
      <c r="T989" s="1">
        <v>45792</v>
      </c>
      <c r="U989" s="2">
        <v>2921.14</v>
      </c>
      <c r="V989" s="2">
        <v>2921.14</v>
      </c>
    </row>
    <row r="990" spans="1:22" x14ac:dyDescent="0.3">
      <c r="A990" t="s">
        <v>2426</v>
      </c>
      <c r="B990" t="s">
        <v>32</v>
      </c>
      <c r="C990" t="s">
        <v>13</v>
      </c>
      <c r="D990" t="s">
        <v>2427</v>
      </c>
      <c r="E990" t="s">
        <v>15</v>
      </c>
      <c r="J990" s="1">
        <v>45905</v>
      </c>
      <c r="K990">
        <v>179</v>
      </c>
      <c r="L990" t="s">
        <v>2433</v>
      </c>
      <c r="M990">
        <v>9</v>
      </c>
      <c r="N990" t="str">
        <f>VLOOKUP(M990,[1]LOJA!$A:$B,2,0)</f>
        <v>ÚNICA</v>
      </c>
      <c r="O990">
        <v>174</v>
      </c>
      <c r="P990" t="str">
        <f>VLOOKUP(O990,[1]OPERADORES!$A:$B,2,0)</f>
        <v>MIRIÃ LOBATO RODRIGUES</v>
      </c>
      <c r="Q990">
        <v>23</v>
      </c>
      <c r="R990">
        <v>170740</v>
      </c>
      <c r="S990" t="s">
        <v>46</v>
      </c>
      <c r="T990" s="1">
        <v>45845</v>
      </c>
      <c r="U990">
        <v>716.74</v>
      </c>
      <c r="V990">
        <v>716.74</v>
      </c>
    </row>
    <row r="991" spans="1:22" x14ac:dyDescent="0.3">
      <c r="A991" t="s">
        <v>5736</v>
      </c>
      <c r="B991" t="s">
        <v>5737</v>
      </c>
      <c r="C991" t="s">
        <v>848</v>
      </c>
      <c r="D991" t="s">
        <v>5738</v>
      </c>
      <c r="E991" t="s">
        <v>15</v>
      </c>
      <c r="J991" s="1">
        <v>46073</v>
      </c>
      <c r="K991">
        <v>11</v>
      </c>
      <c r="L991" t="s">
        <v>5739</v>
      </c>
      <c r="M991">
        <v>14</v>
      </c>
      <c r="N991" t="str">
        <f>VLOOKUP(M991,[1]LOJA!$A:$B,2,0)</f>
        <v>S IA</v>
      </c>
      <c r="O991">
        <v>20</v>
      </c>
      <c r="P991" t="str">
        <f>VLOOKUP(O991,[1]OPERADORES!$A:$B,2,0)</f>
        <v>MAYARA</v>
      </c>
      <c r="Q991">
        <v>12</v>
      </c>
      <c r="S991" t="s">
        <v>5740</v>
      </c>
      <c r="T991" s="1">
        <v>46056</v>
      </c>
      <c r="U991" s="2">
        <v>2871.29</v>
      </c>
      <c r="V991" s="2">
        <v>2871.29</v>
      </c>
    </row>
    <row r="992" spans="1:22" x14ac:dyDescent="0.3">
      <c r="A992" t="s">
        <v>5736</v>
      </c>
      <c r="B992" t="s">
        <v>5737</v>
      </c>
      <c r="C992" t="s">
        <v>848</v>
      </c>
      <c r="D992" t="s">
        <v>5738</v>
      </c>
      <c r="E992" t="s">
        <v>15</v>
      </c>
      <c r="J992" s="1">
        <v>46079</v>
      </c>
      <c r="K992">
        <v>5</v>
      </c>
      <c r="L992" t="s">
        <v>5741</v>
      </c>
      <c r="M992">
        <v>14</v>
      </c>
      <c r="N992" t="str">
        <f>VLOOKUP(M992,[1]LOJA!$A:$B,2,0)</f>
        <v>S IA</v>
      </c>
      <c r="O992">
        <v>54</v>
      </c>
      <c r="P992" t="str">
        <f>VLOOKUP(O992,[1]OPERADORES!$A:$B,2,0)</f>
        <v>ROBSON</v>
      </c>
      <c r="Q992">
        <v>27</v>
      </c>
      <c r="R992">
        <v>2000008870</v>
      </c>
      <c r="S992" t="s">
        <v>976</v>
      </c>
      <c r="T992" s="1">
        <v>45989</v>
      </c>
      <c r="U992">
        <v>326.05</v>
      </c>
      <c r="V992">
        <v>326.05</v>
      </c>
    </row>
    <row r="993" spans="1:22" x14ac:dyDescent="0.3">
      <c r="A993" t="s">
        <v>2434</v>
      </c>
      <c r="B993" t="s">
        <v>2435</v>
      </c>
      <c r="C993" t="s">
        <v>1238</v>
      </c>
      <c r="D993" t="s">
        <v>2436</v>
      </c>
      <c r="E993" t="s">
        <v>15</v>
      </c>
      <c r="J993" s="1">
        <v>45337</v>
      </c>
      <c r="K993">
        <v>747</v>
      </c>
      <c r="L993" t="s">
        <v>2437</v>
      </c>
      <c r="M993">
        <v>14</v>
      </c>
      <c r="N993" t="str">
        <f>VLOOKUP(M993,[1]LOJA!$A:$B,2,0)</f>
        <v>S IA</v>
      </c>
      <c r="O993">
        <v>84</v>
      </c>
      <c r="P993" t="str">
        <f>VLOOKUP(O993,[1]OPERADORES!$A:$B,2,0)</f>
        <v>JEICY AZEVEDO</v>
      </c>
      <c r="Q993">
        <v>4</v>
      </c>
      <c r="S993" t="s">
        <v>2438</v>
      </c>
      <c r="T993" s="1">
        <v>45306</v>
      </c>
      <c r="U993">
        <v>261.39999999999998</v>
      </c>
      <c r="V993">
        <v>261.39999999999998</v>
      </c>
    </row>
    <row r="994" spans="1:22" x14ac:dyDescent="0.3">
      <c r="A994" t="s">
        <v>2439</v>
      </c>
      <c r="B994" t="s">
        <v>2440</v>
      </c>
      <c r="C994" t="s">
        <v>13</v>
      </c>
      <c r="D994" t="s">
        <v>2441</v>
      </c>
      <c r="E994" t="s">
        <v>15</v>
      </c>
      <c r="J994" s="1">
        <v>45450</v>
      </c>
      <c r="K994">
        <v>634</v>
      </c>
      <c r="L994" t="s">
        <v>2442</v>
      </c>
      <c r="M994">
        <v>8</v>
      </c>
      <c r="N994" t="str">
        <f>VLOOKUP(M994,[1]LOJA!$A:$B,2,0)</f>
        <v>LUZIÂNIA</v>
      </c>
      <c r="O994">
        <v>170</v>
      </c>
      <c r="P994" t="str">
        <f>VLOOKUP(O994,[1]OPERADORES!$A:$B,2,0)</f>
        <v>MARIA LUISA</v>
      </c>
      <c r="Q994">
        <v>4</v>
      </c>
      <c r="S994" t="s">
        <v>2443</v>
      </c>
      <c r="T994" s="1">
        <v>45450</v>
      </c>
      <c r="U994">
        <v>-18.98</v>
      </c>
      <c r="V994">
        <v>-18.98</v>
      </c>
    </row>
    <row r="995" spans="1:22" x14ac:dyDescent="0.3">
      <c r="A995" t="s">
        <v>2444</v>
      </c>
      <c r="B995" t="s">
        <v>2445</v>
      </c>
      <c r="C995" t="s">
        <v>13</v>
      </c>
      <c r="D995" t="s">
        <v>5742</v>
      </c>
      <c r="E995" t="s">
        <v>15</v>
      </c>
      <c r="J995" s="1">
        <v>45223</v>
      </c>
      <c r="K995">
        <v>861</v>
      </c>
      <c r="L995" t="s">
        <v>2446</v>
      </c>
      <c r="M995">
        <v>1</v>
      </c>
      <c r="N995" t="str">
        <f>VLOOKUP(M995,[1]LOJA!$A:$B,2,0)</f>
        <v>GUARÁ</v>
      </c>
      <c r="O995">
        <v>26</v>
      </c>
      <c r="P995" t="str">
        <f>VLOOKUP(O995,[1]OPERADORES!$A:$B,2,0)</f>
        <v>JANUARIO</v>
      </c>
      <c r="Q995">
        <v>4</v>
      </c>
      <c r="S995" t="s">
        <v>2447</v>
      </c>
      <c r="T995" s="1">
        <v>45223</v>
      </c>
      <c r="U995">
        <v>-4.9800000000000004</v>
      </c>
      <c r="V995">
        <v>-4.9800000000000004</v>
      </c>
    </row>
    <row r="996" spans="1:22" x14ac:dyDescent="0.3">
      <c r="A996" t="s">
        <v>2444</v>
      </c>
      <c r="B996" t="s">
        <v>2445</v>
      </c>
      <c r="C996" t="s">
        <v>13</v>
      </c>
      <c r="D996" t="s">
        <v>5742</v>
      </c>
      <c r="E996" t="s">
        <v>15</v>
      </c>
      <c r="J996" s="1">
        <v>46079</v>
      </c>
      <c r="K996">
        <v>5</v>
      </c>
      <c r="L996" t="s">
        <v>5743</v>
      </c>
      <c r="M996">
        <v>22</v>
      </c>
      <c r="N996" t="str">
        <f>VLOOKUP(M996,[1]LOJA!$A:$B,2,0)</f>
        <v>GUARÁ</v>
      </c>
      <c r="O996">
        <v>238</v>
      </c>
      <c r="P996" t="str">
        <f>VLOOKUP(O996,[1]OPERADORES!$A:$B,2,0)</f>
        <v>BIANCA</v>
      </c>
      <c r="Q996">
        <v>4</v>
      </c>
      <c r="S996" t="s">
        <v>110</v>
      </c>
      <c r="T996" s="1">
        <v>46079</v>
      </c>
      <c r="U996">
        <v>-10</v>
      </c>
      <c r="V996">
        <v>-10</v>
      </c>
    </row>
    <row r="997" spans="1:22" x14ac:dyDescent="0.3">
      <c r="A997" t="s">
        <v>2448</v>
      </c>
      <c r="B997" t="s">
        <v>32</v>
      </c>
      <c r="C997" t="s">
        <v>13</v>
      </c>
      <c r="D997" t="s">
        <v>956</v>
      </c>
      <c r="E997" t="s">
        <v>15</v>
      </c>
      <c r="J997" s="1">
        <v>45320</v>
      </c>
      <c r="K997">
        <v>764</v>
      </c>
      <c r="L997" t="s">
        <v>2449</v>
      </c>
      <c r="M997">
        <v>8</v>
      </c>
      <c r="N997" t="str">
        <f>VLOOKUP(M997,[1]LOJA!$A:$B,2,0)</f>
        <v>LUZIÂNIA</v>
      </c>
      <c r="O997">
        <v>170</v>
      </c>
      <c r="P997" t="str">
        <f>VLOOKUP(O997,[1]OPERADORES!$A:$B,2,0)</f>
        <v>MARIA LUISA</v>
      </c>
      <c r="Q997">
        <v>4</v>
      </c>
      <c r="S997" t="s">
        <v>2450</v>
      </c>
      <c r="T997" s="1">
        <v>45320</v>
      </c>
      <c r="U997">
        <v>-9</v>
      </c>
      <c r="V997">
        <v>-9</v>
      </c>
    </row>
    <row r="998" spans="1:22" x14ac:dyDescent="0.3">
      <c r="A998" t="s">
        <v>2451</v>
      </c>
      <c r="B998" t="s">
        <v>2452</v>
      </c>
      <c r="C998" t="s">
        <v>293</v>
      </c>
      <c r="D998" t="s">
        <v>5744</v>
      </c>
      <c r="E998" t="s">
        <v>15</v>
      </c>
      <c r="J998" s="1">
        <v>45976</v>
      </c>
      <c r="K998">
        <v>108</v>
      </c>
      <c r="L998" t="s">
        <v>2453</v>
      </c>
      <c r="M998">
        <v>15</v>
      </c>
      <c r="N998" t="str">
        <f>VLOOKUP(M998,[1]LOJA!$A:$B,2,0)</f>
        <v>UNAÍ</v>
      </c>
      <c r="O998">
        <v>183</v>
      </c>
      <c r="P998" t="str">
        <f>VLOOKUP(O998,[1]OPERADORES!$A:$B,2,0)</f>
        <v>NADINE DE OLIVEIRA MORAIS</v>
      </c>
      <c r="Q998">
        <v>7</v>
      </c>
      <c r="S998" t="s">
        <v>5745</v>
      </c>
      <c r="T998" s="1">
        <v>45961</v>
      </c>
      <c r="U998" s="2">
        <v>1131.8399999999999</v>
      </c>
      <c r="V998" s="2">
        <v>1131.8399999999999</v>
      </c>
    </row>
    <row r="999" spans="1:22" x14ac:dyDescent="0.3">
      <c r="A999" t="s">
        <v>2451</v>
      </c>
      <c r="B999" t="s">
        <v>2452</v>
      </c>
      <c r="C999" t="s">
        <v>293</v>
      </c>
      <c r="D999" t="s">
        <v>5744</v>
      </c>
      <c r="E999" t="s">
        <v>15</v>
      </c>
      <c r="J999" s="1">
        <v>46084</v>
      </c>
      <c r="K999">
        <v>0</v>
      </c>
      <c r="L999" t="s">
        <v>5746</v>
      </c>
      <c r="M999">
        <v>15</v>
      </c>
      <c r="N999" t="str">
        <f>VLOOKUP(M999,[1]LOJA!$A:$B,2,0)</f>
        <v>UNAÍ</v>
      </c>
      <c r="O999">
        <v>232</v>
      </c>
      <c r="P999" t="str">
        <f>VLOOKUP(O999,[1]OPERADORES!$A:$B,2,0)</f>
        <v>JESSICA GUIMARÃES</v>
      </c>
      <c r="Q999">
        <v>4</v>
      </c>
      <c r="S999" t="s">
        <v>110</v>
      </c>
      <c r="T999" s="1">
        <v>46084</v>
      </c>
      <c r="U999">
        <v>-55</v>
      </c>
      <c r="V999">
        <v>-55</v>
      </c>
    </row>
    <row r="1000" spans="1:22" x14ac:dyDescent="0.3">
      <c r="A1000" t="s">
        <v>2455</v>
      </c>
      <c r="B1000" t="s">
        <v>2456</v>
      </c>
      <c r="C1000" t="s">
        <v>13</v>
      </c>
      <c r="D1000" t="s">
        <v>1195</v>
      </c>
      <c r="E1000" t="s">
        <v>15</v>
      </c>
      <c r="J1000" s="1">
        <v>45554</v>
      </c>
      <c r="K1000">
        <v>530</v>
      </c>
      <c r="L1000" t="s">
        <v>2457</v>
      </c>
      <c r="M1000">
        <v>16</v>
      </c>
      <c r="N1000" t="str">
        <f>VLOOKUP(M1000,[1]LOJA!$A:$B,2,0)</f>
        <v>AG LINDAS</v>
      </c>
      <c r="O1000">
        <v>107</v>
      </c>
      <c r="P1000" t="str">
        <f>VLOOKUP(O1000,[1]OPERADORES!$A:$B,2,0)</f>
        <v>DAIANA PORTELA</v>
      </c>
      <c r="Q1000">
        <v>7</v>
      </c>
      <c r="S1000" t="s">
        <v>2458</v>
      </c>
      <c r="T1000" s="1">
        <v>45554</v>
      </c>
      <c r="U1000">
        <v>-2</v>
      </c>
      <c r="V1000">
        <v>-2</v>
      </c>
    </row>
    <row r="1001" spans="1:22" x14ac:dyDescent="0.3">
      <c r="A1001" t="s">
        <v>2455</v>
      </c>
      <c r="B1001" t="s">
        <v>2456</v>
      </c>
      <c r="C1001" t="s">
        <v>13</v>
      </c>
      <c r="D1001" t="s">
        <v>1195</v>
      </c>
      <c r="E1001" t="s">
        <v>15</v>
      </c>
      <c r="J1001" s="1">
        <v>45752</v>
      </c>
      <c r="K1001">
        <v>332</v>
      </c>
      <c r="L1001" t="s">
        <v>2459</v>
      </c>
      <c r="M1001">
        <v>16</v>
      </c>
      <c r="N1001" t="str">
        <f>VLOOKUP(M1001,[1]LOJA!$A:$B,2,0)</f>
        <v>AG LINDAS</v>
      </c>
      <c r="O1001">
        <v>107</v>
      </c>
      <c r="P1001" t="str">
        <f>VLOOKUP(O1001,[1]OPERADORES!$A:$B,2,0)</f>
        <v>DAIANA PORTELA</v>
      </c>
      <c r="Q1001">
        <v>7</v>
      </c>
      <c r="S1001" t="s">
        <v>2458</v>
      </c>
      <c r="T1001" s="1">
        <v>45752</v>
      </c>
      <c r="U1001">
        <v>-0.08</v>
      </c>
      <c r="V1001">
        <v>-0.08</v>
      </c>
    </row>
    <row r="1002" spans="1:22" x14ac:dyDescent="0.3">
      <c r="A1002" t="s">
        <v>2460</v>
      </c>
      <c r="B1002" t="s">
        <v>2461</v>
      </c>
      <c r="C1002" t="s">
        <v>13</v>
      </c>
      <c r="D1002" t="s">
        <v>194</v>
      </c>
      <c r="E1002" t="s">
        <v>15</v>
      </c>
      <c r="J1002" s="1">
        <v>45625</v>
      </c>
      <c r="K1002">
        <v>459</v>
      </c>
      <c r="L1002" t="s">
        <v>2462</v>
      </c>
      <c r="M1002">
        <v>13</v>
      </c>
      <c r="N1002" t="str">
        <f>VLOOKUP(M1002,[1]LOJA!$A:$B,2,0)</f>
        <v>CEILÂNDIA</v>
      </c>
      <c r="O1002">
        <v>67</v>
      </c>
      <c r="P1002" t="str">
        <f>VLOOKUP(O1002,[1]OPERADORES!$A:$B,2,0)</f>
        <v>ERIKA</v>
      </c>
      <c r="Q1002">
        <v>10</v>
      </c>
      <c r="S1002" t="s">
        <v>2463</v>
      </c>
      <c r="T1002" s="1">
        <v>45625</v>
      </c>
      <c r="U1002">
        <v>-0.3</v>
      </c>
      <c r="V1002">
        <v>-0.3</v>
      </c>
    </row>
    <row r="1003" spans="1:22" x14ac:dyDescent="0.3">
      <c r="A1003" t="s">
        <v>2465</v>
      </c>
      <c r="B1003" t="s">
        <v>32</v>
      </c>
      <c r="C1003" t="s">
        <v>13</v>
      </c>
      <c r="D1003" t="s">
        <v>189</v>
      </c>
      <c r="E1003" t="s">
        <v>15</v>
      </c>
      <c r="J1003" s="1">
        <v>45987</v>
      </c>
      <c r="K1003">
        <v>97</v>
      </c>
      <c r="L1003" t="s">
        <v>2466</v>
      </c>
      <c r="M1003">
        <v>24</v>
      </c>
      <c r="N1003" t="str">
        <f>VLOOKUP(M1003,[1]LOJA!$A:$B,2,0)</f>
        <v>LUZIÂNIA</v>
      </c>
      <c r="O1003">
        <v>244</v>
      </c>
      <c r="P1003" t="str">
        <f>VLOOKUP(O1003,[1]OPERADORES!$A:$B,2,0)</f>
        <v>NATHALIA PEREIRA DA SILVA</v>
      </c>
      <c r="Q1003">
        <v>4</v>
      </c>
      <c r="S1003" t="s">
        <v>2467</v>
      </c>
      <c r="T1003" s="1">
        <v>45986</v>
      </c>
      <c r="U1003">
        <v>-0.5</v>
      </c>
      <c r="V1003">
        <v>-0.5</v>
      </c>
    </row>
    <row r="1004" spans="1:22" x14ac:dyDescent="0.3">
      <c r="A1004" t="s">
        <v>2468</v>
      </c>
      <c r="B1004" t="s">
        <v>2469</v>
      </c>
      <c r="C1004" t="s">
        <v>226</v>
      </c>
      <c r="D1004" t="s">
        <v>1271</v>
      </c>
      <c r="E1004" t="s">
        <v>15</v>
      </c>
      <c r="J1004" s="1">
        <v>45371</v>
      </c>
      <c r="K1004">
        <v>713</v>
      </c>
      <c r="L1004" t="s">
        <v>2470</v>
      </c>
      <c r="M1004">
        <v>13</v>
      </c>
      <c r="N1004" t="str">
        <f>VLOOKUP(M1004,[1]LOJA!$A:$B,2,0)</f>
        <v>CEILÂNDIA</v>
      </c>
      <c r="O1004">
        <v>86</v>
      </c>
      <c r="P1004" t="str">
        <f>VLOOKUP(O1004,[1]OPERADORES!$A:$B,2,0)</f>
        <v>AMANDA</v>
      </c>
      <c r="Q1004">
        <v>4</v>
      </c>
      <c r="S1004" t="s">
        <v>2471</v>
      </c>
      <c r="T1004" s="1">
        <v>45371</v>
      </c>
      <c r="U1004">
        <v>-0.18</v>
      </c>
      <c r="V1004">
        <v>-0.18</v>
      </c>
    </row>
    <row r="1005" spans="1:22" x14ac:dyDescent="0.3">
      <c r="A1005" t="s">
        <v>2472</v>
      </c>
      <c r="B1005" t="s">
        <v>2473</v>
      </c>
      <c r="C1005" t="s">
        <v>2474</v>
      </c>
      <c r="D1005" t="s">
        <v>2475</v>
      </c>
      <c r="E1005" t="s">
        <v>15</v>
      </c>
      <c r="J1005" s="1">
        <v>44862</v>
      </c>
      <c r="K1005">
        <v>1222</v>
      </c>
      <c r="L1005" t="s">
        <v>2476</v>
      </c>
      <c r="M1005">
        <v>16</v>
      </c>
      <c r="N1005" t="str">
        <f>VLOOKUP(M1005,[1]LOJA!$A:$B,2,0)</f>
        <v>AG LINDAS</v>
      </c>
      <c r="O1005">
        <v>174</v>
      </c>
      <c r="P1005" t="str">
        <f>VLOOKUP(O1005,[1]OPERADORES!$A:$B,2,0)</f>
        <v>MIRIÃ LOBATO RODRIGUES</v>
      </c>
      <c r="Q1005">
        <v>4</v>
      </c>
      <c r="S1005" t="s">
        <v>2477</v>
      </c>
      <c r="T1005" s="1">
        <v>44862</v>
      </c>
      <c r="U1005">
        <v>-0.57999999999999996</v>
      </c>
      <c r="V1005">
        <v>-0.57999999999999996</v>
      </c>
    </row>
    <row r="1006" spans="1:22" x14ac:dyDescent="0.3">
      <c r="A1006" t="s">
        <v>2472</v>
      </c>
      <c r="B1006" t="s">
        <v>2473</v>
      </c>
      <c r="C1006" t="s">
        <v>2474</v>
      </c>
      <c r="D1006" t="s">
        <v>2475</v>
      </c>
      <c r="E1006" t="s">
        <v>15</v>
      </c>
      <c r="J1006" s="1">
        <v>44875</v>
      </c>
      <c r="K1006">
        <v>1209</v>
      </c>
      <c r="L1006" t="s">
        <v>2478</v>
      </c>
      <c r="M1006">
        <v>13</v>
      </c>
      <c r="N1006" t="str">
        <f>VLOOKUP(M1006,[1]LOJA!$A:$B,2,0)</f>
        <v>CEILÂNDIA</v>
      </c>
      <c r="O1006">
        <v>67</v>
      </c>
      <c r="P1006" t="str">
        <f>VLOOKUP(O1006,[1]OPERADORES!$A:$B,2,0)</f>
        <v>ERIKA</v>
      </c>
      <c r="Q1006">
        <v>10</v>
      </c>
      <c r="S1006" t="s">
        <v>2479</v>
      </c>
      <c r="T1006" s="1">
        <v>44874</v>
      </c>
      <c r="U1006">
        <v>-0.03</v>
      </c>
      <c r="V1006">
        <v>-0.03</v>
      </c>
    </row>
    <row r="1007" spans="1:22" x14ac:dyDescent="0.3">
      <c r="A1007" t="s">
        <v>2472</v>
      </c>
      <c r="B1007" t="s">
        <v>2473</v>
      </c>
      <c r="C1007" t="s">
        <v>2474</v>
      </c>
      <c r="D1007" t="s">
        <v>2475</v>
      </c>
      <c r="E1007" t="s">
        <v>15</v>
      </c>
      <c r="J1007" s="1">
        <v>46021</v>
      </c>
      <c r="K1007">
        <v>63</v>
      </c>
      <c r="L1007" t="s">
        <v>2480</v>
      </c>
      <c r="M1007">
        <v>13</v>
      </c>
      <c r="N1007" t="str">
        <f>VLOOKUP(M1007,[1]LOJA!$A:$B,2,0)</f>
        <v>CEILÂNDIA</v>
      </c>
      <c r="O1007">
        <v>67</v>
      </c>
      <c r="P1007" t="str">
        <f>VLOOKUP(O1007,[1]OPERADORES!$A:$B,2,0)</f>
        <v>ERIKA</v>
      </c>
      <c r="Q1007">
        <v>10</v>
      </c>
      <c r="S1007" t="s">
        <v>2477</v>
      </c>
      <c r="T1007" s="1">
        <v>46021</v>
      </c>
      <c r="U1007">
        <v>-0.06</v>
      </c>
      <c r="V1007">
        <v>-0.06</v>
      </c>
    </row>
    <row r="1008" spans="1:22" x14ac:dyDescent="0.3">
      <c r="A1008" t="s">
        <v>2481</v>
      </c>
      <c r="B1008" t="s">
        <v>2482</v>
      </c>
      <c r="C1008" t="s">
        <v>43</v>
      </c>
      <c r="D1008" t="s">
        <v>352</v>
      </c>
      <c r="E1008" t="s">
        <v>15</v>
      </c>
      <c r="J1008" s="1">
        <v>45982</v>
      </c>
      <c r="K1008">
        <v>102</v>
      </c>
      <c r="L1008" t="s">
        <v>2483</v>
      </c>
      <c r="M1008">
        <v>9</v>
      </c>
      <c r="N1008" t="str">
        <f>VLOOKUP(M1008,[1]LOJA!$A:$B,2,0)</f>
        <v>ÚNICA</v>
      </c>
      <c r="O1008">
        <v>231</v>
      </c>
      <c r="P1008" t="str">
        <f>VLOOKUP(O1008,[1]OPERADORES!$A:$B,2,0)</f>
        <v>EDIJANE</v>
      </c>
      <c r="Q1008">
        <v>4</v>
      </c>
      <c r="S1008" t="s">
        <v>2484</v>
      </c>
      <c r="T1008" s="1">
        <v>45982</v>
      </c>
      <c r="U1008">
        <v>-266</v>
      </c>
      <c r="V1008">
        <v>-266</v>
      </c>
    </row>
    <row r="1009" spans="1:22" x14ac:dyDescent="0.3">
      <c r="A1009" t="s">
        <v>2481</v>
      </c>
      <c r="B1009" t="s">
        <v>2482</v>
      </c>
      <c r="C1009" t="s">
        <v>43</v>
      </c>
      <c r="D1009" t="s">
        <v>352</v>
      </c>
      <c r="E1009" t="s">
        <v>15</v>
      </c>
      <c r="J1009" s="1">
        <v>46012</v>
      </c>
      <c r="K1009">
        <v>72</v>
      </c>
      <c r="L1009" t="s">
        <v>2485</v>
      </c>
      <c r="M1009">
        <v>9</v>
      </c>
      <c r="N1009" t="str">
        <f>VLOOKUP(M1009,[1]LOJA!$A:$B,2,0)</f>
        <v>ÚNICA</v>
      </c>
      <c r="O1009">
        <v>231</v>
      </c>
      <c r="P1009" t="str">
        <f>VLOOKUP(O1009,[1]OPERADORES!$A:$B,2,0)</f>
        <v>EDIJANE</v>
      </c>
      <c r="Q1009">
        <v>7</v>
      </c>
      <c r="S1009" t="s">
        <v>87</v>
      </c>
      <c r="T1009" s="1">
        <v>45982</v>
      </c>
      <c r="U1009">
        <v>266</v>
      </c>
      <c r="V1009">
        <v>266</v>
      </c>
    </row>
    <row r="1010" spans="1:22" x14ac:dyDescent="0.3">
      <c r="A1010" t="s">
        <v>2486</v>
      </c>
      <c r="B1010" t="s">
        <v>2487</v>
      </c>
      <c r="C1010" t="s">
        <v>13</v>
      </c>
      <c r="D1010" t="s">
        <v>1057</v>
      </c>
      <c r="E1010" t="s">
        <v>15</v>
      </c>
      <c r="J1010" s="1">
        <v>45852</v>
      </c>
      <c r="K1010">
        <v>232</v>
      </c>
      <c r="L1010" t="s">
        <v>2488</v>
      </c>
      <c r="M1010">
        <v>12</v>
      </c>
      <c r="N1010" t="str">
        <f>VLOOKUP(M1010,[1]LOJA!$A:$B,2,0)</f>
        <v>SOFNORTE</v>
      </c>
      <c r="O1010">
        <v>44</v>
      </c>
      <c r="P1010" t="str">
        <f>VLOOKUP(O1010,[1]OPERADORES!$A:$B,2,0)</f>
        <v>LUIS JUNIO</v>
      </c>
      <c r="Q1010">
        <v>4</v>
      </c>
      <c r="S1010" t="s">
        <v>2489</v>
      </c>
      <c r="T1010" s="1">
        <v>45852</v>
      </c>
      <c r="U1010">
        <v>-0.01</v>
      </c>
      <c r="V1010">
        <v>-0.01</v>
      </c>
    </row>
    <row r="1011" spans="1:22" x14ac:dyDescent="0.3">
      <c r="A1011" t="s">
        <v>5747</v>
      </c>
      <c r="B1011" t="s">
        <v>2491</v>
      </c>
      <c r="C1011" t="s">
        <v>13</v>
      </c>
      <c r="D1011" t="s">
        <v>243</v>
      </c>
      <c r="E1011" t="s">
        <v>15</v>
      </c>
      <c r="J1011" s="1">
        <v>46065</v>
      </c>
      <c r="K1011">
        <v>19</v>
      </c>
      <c r="L1011" t="s">
        <v>4634</v>
      </c>
      <c r="M1011">
        <v>24</v>
      </c>
      <c r="N1011" t="str">
        <f>VLOOKUP(M1011,[1]LOJA!$A:$B,2,0)</f>
        <v>LUZIÂNIA</v>
      </c>
      <c r="O1011">
        <v>244</v>
      </c>
      <c r="P1011" t="str">
        <f>VLOOKUP(O1011,[1]OPERADORES!$A:$B,2,0)</f>
        <v>NATHALIA PEREIRA DA SILVA</v>
      </c>
      <c r="Q1011">
        <v>4</v>
      </c>
      <c r="S1011" t="s">
        <v>5748</v>
      </c>
      <c r="T1011" s="1">
        <v>46065</v>
      </c>
      <c r="U1011">
        <v>-0.2</v>
      </c>
      <c r="V1011">
        <v>-0.2</v>
      </c>
    </row>
    <row r="1012" spans="1:22" x14ac:dyDescent="0.3">
      <c r="A1012" t="s">
        <v>2490</v>
      </c>
      <c r="B1012" t="s">
        <v>2491</v>
      </c>
      <c r="C1012" t="s">
        <v>43</v>
      </c>
      <c r="D1012" t="s">
        <v>2492</v>
      </c>
      <c r="E1012" t="s">
        <v>15</v>
      </c>
      <c r="J1012" s="1">
        <v>45769</v>
      </c>
      <c r="K1012">
        <v>315</v>
      </c>
      <c r="L1012" t="s">
        <v>2493</v>
      </c>
      <c r="M1012">
        <v>8</v>
      </c>
      <c r="N1012" t="str">
        <f>VLOOKUP(M1012,[1]LOJA!$A:$B,2,0)</f>
        <v>LUZIÂNIA</v>
      </c>
      <c r="O1012">
        <v>170</v>
      </c>
      <c r="P1012" t="str">
        <f>VLOOKUP(O1012,[1]OPERADORES!$A:$B,2,0)</f>
        <v>MARIA LUISA</v>
      </c>
      <c r="Q1012">
        <v>4</v>
      </c>
      <c r="S1012" t="s">
        <v>2494</v>
      </c>
      <c r="T1012" s="1">
        <v>45763</v>
      </c>
      <c r="U1012">
        <v>-0.4</v>
      </c>
      <c r="V1012">
        <v>-0.4</v>
      </c>
    </row>
    <row r="1013" spans="1:22" x14ac:dyDescent="0.3">
      <c r="A1013" t="s">
        <v>2490</v>
      </c>
      <c r="B1013" t="s">
        <v>2491</v>
      </c>
      <c r="C1013" t="s">
        <v>43</v>
      </c>
      <c r="D1013" t="s">
        <v>2492</v>
      </c>
      <c r="E1013" t="s">
        <v>15</v>
      </c>
      <c r="J1013" s="1">
        <v>45846</v>
      </c>
      <c r="K1013">
        <v>238</v>
      </c>
      <c r="L1013" t="s">
        <v>2495</v>
      </c>
      <c r="M1013">
        <v>24</v>
      </c>
      <c r="N1013" t="str">
        <f>VLOOKUP(M1013,[1]LOJA!$A:$B,2,0)</f>
        <v>LUZIÂNIA</v>
      </c>
      <c r="O1013">
        <v>170</v>
      </c>
      <c r="P1013" t="str">
        <f>VLOOKUP(O1013,[1]OPERADORES!$A:$B,2,0)</f>
        <v>MARIA LUISA</v>
      </c>
      <c r="Q1013">
        <v>4</v>
      </c>
      <c r="S1013" t="s">
        <v>2496</v>
      </c>
      <c r="T1013" s="1">
        <v>45846</v>
      </c>
      <c r="U1013">
        <v>-20</v>
      </c>
      <c r="V1013">
        <v>-20</v>
      </c>
    </row>
    <row r="1014" spans="1:22" x14ac:dyDescent="0.3">
      <c r="A1014" t="s">
        <v>2497</v>
      </c>
      <c r="B1014" t="s">
        <v>2498</v>
      </c>
      <c r="C1014" t="s">
        <v>13</v>
      </c>
      <c r="D1014" t="s">
        <v>1219</v>
      </c>
      <c r="E1014" t="s">
        <v>15</v>
      </c>
      <c r="J1014" s="1">
        <v>45623</v>
      </c>
      <c r="K1014">
        <v>461</v>
      </c>
      <c r="L1014" t="s">
        <v>2499</v>
      </c>
      <c r="M1014">
        <v>8</v>
      </c>
      <c r="N1014" t="str">
        <f>VLOOKUP(M1014,[1]LOJA!$A:$B,2,0)</f>
        <v>LUZIÂNIA</v>
      </c>
      <c r="O1014">
        <v>170</v>
      </c>
      <c r="P1014" t="str">
        <f>VLOOKUP(O1014,[1]OPERADORES!$A:$B,2,0)</f>
        <v>MARIA LUISA</v>
      </c>
      <c r="Q1014">
        <v>4</v>
      </c>
      <c r="S1014" t="s">
        <v>2500</v>
      </c>
      <c r="T1014" s="1">
        <v>45622</v>
      </c>
      <c r="U1014">
        <v>-0.7</v>
      </c>
      <c r="V1014">
        <v>-0.7</v>
      </c>
    </row>
    <row r="1015" spans="1:22" x14ac:dyDescent="0.3">
      <c r="A1015" t="s">
        <v>2501</v>
      </c>
      <c r="B1015" t="s">
        <v>2502</v>
      </c>
      <c r="C1015" t="s">
        <v>324</v>
      </c>
      <c r="D1015" t="s">
        <v>5749</v>
      </c>
      <c r="E1015" t="s">
        <v>15</v>
      </c>
      <c r="J1015" s="1">
        <v>46057</v>
      </c>
      <c r="K1015">
        <v>27</v>
      </c>
      <c r="L1015" t="s">
        <v>2503</v>
      </c>
      <c r="M1015">
        <v>9</v>
      </c>
      <c r="N1015" t="str">
        <f>VLOOKUP(M1015,[1]LOJA!$A:$B,2,0)</f>
        <v>ÚNICA</v>
      </c>
      <c r="O1015">
        <v>231</v>
      </c>
      <c r="P1015" t="str">
        <f>VLOOKUP(O1015,[1]OPERADORES!$A:$B,2,0)</f>
        <v>EDIJANE</v>
      </c>
      <c r="Q1015">
        <v>23</v>
      </c>
      <c r="R1015">
        <v>200380</v>
      </c>
      <c r="S1015" t="s">
        <v>55</v>
      </c>
      <c r="T1015" s="1">
        <v>45967</v>
      </c>
      <c r="U1015">
        <v>262.16000000000003</v>
      </c>
      <c r="V1015">
        <v>262.16000000000003</v>
      </c>
    </row>
    <row r="1016" spans="1:22" x14ac:dyDescent="0.3">
      <c r="A1016" t="s">
        <v>2501</v>
      </c>
      <c r="B1016" t="s">
        <v>2502</v>
      </c>
      <c r="C1016" t="s">
        <v>324</v>
      </c>
      <c r="D1016" t="s">
        <v>5749</v>
      </c>
      <c r="E1016" t="s">
        <v>15</v>
      </c>
      <c r="J1016" s="1">
        <v>46062</v>
      </c>
      <c r="K1016">
        <v>22</v>
      </c>
      <c r="L1016" t="s">
        <v>2504</v>
      </c>
      <c r="M1016">
        <v>9</v>
      </c>
      <c r="N1016" t="str">
        <f>VLOOKUP(M1016,[1]LOJA!$A:$B,2,0)</f>
        <v>ÚNICA</v>
      </c>
      <c r="O1016">
        <v>231</v>
      </c>
      <c r="P1016" t="str">
        <f>VLOOKUP(O1016,[1]OPERADORES!$A:$B,2,0)</f>
        <v>EDIJANE</v>
      </c>
      <c r="Q1016">
        <v>23</v>
      </c>
      <c r="R1016">
        <v>208821</v>
      </c>
      <c r="S1016" t="s">
        <v>46</v>
      </c>
      <c r="T1016" s="1">
        <v>46006</v>
      </c>
      <c r="U1016">
        <v>273.69</v>
      </c>
      <c r="V1016">
        <v>273.69</v>
      </c>
    </row>
    <row r="1017" spans="1:22" x14ac:dyDescent="0.3">
      <c r="A1017" t="s">
        <v>2501</v>
      </c>
      <c r="B1017" t="s">
        <v>2502</v>
      </c>
      <c r="C1017" t="s">
        <v>324</v>
      </c>
      <c r="D1017" t="s">
        <v>5749</v>
      </c>
      <c r="E1017" t="s">
        <v>15</v>
      </c>
      <c r="J1017" s="1">
        <v>46065</v>
      </c>
      <c r="K1017">
        <v>19</v>
      </c>
      <c r="L1017" t="s">
        <v>5750</v>
      </c>
      <c r="M1017">
        <v>9</v>
      </c>
      <c r="N1017" t="str">
        <f>VLOOKUP(M1017,[1]LOJA!$A:$B,2,0)</f>
        <v>ÚNICA</v>
      </c>
      <c r="O1017">
        <v>231</v>
      </c>
      <c r="P1017" t="str">
        <f>VLOOKUP(O1017,[1]OPERADORES!$A:$B,2,0)</f>
        <v>EDIJANE</v>
      </c>
      <c r="Q1017">
        <v>23</v>
      </c>
      <c r="R1017">
        <v>202519</v>
      </c>
      <c r="S1017" t="s">
        <v>55</v>
      </c>
      <c r="T1017" s="1">
        <v>45975</v>
      </c>
      <c r="U1017">
        <v>479.35</v>
      </c>
      <c r="V1017">
        <v>479.35</v>
      </c>
    </row>
    <row r="1018" spans="1:22" x14ac:dyDescent="0.3">
      <c r="A1018" t="s">
        <v>2501</v>
      </c>
      <c r="B1018" t="s">
        <v>2502</v>
      </c>
      <c r="C1018" t="s">
        <v>324</v>
      </c>
      <c r="D1018" t="s">
        <v>5749</v>
      </c>
      <c r="E1018" t="s">
        <v>15</v>
      </c>
      <c r="J1018" s="1">
        <v>46081</v>
      </c>
      <c r="K1018">
        <v>3</v>
      </c>
      <c r="L1018" t="s">
        <v>5751</v>
      </c>
      <c r="M1018">
        <v>9</v>
      </c>
      <c r="N1018" t="str">
        <f>VLOOKUP(M1018,[1]LOJA!$A:$B,2,0)</f>
        <v>ÚNICA</v>
      </c>
      <c r="O1018">
        <v>231</v>
      </c>
      <c r="P1018" t="str">
        <f>VLOOKUP(O1018,[1]OPERADORES!$A:$B,2,0)</f>
        <v>EDIJANE</v>
      </c>
      <c r="Q1018">
        <v>23</v>
      </c>
      <c r="R1018">
        <v>210686</v>
      </c>
      <c r="S1018" t="s">
        <v>46</v>
      </c>
      <c r="T1018" s="1">
        <v>46021</v>
      </c>
      <c r="U1018">
        <v>346.38</v>
      </c>
      <c r="V1018">
        <v>346.38</v>
      </c>
    </row>
    <row r="1019" spans="1:22" x14ac:dyDescent="0.3">
      <c r="A1019" t="s">
        <v>2501</v>
      </c>
      <c r="B1019" t="s">
        <v>2502</v>
      </c>
      <c r="C1019" t="s">
        <v>324</v>
      </c>
      <c r="D1019" t="s">
        <v>5749</v>
      </c>
      <c r="E1019" t="s">
        <v>15</v>
      </c>
      <c r="J1019" s="1">
        <v>46084</v>
      </c>
      <c r="K1019">
        <v>0</v>
      </c>
      <c r="L1019" t="s">
        <v>5752</v>
      </c>
      <c r="M1019">
        <v>9</v>
      </c>
      <c r="N1019" t="str">
        <f>VLOOKUP(M1019,[1]LOJA!$A:$B,2,0)</f>
        <v>ÚNICA</v>
      </c>
      <c r="O1019">
        <v>231</v>
      </c>
      <c r="P1019" t="str">
        <f>VLOOKUP(O1019,[1]OPERADORES!$A:$B,2,0)</f>
        <v>EDIJANE</v>
      </c>
      <c r="Q1019">
        <v>23</v>
      </c>
      <c r="R1019">
        <v>211502</v>
      </c>
      <c r="S1019" t="s">
        <v>46</v>
      </c>
      <c r="T1019" s="1">
        <v>46028</v>
      </c>
      <c r="U1019">
        <v>260.69</v>
      </c>
      <c r="V1019">
        <v>260.69</v>
      </c>
    </row>
    <row r="1020" spans="1:22" x14ac:dyDescent="0.3">
      <c r="A1020" t="s">
        <v>2505</v>
      </c>
      <c r="B1020" t="s">
        <v>2506</v>
      </c>
      <c r="C1020" t="s">
        <v>13</v>
      </c>
      <c r="D1020" t="s">
        <v>2507</v>
      </c>
      <c r="E1020" t="s">
        <v>15</v>
      </c>
      <c r="J1020" s="1">
        <v>44911</v>
      </c>
      <c r="K1020">
        <v>1173</v>
      </c>
      <c r="L1020" t="s">
        <v>2508</v>
      </c>
      <c r="M1020">
        <v>1</v>
      </c>
      <c r="N1020" t="str">
        <f>VLOOKUP(M1020,[1]LOJA!$A:$B,2,0)</f>
        <v>GUARÁ</v>
      </c>
      <c r="O1020">
        <v>93</v>
      </c>
      <c r="P1020" t="str">
        <f>VLOOKUP(O1020,[1]OPERADORES!$A:$B,2,0)</f>
        <v>PATRICIA</v>
      </c>
      <c r="Q1020">
        <v>4</v>
      </c>
      <c r="S1020" t="s">
        <v>2509</v>
      </c>
      <c r="T1020" s="1">
        <v>44911</v>
      </c>
      <c r="U1020">
        <v>-0.08</v>
      </c>
      <c r="V1020">
        <v>-0.08</v>
      </c>
    </row>
    <row r="1021" spans="1:22" x14ac:dyDescent="0.3">
      <c r="A1021" t="s">
        <v>2505</v>
      </c>
      <c r="B1021" t="s">
        <v>2506</v>
      </c>
      <c r="C1021" t="s">
        <v>13</v>
      </c>
      <c r="D1021" t="s">
        <v>2507</v>
      </c>
      <c r="E1021" t="s">
        <v>15</v>
      </c>
      <c r="J1021" s="1">
        <v>45202</v>
      </c>
      <c r="K1021">
        <v>882</v>
      </c>
      <c r="L1021" t="s">
        <v>2510</v>
      </c>
      <c r="M1021">
        <v>1</v>
      </c>
      <c r="N1021" t="str">
        <f>VLOOKUP(M1021,[1]LOJA!$A:$B,2,0)</f>
        <v>GUARÁ</v>
      </c>
      <c r="O1021">
        <v>93</v>
      </c>
      <c r="P1021" t="str">
        <f>VLOOKUP(O1021,[1]OPERADORES!$A:$B,2,0)</f>
        <v>PATRICIA</v>
      </c>
      <c r="Q1021">
        <v>4</v>
      </c>
      <c r="S1021" t="s">
        <v>2511</v>
      </c>
      <c r="T1021" s="1">
        <v>45202</v>
      </c>
      <c r="U1021">
        <v>-31.59</v>
      </c>
      <c r="V1021">
        <v>-31.59</v>
      </c>
    </row>
    <row r="1022" spans="1:22" x14ac:dyDescent="0.3">
      <c r="A1022" t="s">
        <v>2512</v>
      </c>
      <c r="B1022" t="s">
        <v>2513</v>
      </c>
      <c r="C1022" t="s">
        <v>293</v>
      </c>
      <c r="D1022" t="s">
        <v>5753</v>
      </c>
      <c r="E1022" t="s">
        <v>15</v>
      </c>
      <c r="J1022" s="1">
        <v>45681</v>
      </c>
      <c r="K1022">
        <v>403</v>
      </c>
      <c r="L1022" t="s">
        <v>2514</v>
      </c>
      <c r="M1022">
        <v>22</v>
      </c>
      <c r="N1022" t="str">
        <f>VLOOKUP(M1022,[1]LOJA!$A:$B,2,0)</f>
        <v>GUARÁ</v>
      </c>
      <c r="O1022">
        <v>212</v>
      </c>
      <c r="P1022" t="str">
        <f>VLOOKUP(O1022,[1]OPERADORES!$A:$B,2,0)</f>
        <v>YASMIN</v>
      </c>
      <c r="Q1022">
        <v>4</v>
      </c>
      <c r="S1022" t="s">
        <v>2515</v>
      </c>
      <c r="T1022" s="1">
        <v>45681</v>
      </c>
      <c r="U1022">
        <v>-3.14</v>
      </c>
      <c r="V1022">
        <v>-3.14</v>
      </c>
    </row>
    <row r="1023" spans="1:22" x14ac:dyDescent="0.3">
      <c r="A1023" t="s">
        <v>2512</v>
      </c>
      <c r="B1023" t="s">
        <v>2513</v>
      </c>
      <c r="C1023" t="s">
        <v>293</v>
      </c>
      <c r="D1023" t="s">
        <v>5753</v>
      </c>
      <c r="E1023" t="s">
        <v>15</v>
      </c>
      <c r="J1023" s="1">
        <v>45742</v>
      </c>
      <c r="K1023">
        <v>342</v>
      </c>
      <c r="L1023" t="s">
        <v>2516</v>
      </c>
      <c r="M1023">
        <v>22</v>
      </c>
      <c r="N1023" t="str">
        <f>VLOOKUP(M1023,[1]LOJA!$A:$B,2,0)</f>
        <v>GUARÁ</v>
      </c>
      <c r="O1023">
        <v>93</v>
      </c>
      <c r="P1023" t="str">
        <f>VLOOKUP(O1023,[1]OPERADORES!$A:$B,2,0)</f>
        <v>PATRICIA</v>
      </c>
      <c r="Q1023">
        <v>4</v>
      </c>
      <c r="S1023" t="s">
        <v>2517</v>
      </c>
      <c r="T1023" s="1">
        <v>45742</v>
      </c>
      <c r="U1023">
        <v>-2.29</v>
      </c>
      <c r="V1023">
        <v>-2.29</v>
      </c>
    </row>
    <row r="1024" spans="1:22" x14ac:dyDescent="0.3">
      <c r="A1024" t="s">
        <v>2512</v>
      </c>
      <c r="B1024" t="s">
        <v>2513</v>
      </c>
      <c r="C1024" t="s">
        <v>293</v>
      </c>
      <c r="D1024" t="s">
        <v>5753</v>
      </c>
      <c r="E1024" t="s">
        <v>15</v>
      </c>
      <c r="J1024" s="1">
        <v>46084</v>
      </c>
      <c r="K1024">
        <v>0</v>
      </c>
      <c r="L1024" t="s">
        <v>5754</v>
      </c>
      <c r="M1024">
        <v>22</v>
      </c>
      <c r="N1024" t="str">
        <f>VLOOKUP(M1024,[1]LOJA!$A:$B,2,0)</f>
        <v>GUARÁ</v>
      </c>
      <c r="O1024">
        <v>20</v>
      </c>
      <c r="P1024" t="str">
        <f>VLOOKUP(O1024,[1]OPERADORES!$A:$B,2,0)</f>
        <v>MAYARA</v>
      </c>
      <c r="Q1024">
        <v>27</v>
      </c>
      <c r="R1024">
        <v>1000019332</v>
      </c>
      <c r="S1024" t="s">
        <v>5755</v>
      </c>
      <c r="T1024" s="1">
        <v>45994</v>
      </c>
      <c r="U1024">
        <v>929</v>
      </c>
      <c r="V1024">
        <v>929</v>
      </c>
    </row>
    <row r="1025" spans="1:22" x14ac:dyDescent="0.3">
      <c r="A1025" t="s">
        <v>2518</v>
      </c>
      <c r="B1025" t="s">
        <v>1578</v>
      </c>
      <c r="C1025" t="s">
        <v>13</v>
      </c>
      <c r="D1025" t="s">
        <v>2519</v>
      </c>
      <c r="E1025" t="s">
        <v>15</v>
      </c>
      <c r="J1025" s="1">
        <v>45636</v>
      </c>
      <c r="K1025">
        <v>448</v>
      </c>
      <c r="L1025" t="s">
        <v>2520</v>
      </c>
      <c r="M1025">
        <v>8</v>
      </c>
      <c r="N1025" t="str">
        <f>VLOOKUP(M1025,[1]LOJA!$A:$B,2,0)</f>
        <v>LUZIÂNIA</v>
      </c>
      <c r="O1025">
        <v>170</v>
      </c>
      <c r="P1025" t="str">
        <f>VLOOKUP(O1025,[1]OPERADORES!$A:$B,2,0)</f>
        <v>MARIA LUISA</v>
      </c>
      <c r="Q1025">
        <v>4</v>
      </c>
      <c r="S1025" t="s">
        <v>2521</v>
      </c>
      <c r="T1025" s="1">
        <v>45635</v>
      </c>
      <c r="U1025">
        <v>-0.23</v>
      </c>
      <c r="V1025">
        <v>-0.23</v>
      </c>
    </row>
    <row r="1026" spans="1:22" x14ac:dyDescent="0.3">
      <c r="A1026" t="s">
        <v>5756</v>
      </c>
      <c r="B1026" t="s">
        <v>5757</v>
      </c>
      <c r="C1026" t="s">
        <v>13</v>
      </c>
      <c r="D1026" t="s">
        <v>1964</v>
      </c>
      <c r="E1026" t="s">
        <v>15</v>
      </c>
      <c r="J1026" s="1">
        <v>46074</v>
      </c>
      <c r="K1026">
        <v>10</v>
      </c>
      <c r="L1026" t="s">
        <v>5758</v>
      </c>
      <c r="M1026">
        <v>22</v>
      </c>
      <c r="N1026" t="str">
        <f>VLOOKUP(M1026,[1]LOJA!$A:$B,2,0)</f>
        <v>GUARÁ</v>
      </c>
      <c r="O1026">
        <v>238</v>
      </c>
      <c r="P1026" t="str">
        <f>VLOOKUP(O1026,[1]OPERADORES!$A:$B,2,0)</f>
        <v>BIANCA</v>
      </c>
      <c r="Q1026">
        <v>4</v>
      </c>
      <c r="S1026" t="s">
        <v>5759</v>
      </c>
      <c r="T1026" s="1">
        <v>46074</v>
      </c>
      <c r="U1026">
        <v>-15</v>
      </c>
      <c r="V1026">
        <v>-15</v>
      </c>
    </row>
    <row r="1027" spans="1:22" x14ac:dyDescent="0.3">
      <c r="A1027" t="s">
        <v>2522</v>
      </c>
      <c r="B1027" t="s">
        <v>2523</v>
      </c>
      <c r="C1027" t="s">
        <v>13</v>
      </c>
      <c r="D1027" t="s">
        <v>2030</v>
      </c>
      <c r="E1027" t="s">
        <v>15</v>
      </c>
      <c r="J1027" s="1">
        <v>45404</v>
      </c>
      <c r="K1027">
        <v>680</v>
      </c>
      <c r="L1027" t="s">
        <v>498</v>
      </c>
      <c r="M1027">
        <v>8</v>
      </c>
      <c r="N1027" t="str">
        <f>VLOOKUP(M1027,[1]LOJA!$A:$B,2,0)</f>
        <v>LUZIÂNIA</v>
      </c>
      <c r="O1027">
        <v>170</v>
      </c>
      <c r="P1027" t="str">
        <f>VLOOKUP(O1027,[1]OPERADORES!$A:$B,2,0)</f>
        <v>MARIA LUISA</v>
      </c>
      <c r="Q1027">
        <v>4</v>
      </c>
      <c r="S1027" t="s">
        <v>2524</v>
      </c>
      <c r="T1027" s="1">
        <v>45404</v>
      </c>
      <c r="U1027">
        <v>-0.09</v>
      </c>
      <c r="V1027">
        <v>-0.09</v>
      </c>
    </row>
    <row r="1028" spans="1:22" x14ac:dyDescent="0.3">
      <c r="A1028" t="s">
        <v>5760</v>
      </c>
      <c r="B1028" t="s">
        <v>5761</v>
      </c>
      <c r="C1028" t="s">
        <v>2979</v>
      </c>
      <c r="D1028" t="s">
        <v>5762</v>
      </c>
      <c r="E1028" t="s">
        <v>15</v>
      </c>
      <c r="J1028" s="1">
        <v>46073</v>
      </c>
      <c r="K1028">
        <v>11</v>
      </c>
      <c r="L1028" t="s">
        <v>5427</v>
      </c>
      <c r="M1028">
        <v>13</v>
      </c>
      <c r="N1028" t="str">
        <f>VLOOKUP(M1028,[1]LOJA!$A:$B,2,0)</f>
        <v>CEILÂNDIA</v>
      </c>
      <c r="O1028">
        <v>20</v>
      </c>
      <c r="P1028" t="str">
        <f>VLOOKUP(O1028,[1]OPERADORES!$A:$B,2,0)</f>
        <v>MAYARA</v>
      </c>
      <c r="Q1028">
        <v>11</v>
      </c>
      <c r="S1028" t="s">
        <v>5763</v>
      </c>
      <c r="T1028" s="1">
        <v>46057</v>
      </c>
      <c r="U1028" s="2">
        <v>1590.03</v>
      </c>
      <c r="V1028" s="2">
        <v>1590.03</v>
      </c>
    </row>
    <row r="1029" spans="1:22" x14ac:dyDescent="0.3">
      <c r="A1029" t="s">
        <v>2525</v>
      </c>
      <c r="B1029" t="s">
        <v>2526</v>
      </c>
      <c r="C1029" t="s">
        <v>13</v>
      </c>
      <c r="D1029" t="s">
        <v>760</v>
      </c>
      <c r="E1029" t="s">
        <v>15</v>
      </c>
      <c r="J1029" s="1">
        <v>44719</v>
      </c>
      <c r="K1029">
        <v>1365</v>
      </c>
      <c r="L1029" t="s">
        <v>2527</v>
      </c>
      <c r="M1029">
        <v>1</v>
      </c>
      <c r="N1029" t="str">
        <f>VLOOKUP(M1029,[1]LOJA!$A:$B,2,0)</f>
        <v>GUARÁ</v>
      </c>
      <c r="O1029">
        <v>28</v>
      </c>
      <c r="P1029" t="str">
        <f>VLOOKUP(O1029,[1]OPERADORES!$A:$B,2,0)</f>
        <v>GABRIELA</v>
      </c>
      <c r="Q1029">
        <v>4</v>
      </c>
      <c r="S1029" t="s">
        <v>2528</v>
      </c>
      <c r="T1029" s="1">
        <v>44719</v>
      </c>
      <c r="U1029">
        <v>-0.02</v>
      </c>
      <c r="V1029">
        <v>-0.02</v>
      </c>
    </row>
    <row r="1030" spans="1:22" x14ac:dyDescent="0.3">
      <c r="A1030" t="s">
        <v>2529</v>
      </c>
      <c r="B1030" t="s">
        <v>2530</v>
      </c>
      <c r="C1030" t="s">
        <v>13</v>
      </c>
      <c r="D1030" t="s">
        <v>316</v>
      </c>
      <c r="E1030" t="s">
        <v>15</v>
      </c>
      <c r="J1030" s="1">
        <v>45315</v>
      </c>
      <c r="K1030">
        <v>769</v>
      </c>
      <c r="L1030" t="s">
        <v>1344</v>
      </c>
      <c r="M1030">
        <v>22</v>
      </c>
      <c r="N1030" t="str">
        <f>VLOOKUP(M1030,[1]LOJA!$A:$B,2,0)</f>
        <v>GUARÁ</v>
      </c>
      <c r="O1030">
        <v>209</v>
      </c>
      <c r="P1030" t="str">
        <f>VLOOKUP(O1030,[1]OPERADORES!$A:$B,2,0)</f>
        <v>MARIA WITHALINA CUNHA DE SOUZA</v>
      </c>
      <c r="Q1030">
        <v>4</v>
      </c>
      <c r="S1030" t="s">
        <v>110</v>
      </c>
      <c r="T1030" s="1">
        <v>45315</v>
      </c>
      <c r="U1030">
        <v>-10</v>
      </c>
      <c r="V1030">
        <v>-10</v>
      </c>
    </row>
    <row r="1031" spans="1:22" x14ac:dyDescent="0.3">
      <c r="A1031" t="s">
        <v>2531</v>
      </c>
      <c r="B1031" t="s">
        <v>2532</v>
      </c>
      <c r="C1031" t="s">
        <v>755</v>
      </c>
      <c r="D1031" t="s">
        <v>2533</v>
      </c>
      <c r="E1031" t="s">
        <v>15</v>
      </c>
      <c r="J1031" s="1">
        <v>45166</v>
      </c>
      <c r="K1031">
        <v>918</v>
      </c>
      <c r="L1031" t="s">
        <v>2534</v>
      </c>
      <c r="M1031">
        <v>16</v>
      </c>
      <c r="N1031" t="str">
        <f>VLOOKUP(M1031,[1]LOJA!$A:$B,2,0)</f>
        <v>AG LINDAS</v>
      </c>
      <c r="O1031">
        <v>107</v>
      </c>
      <c r="P1031" t="str">
        <f>VLOOKUP(O1031,[1]OPERADORES!$A:$B,2,0)</f>
        <v>DAIANA PORTELA</v>
      </c>
      <c r="Q1031">
        <v>7</v>
      </c>
      <c r="S1031" t="s">
        <v>2535</v>
      </c>
      <c r="T1031" s="1">
        <v>45166</v>
      </c>
      <c r="U1031">
        <v>-34.58</v>
      </c>
      <c r="V1031">
        <v>-34.58</v>
      </c>
    </row>
    <row r="1032" spans="1:22" x14ac:dyDescent="0.3">
      <c r="A1032" t="s">
        <v>2536</v>
      </c>
      <c r="B1032" t="s">
        <v>2537</v>
      </c>
      <c r="C1032" t="s">
        <v>13</v>
      </c>
      <c r="D1032" t="s">
        <v>5764</v>
      </c>
      <c r="E1032" t="s">
        <v>15</v>
      </c>
      <c r="J1032" s="1">
        <v>46068</v>
      </c>
      <c r="K1032">
        <v>16</v>
      </c>
      <c r="L1032" t="s">
        <v>5765</v>
      </c>
      <c r="M1032">
        <v>22</v>
      </c>
      <c r="N1032" t="str">
        <f>VLOOKUP(M1032,[1]LOJA!$A:$B,2,0)</f>
        <v>GUARÁ</v>
      </c>
      <c r="O1032">
        <v>16</v>
      </c>
      <c r="P1032" t="str">
        <f>VLOOKUP(O1032,[1]OPERADORES!$A:$B,2,0)</f>
        <v>AYSLAN</v>
      </c>
      <c r="Q1032">
        <v>7</v>
      </c>
      <c r="S1032" t="s">
        <v>87</v>
      </c>
      <c r="T1032" s="1">
        <v>46065</v>
      </c>
      <c r="U1032">
        <v>937</v>
      </c>
      <c r="V1032">
        <v>937</v>
      </c>
    </row>
    <row r="1033" spans="1:22" x14ac:dyDescent="0.3">
      <c r="A1033" t="s">
        <v>2536</v>
      </c>
      <c r="B1033" t="s">
        <v>2537</v>
      </c>
      <c r="C1033" t="s">
        <v>13</v>
      </c>
      <c r="D1033" t="s">
        <v>5764</v>
      </c>
      <c r="E1033" t="s">
        <v>15</v>
      </c>
      <c r="J1033" s="1">
        <v>46068</v>
      </c>
      <c r="K1033">
        <v>16</v>
      </c>
      <c r="L1033" t="s">
        <v>5766</v>
      </c>
      <c r="M1033">
        <v>22</v>
      </c>
      <c r="N1033" t="str">
        <f>VLOOKUP(M1033,[1]LOJA!$A:$B,2,0)</f>
        <v>GUARÁ</v>
      </c>
      <c r="O1033">
        <v>16</v>
      </c>
      <c r="P1033" t="str">
        <f>VLOOKUP(O1033,[1]OPERADORES!$A:$B,2,0)</f>
        <v>AYSLAN</v>
      </c>
      <c r="Q1033">
        <v>7</v>
      </c>
      <c r="S1033" t="s">
        <v>87</v>
      </c>
      <c r="T1033" s="1">
        <v>46065</v>
      </c>
      <c r="U1033">
        <v>859.09</v>
      </c>
      <c r="V1033">
        <v>859.09</v>
      </c>
    </row>
    <row r="1034" spans="1:22" x14ac:dyDescent="0.3">
      <c r="A1034" t="s">
        <v>2536</v>
      </c>
      <c r="B1034" t="s">
        <v>2537</v>
      </c>
      <c r="C1034" t="s">
        <v>13</v>
      </c>
      <c r="D1034" t="s">
        <v>5764</v>
      </c>
      <c r="E1034" t="s">
        <v>15</v>
      </c>
      <c r="J1034" s="1">
        <v>46068</v>
      </c>
      <c r="K1034">
        <v>16</v>
      </c>
      <c r="L1034" t="s">
        <v>5767</v>
      </c>
      <c r="M1034">
        <v>22</v>
      </c>
      <c r="N1034" t="str">
        <f>VLOOKUP(M1034,[1]LOJA!$A:$B,2,0)</f>
        <v>GUARÁ</v>
      </c>
      <c r="O1034">
        <v>93</v>
      </c>
      <c r="P1034" t="str">
        <f>VLOOKUP(O1034,[1]OPERADORES!$A:$B,2,0)</f>
        <v>PATRICIA</v>
      </c>
      <c r="Q1034">
        <v>7</v>
      </c>
      <c r="S1034" t="s">
        <v>87</v>
      </c>
      <c r="T1034" s="1">
        <v>46065</v>
      </c>
      <c r="U1034">
        <v>420.75</v>
      </c>
      <c r="V1034">
        <v>420.75</v>
      </c>
    </row>
    <row r="1035" spans="1:22" x14ac:dyDescent="0.3">
      <c r="A1035" t="s">
        <v>2536</v>
      </c>
      <c r="B1035" t="s">
        <v>2537</v>
      </c>
      <c r="C1035" t="s">
        <v>13</v>
      </c>
      <c r="D1035" t="s">
        <v>5764</v>
      </c>
      <c r="E1035" t="s">
        <v>15</v>
      </c>
      <c r="J1035" s="1">
        <v>46068</v>
      </c>
      <c r="K1035">
        <v>16</v>
      </c>
      <c r="L1035" t="s">
        <v>5768</v>
      </c>
      <c r="M1035">
        <v>22</v>
      </c>
      <c r="N1035" t="str">
        <f>VLOOKUP(M1035,[1]LOJA!$A:$B,2,0)</f>
        <v>GUARÁ</v>
      </c>
      <c r="O1035">
        <v>93</v>
      </c>
      <c r="P1035" t="str">
        <f>VLOOKUP(O1035,[1]OPERADORES!$A:$B,2,0)</f>
        <v>PATRICIA</v>
      </c>
      <c r="Q1035">
        <v>7</v>
      </c>
      <c r="S1035" t="s">
        <v>5769</v>
      </c>
      <c r="T1035" s="1">
        <v>46065</v>
      </c>
      <c r="U1035">
        <v>10.07</v>
      </c>
      <c r="V1035">
        <v>10.07</v>
      </c>
    </row>
    <row r="1036" spans="1:22" x14ac:dyDescent="0.3">
      <c r="A1036" t="s">
        <v>2536</v>
      </c>
      <c r="B1036" t="s">
        <v>2537</v>
      </c>
      <c r="C1036" t="s">
        <v>13</v>
      </c>
      <c r="D1036" t="s">
        <v>5764</v>
      </c>
      <c r="E1036" t="s">
        <v>15</v>
      </c>
      <c r="J1036" s="1">
        <v>46068</v>
      </c>
      <c r="K1036">
        <v>16</v>
      </c>
      <c r="L1036" t="s">
        <v>5770</v>
      </c>
      <c r="M1036">
        <v>22</v>
      </c>
      <c r="N1036" t="str">
        <f>VLOOKUP(M1036,[1]LOJA!$A:$B,2,0)</f>
        <v>GUARÁ</v>
      </c>
      <c r="O1036">
        <v>93</v>
      </c>
      <c r="P1036" t="str">
        <f>VLOOKUP(O1036,[1]OPERADORES!$A:$B,2,0)</f>
        <v>PATRICIA</v>
      </c>
      <c r="Q1036">
        <v>7</v>
      </c>
      <c r="S1036" t="s">
        <v>87</v>
      </c>
      <c r="T1036" s="1">
        <v>46065</v>
      </c>
      <c r="U1036" s="2">
        <v>1927.6</v>
      </c>
      <c r="V1036" s="2">
        <v>1927.6</v>
      </c>
    </row>
    <row r="1037" spans="1:22" x14ac:dyDescent="0.3">
      <c r="A1037" t="s">
        <v>2538</v>
      </c>
      <c r="B1037" t="s">
        <v>2539</v>
      </c>
      <c r="C1037" t="s">
        <v>13</v>
      </c>
      <c r="D1037" t="s">
        <v>2540</v>
      </c>
      <c r="E1037" t="s">
        <v>15</v>
      </c>
      <c r="J1037" s="1">
        <v>45838</v>
      </c>
      <c r="K1037">
        <v>246</v>
      </c>
      <c r="L1037" t="s">
        <v>1698</v>
      </c>
      <c r="M1037">
        <v>9</v>
      </c>
      <c r="N1037" t="str">
        <f>VLOOKUP(M1037,[1]LOJA!$A:$B,2,0)</f>
        <v>ÚNICA</v>
      </c>
      <c r="O1037">
        <v>144</v>
      </c>
      <c r="P1037" t="str">
        <f>VLOOKUP(O1037,[1]OPERADORES!$A:$B,2,0)</f>
        <v>CINTIA DA SILVA CARLOS</v>
      </c>
      <c r="Q1037">
        <v>4</v>
      </c>
      <c r="S1037" t="s">
        <v>2541</v>
      </c>
      <c r="T1037" s="1">
        <v>45838</v>
      </c>
      <c r="U1037">
        <v>-4.4000000000000004</v>
      </c>
      <c r="V1037">
        <v>-4.4000000000000004</v>
      </c>
    </row>
    <row r="1038" spans="1:22" x14ac:dyDescent="0.3">
      <c r="A1038" t="s">
        <v>2542</v>
      </c>
      <c r="B1038" t="s">
        <v>2543</v>
      </c>
      <c r="C1038" t="s">
        <v>43</v>
      </c>
      <c r="D1038" t="s">
        <v>2403</v>
      </c>
      <c r="E1038" t="s">
        <v>15</v>
      </c>
      <c r="J1038" s="1">
        <v>46052</v>
      </c>
      <c r="K1038">
        <v>32</v>
      </c>
      <c r="L1038" t="s">
        <v>2544</v>
      </c>
      <c r="M1038">
        <v>13</v>
      </c>
      <c r="N1038" t="str">
        <f>VLOOKUP(M1038,[1]LOJA!$A:$B,2,0)</f>
        <v>CEILÂNDIA</v>
      </c>
      <c r="O1038">
        <v>67</v>
      </c>
      <c r="P1038" t="str">
        <f>VLOOKUP(O1038,[1]OPERADORES!$A:$B,2,0)</f>
        <v>ERIKA</v>
      </c>
      <c r="Q1038">
        <v>4</v>
      </c>
      <c r="S1038" t="s">
        <v>2545</v>
      </c>
      <c r="T1038" s="1">
        <v>46052</v>
      </c>
      <c r="U1038">
        <v>-0.85</v>
      </c>
      <c r="V1038">
        <v>-0.85</v>
      </c>
    </row>
    <row r="1039" spans="1:22" x14ac:dyDescent="0.3">
      <c r="A1039" t="s">
        <v>2546</v>
      </c>
      <c r="B1039" t="s">
        <v>2547</v>
      </c>
      <c r="C1039" t="s">
        <v>13</v>
      </c>
      <c r="D1039" t="s">
        <v>2548</v>
      </c>
      <c r="E1039" t="s">
        <v>15</v>
      </c>
      <c r="J1039" s="1">
        <v>45124</v>
      </c>
      <c r="K1039">
        <v>960</v>
      </c>
      <c r="L1039" t="s">
        <v>2549</v>
      </c>
      <c r="M1039">
        <v>1</v>
      </c>
      <c r="N1039" t="str">
        <f>VLOOKUP(M1039,[1]LOJA!$A:$B,2,0)</f>
        <v>GUARÁ</v>
      </c>
      <c r="O1039">
        <v>174</v>
      </c>
      <c r="P1039" t="str">
        <f>VLOOKUP(O1039,[1]OPERADORES!$A:$B,2,0)</f>
        <v>MIRIÃ LOBATO RODRIGUES</v>
      </c>
      <c r="Q1039">
        <v>4</v>
      </c>
      <c r="S1039" t="s">
        <v>2550</v>
      </c>
      <c r="T1039" s="1">
        <v>45124</v>
      </c>
      <c r="U1039">
        <v>-0.16</v>
      </c>
      <c r="V1039">
        <v>-0.16</v>
      </c>
    </row>
    <row r="1040" spans="1:22" x14ac:dyDescent="0.3">
      <c r="A1040" t="s">
        <v>2551</v>
      </c>
      <c r="B1040" t="s">
        <v>2552</v>
      </c>
      <c r="C1040" t="s">
        <v>226</v>
      </c>
      <c r="D1040" t="s">
        <v>5771</v>
      </c>
      <c r="E1040" t="s">
        <v>15</v>
      </c>
      <c r="J1040" s="1">
        <v>45468</v>
      </c>
      <c r="K1040">
        <v>616</v>
      </c>
      <c r="L1040" t="s">
        <v>2553</v>
      </c>
      <c r="M1040">
        <v>4</v>
      </c>
      <c r="N1040" t="str">
        <f>VLOOKUP(M1040,[1]LOJA!$A:$B,2,0)</f>
        <v>ADE</v>
      </c>
      <c r="O1040">
        <v>226</v>
      </c>
      <c r="P1040" t="str">
        <f>VLOOKUP(O1040,[1]OPERADORES!$A:$B,2,0)</f>
        <v>MARIA FÉLIX</v>
      </c>
      <c r="Q1040">
        <v>4</v>
      </c>
      <c r="S1040" t="s">
        <v>2554</v>
      </c>
      <c r="T1040" s="1">
        <v>45468</v>
      </c>
      <c r="U1040">
        <v>-0.02</v>
      </c>
      <c r="V1040">
        <v>-0.02</v>
      </c>
    </row>
    <row r="1041" spans="1:22" x14ac:dyDescent="0.3">
      <c r="A1041" t="s">
        <v>2551</v>
      </c>
      <c r="B1041" t="s">
        <v>2552</v>
      </c>
      <c r="C1041" t="s">
        <v>226</v>
      </c>
      <c r="D1041" t="s">
        <v>5771</v>
      </c>
      <c r="E1041" t="s">
        <v>15</v>
      </c>
      <c r="J1041" s="1">
        <v>45986</v>
      </c>
      <c r="K1041">
        <v>98</v>
      </c>
      <c r="L1041" t="s">
        <v>2555</v>
      </c>
      <c r="M1041">
        <v>4</v>
      </c>
      <c r="N1041" t="str">
        <f>VLOOKUP(M1041,[1]LOJA!$A:$B,2,0)</f>
        <v>ADE</v>
      </c>
      <c r="O1041">
        <v>226</v>
      </c>
      <c r="P1041" t="str">
        <f>VLOOKUP(O1041,[1]OPERADORES!$A:$B,2,0)</f>
        <v>MARIA FÉLIX</v>
      </c>
      <c r="Q1041">
        <v>4</v>
      </c>
      <c r="S1041" t="s">
        <v>2556</v>
      </c>
      <c r="T1041" s="1">
        <v>45986</v>
      </c>
      <c r="U1041">
        <v>-4</v>
      </c>
      <c r="V1041">
        <v>-4</v>
      </c>
    </row>
    <row r="1042" spans="1:22" x14ac:dyDescent="0.3">
      <c r="A1042" t="s">
        <v>2551</v>
      </c>
      <c r="B1042" t="s">
        <v>2552</v>
      </c>
      <c r="C1042" t="s">
        <v>226</v>
      </c>
      <c r="D1042" t="s">
        <v>5771</v>
      </c>
      <c r="E1042" t="s">
        <v>15</v>
      </c>
      <c r="J1042" s="1">
        <v>46073</v>
      </c>
      <c r="K1042">
        <v>11</v>
      </c>
      <c r="L1042" t="s">
        <v>5772</v>
      </c>
      <c r="M1042">
        <v>4</v>
      </c>
      <c r="N1042" t="str">
        <f>VLOOKUP(M1042,[1]LOJA!$A:$B,2,0)</f>
        <v>ADE</v>
      </c>
      <c r="O1042">
        <v>20</v>
      </c>
      <c r="P1042" t="str">
        <f>VLOOKUP(O1042,[1]OPERADORES!$A:$B,2,0)</f>
        <v>MAYARA</v>
      </c>
      <c r="Q1042">
        <v>12</v>
      </c>
      <c r="S1042" t="s">
        <v>5773</v>
      </c>
      <c r="T1042" s="1">
        <v>46056</v>
      </c>
      <c r="U1042">
        <v>78.900000000000006</v>
      </c>
      <c r="V1042">
        <v>78.900000000000006</v>
      </c>
    </row>
    <row r="1043" spans="1:22" x14ac:dyDescent="0.3">
      <c r="A1043" t="s">
        <v>2557</v>
      </c>
      <c r="B1043" t="s">
        <v>2558</v>
      </c>
      <c r="C1043" t="s">
        <v>207</v>
      </c>
      <c r="D1043" t="s">
        <v>2559</v>
      </c>
      <c r="E1043" t="s">
        <v>15</v>
      </c>
      <c r="J1043" s="1">
        <v>46049</v>
      </c>
      <c r="K1043">
        <v>35</v>
      </c>
      <c r="L1043" t="s">
        <v>2560</v>
      </c>
      <c r="M1043">
        <v>12</v>
      </c>
      <c r="N1043" t="str">
        <f>VLOOKUP(M1043,[1]LOJA!$A:$B,2,0)</f>
        <v>SOFNORTE</v>
      </c>
      <c r="O1043">
        <v>209</v>
      </c>
      <c r="P1043" t="str">
        <f>VLOOKUP(O1043,[1]OPERADORES!$A:$B,2,0)</f>
        <v>MARIA WITHALINA CUNHA DE SOUZA</v>
      </c>
      <c r="Q1043">
        <v>4</v>
      </c>
      <c r="S1043" t="s">
        <v>2561</v>
      </c>
      <c r="T1043" s="1">
        <v>46049</v>
      </c>
      <c r="U1043">
        <v>-0.27</v>
      </c>
      <c r="V1043">
        <v>-0.27</v>
      </c>
    </row>
    <row r="1044" spans="1:22" x14ac:dyDescent="0.3">
      <c r="A1044" t="s">
        <v>2562</v>
      </c>
      <c r="B1044" t="s">
        <v>2563</v>
      </c>
      <c r="C1044" t="s">
        <v>13</v>
      </c>
      <c r="D1044" t="s">
        <v>2564</v>
      </c>
      <c r="E1044" t="s">
        <v>15</v>
      </c>
      <c r="J1044" s="1">
        <v>45623</v>
      </c>
      <c r="K1044">
        <v>461</v>
      </c>
      <c r="L1044" t="s">
        <v>2565</v>
      </c>
      <c r="M1044">
        <v>13</v>
      </c>
      <c r="N1044" t="str">
        <f>VLOOKUP(M1044,[1]LOJA!$A:$B,2,0)</f>
        <v>CEILÂNDIA</v>
      </c>
      <c r="O1044">
        <v>67</v>
      </c>
      <c r="P1044" t="str">
        <f>VLOOKUP(O1044,[1]OPERADORES!$A:$B,2,0)</f>
        <v>ERIKA</v>
      </c>
      <c r="Q1044">
        <v>10</v>
      </c>
      <c r="S1044" t="s">
        <v>2566</v>
      </c>
      <c r="T1044" s="1">
        <v>45623</v>
      </c>
      <c r="U1044">
        <v>-0.76</v>
      </c>
      <c r="V1044">
        <v>-0.76</v>
      </c>
    </row>
    <row r="1045" spans="1:22" x14ac:dyDescent="0.3">
      <c r="A1045" t="s">
        <v>2567</v>
      </c>
      <c r="B1045" t="s">
        <v>2568</v>
      </c>
      <c r="C1045" t="s">
        <v>13</v>
      </c>
      <c r="D1045" t="s">
        <v>2569</v>
      </c>
      <c r="E1045" t="s">
        <v>15</v>
      </c>
      <c r="J1045" s="1">
        <v>45958</v>
      </c>
      <c r="K1045">
        <v>126</v>
      </c>
      <c r="L1045" t="s">
        <v>2570</v>
      </c>
      <c r="M1045">
        <v>6</v>
      </c>
      <c r="N1045" t="str">
        <f>VLOOKUP(M1045,[1]LOJA!$A:$B,2,0)</f>
        <v>GAMA</v>
      </c>
      <c r="O1045">
        <v>246</v>
      </c>
      <c r="P1045" t="str">
        <f>VLOOKUP(O1045,[1]OPERADORES!$A:$B,2,0)</f>
        <v>VITORIA APARECIDA</v>
      </c>
      <c r="Q1045">
        <v>4</v>
      </c>
      <c r="S1045" t="s">
        <v>2571</v>
      </c>
      <c r="T1045" s="1">
        <v>45958</v>
      </c>
      <c r="U1045">
        <v>-0.28000000000000003</v>
      </c>
      <c r="V1045">
        <v>-0.28000000000000003</v>
      </c>
    </row>
    <row r="1046" spans="1:22" x14ac:dyDescent="0.3">
      <c r="A1046" t="s">
        <v>2567</v>
      </c>
      <c r="B1046" t="s">
        <v>2568</v>
      </c>
      <c r="C1046" t="s">
        <v>13</v>
      </c>
      <c r="D1046" t="s">
        <v>2569</v>
      </c>
      <c r="E1046" t="s">
        <v>15</v>
      </c>
      <c r="J1046" s="1">
        <v>45990</v>
      </c>
      <c r="K1046">
        <v>94</v>
      </c>
      <c r="L1046" t="s">
        <v>2572</v>
      </c>
      <c r="M1046">
        <v>6</v>
      </c>
      <c r="N1046" t="str">
        <f>VLOOKUP(M1046,[1]LOJA!$A:$B,2,0)</f>
        <v>GAMA</v>
      </c>
      <c r="O1046">
        <v>246</v>
      </c>
      <c r="P1046" t="str">
        <f>VLOOKUP(O1046,[1]OPERADORES!$A:$B,2,0)</f>
        <v>VITORIA APARECIDA</v>
      </c>
      <c r="Q1046">
        <v>4</v>
      </c>
      <c r="S1046" t="s">
        <v>2573</v>
      </c>
      <c r="T1046" s="1">
        <v>45990</v>
      </c>
      <c r="U1046">
        <v>-0.43</v>
      </c>
      <c r="V1046">
        <v>-0.43</v>
      </c>
    </row>
    <row r="1047" spans="1:22" x14ac:dyDescent="0.3">
      <c r="A1047" t="s">
        <v>2574</v>
      </c>
      <c r="B1047" t="s">
        <v>2575</v>
      </c>
      <c r="C1047" t="s">
        <v>255</v>
      </c>
      <c r="D1047" t="s">
        <v>5774</v>
      </c>
      <c r="E1047" t="s">
        <v>15</v>
      </c>
      <c r="J1047" s="1">
        <v>45188</v>
      </c>
      <c r="K1047">
        <v>896</v>
      </c>
      <c r="L1047" t="s">
        <v>2576</v>
      </c>
      <c r="M1047">
        <v>1</v>
      </c>
      <c r="N1047" t="str">
        <f>VLOOKUP(M1047,[1]LOJA!$A:$B,2,0)</f>
        <v>GUARÁ</v>
      </c>
      <c r="O1047">
        <v>93</v>
      </c>
      <c r="P1047" t="str">
        <f>VLOOKUP(O1047,[1]OPERADORES!$A:$B,2,0)</f>
        <v>PATRICIA</v>
      </c>
      <c r="Q1047">
        <v>4</v>
      </c>
      <c r="S1047" t="s">
        <v>2577</v>
      </c>
      <c r="T1047" s="1">
        <v>45188</v>
      </c>
      <c r="U1047">
        <v>-0.11</v>
      </c>
      <c r="V1047">
        <v>-0.11</v>
      </c>
    </row>
    <row r="1048" spans="1:22" x14ac:dyDescent="0.3">
      <c r="A1048" t="s">
        <v>2578</v>
      </c>
      <c r="B1048" t="s">
        <v>2579</v>
      </c>
      <c r="C1048" t="s">
        <v>324</v>
      </c>
      <c r="D1048" t="s">
        <v>2331</v>
      </c>
      <c r="E1048" t="s">
        <v>15</v>
      </c>
      <c r="J1048" s="1">
        <v>44733</v>
      </c>
      <c r="K1048">
        <v>1351</v>
      </c>
      <c r="L1048" t="s">
        <v>2580</v>
      </c>
      <c r="M1048">
        <v>14</v>
      </c>
      <c r="N1048" t="str">
        <f>VLOOKUP(M1048,[1]LOJA!$A:$B,2,0)</f>
        <v>S IA</v>
      </c>
      <c r="O1048">
        <v>144</v>
      </c>
      <c r="P1048" t="str">
        <f>VLOOKUP(O1048,[1]OPERADORES!$A:$B,2,0)</f>
        <v>CINTIA DA SILVA CARLOS</v>
      </c>
      <c r="Q1048">
        <v>10</v>
      </c>
      <c r="S1048" t="s">
        <v>142</v>
      </c>
      <c r="T1048" s="1">
        <v>44733</v>
      </c>
      <c r="U1048">
        <v>-0.1</v>
      </c>
      <c r="V1048">
        <v>-0.1</v>
      </c>
    </row>
    <row r="1049" spans="1:22" x14ac:dyDescent="0.3">
      <c r="A1049" t="s">
        <v>2578</v>
      </c>
      <c r="B1049" t="s">
        <v>2579</v>
      </c>
      <c r="C1049" t="s">
        <v>324</v>
      </c>
      <c r="D1049" t="s">
        <v>2331</v>
      </c>
      <c r="E1049" t="s">
        <v>15</v>
      </c>
      <c r="J1049" s="1">
        <v>45247</v>
      </c>
      <c r="K1049">
        <v>837</v>
      </c>
      <c r="L1049" t="s">
        <v>2581</v>
      </c>
      <c r="M1049">
        <v>14</v>
      </c>
      <c r="N1049" t="str">
        <f>VLOOKUP(M1049,[1]LOJA!$A:$B,2,0)</f>
        <v>S IA</v>
      </c>
      <c r="O1049">
        <v>207</v>
      </c>
      <c r="P1049" t="str">
        <f>VLOOKUP(O1049,[1]OPERADORES!$A:$B,2,0)</f>
        <v>KETILE SABRINE</v>
      </c>
      <c r="Q1049">
        <v>4</v>
      </c>
      <c r="S1049" t="s">
        <v>2582</v>
      </c>
      <c r="T1049" s="1">
        <v>45247</v>
      </c>
      <c r="U1049">
        <v>-0.09</v>
      </c>
      <c r="V1049">
        <v>-0.09</v>
      </c>
    </row>
    <row r="1050" spans="1:22" x14ac:dyDescent="0.3">
      <c r="A1050" t="s">
        <v>2578</v>
      </c>
      <c r="B1050" t="s">
        <v>2579</v>
      </c>
      <c r="C1050" t="s">
        <v>324</v>
      </c>
      <c r="D1050" t="s">
        <v>2331</v>
      </c>
      <c r="E1050" t="s">
        <v>15</v>
      </c>
      <c r="J1050" s="1">
        <v>45278</v>
      </c>
      <c r="K1050">
        <v>806</v>
      </c>
      <c r="L1050" t="s">
        <v>2583</v>
      </c>
      <c r="M1050">
        <v>14</v>
      </c>
      <c r="N1050" t="str">
        <f>VLOOKUP(M1050,[1]LOJA!$A:$B,2,0)</f>
        <v>S IA</v>
      </c>
      <c r="O1050">
        <v>207</v>
      </c>
      <c r="P1050" t="str">
        <f>VLOOKUP(O1050,[1]OPERADORES!$A:$B,2,0)</f>
        <v>KETILE SABRINE</v>
      </c>
      <c r="Q1050">
        <v>4</v>
      </c>
      <c r="S1050" t="s">
        <v>2582</v>
      </c>
      <c r="T1050" s="1">
        <v>45278</v>
      </c>
      <c r="U1050">
        <v>-0.1</v>
      </c>
      <c r="V1050">
        <v>-0.1</v>
      </c>
    </row>
    <row r="1051" spans="1:22" x14ac:dyDescent="0.3">
      <c r="A1051" t="s">
        <v>2584</v>
      </c>
      <c r="B1051" t="s">
        <v>2585</v>
      </c>
      <c r="C1051" t="s">
        <v>226</v>
      </c>
      <c r="D1051" t="s">
        <v>2586</v>
      </c>
      <c r="E1051" t="s">
        <v>15</v>
      </c>
      <c r="J1051" s="1">
        <v>44386</v>
      </c>
      <c r="K1051">
        <v>1698</v>
      </c>
      <c r="L1051" t="s">
        <v>2587</v>
      </c>
      <c r="M1051">
        <v>14</v>
      </c>
      <c r="N1051" t="str">
        <f>VLOOKUP(M1051,[1]LOJA!$A:$B,2,0)</f>
        <v>S IA</v>
      </c>
      <c r="O1051">
        <v>54</v>
      </c>
      <c r="P1051" t="str">
        <f>VLOOKUP(O1051,[1]OPERADORES!$A:$B,2,0)</f>
        <v>ROBSON</v>
      </c>
      <c r="Q1051">
        <v>4</v>
      </c>
      <c r="S1051" t="s">
        <v>2588</v>
      </c>
      <c r="T1051" s="1">
        <v>44386</v>
      </c>
      <c r="U1051">
        <v>-7</v>
      </c>
      <c r="V1051">
        <v>-7</v>
      </c>
    </row>
    <row r="1052" spans="1:22" x14ac:dyDescent="0.3">
      <c r="A1052" t="s">
        <v>2589</v>
      </c>
      <c r="B1052" t="s">
        <v>2590</v>
      </c>
      <c r="C1052" t="s">
        <v>13</v>
      </c>
      <c r="D1052" t="s">
        <v>2591</v>
      </c>
      <c r="E1052" t="s">
        <v>15</v>
      </c>
      <c r="J1052" s="1">
        <v>44221</v>
      </c>
      <c r="K1052">
        <v>1863</v>
      </c>
      <c r="L1052" t="s">
        <v>2592</v>
      </c>
      <c r="M1052">
        <v>4</v>
      </c>
      <c r="N1052" t="str">
        <f>VLOOKUP(M1052,[1]LOJA!$A:$B,2,0)</f>
        <v>ADE</v>
      </c>
      <c r="O1052">
        <v>20</v>
      </c>
      <c r="P1052" t="str">
        <f>VLOOKUP(O1052,[1]OPERADORES!$A:$B,2,0)</f>
        <v>MAYARA</v>
      </c>
      <c r="Q1052">
        <v>1</v>
      </c>
      <c r="S1052" t="s">
        <v>2593</v>
      </c>
      <c r="T1052" s="1">
        <v>44181</v>
      </c>
      <c r="U1052" s="2">
        <v>3444.71</v>
      </c>
      <c r="V1052" s="2">
        <v>3444.71</v>
      </c>
    </row>
    <row r="1053" spans="1:22" x14ac:dyDescent="0.3">
      <c r="A1053" t="s">
        <v>2589</v>
      </c>
      <c r="B1053" t="s">
        <v>2590</v>
      </c>
      <c r="C1053" t="s">
        <v>13</v>
      </c>
      <c r="D1053" t="s">
        <v>2591</v>
      </c>
      <c r="E1053" t="s">
        <v>15</v>
      </c>
      <c r="J1053" s="1">
        <v>44260</v>
      </c>
      <c r="K1053">
        <v>1824</v>
      </c>
      <c r="L1053" t="s">
        <v>2594</v>
      </c>
      <c r="M1053">
        <v>4</v>
      </c>
      <c r="N1053" t="str">
        <f>VLOOKUP(M1053,[1]LOJA!$A:$B,2,0)</f>
        <v>ADE</v>
      </c>
      <c r="O1053">
        <v>20</v>
      </c>
      <c r="P1053" t="str">
        <f>VLOOKUP(O1053,[1]OPERADORES!$A:$B,2,0)</f>
        <v>MAYARA</v>
      </c>
      <c r="Q1053">
        <v>20</v>
      </c>
      <c r="S1053" t="s">
        <v>2595</v>
      </c>
      <c r="T1053" s="1">
        <v>44229</v>
      </c>
      <c r="U1053" s="2">
        <v>3987.86</v>
      </c>
      <c r="V1053" s="2">
        <v>3987.86</v>
      </c>
    </row>
    <row r="1054" spans="1:22" x14ac:dyDescent="0.3">
      <c r="A1054" t="s">
        <v>2596</v>
      </c>
      <c r="B1054" t="s">
        <v>2597</v>
      </c>
      <c r="C1054" t="s">
        <v>13</v>
      </c>
      <c r="D1054" t="s">
        <v>189</v>
      </c>
      <c r="E1054" t="s">
        <v>15</v>
      </c>
      <c r="J1054" s="1">
        <v>45020</v>
      </c>
      <c r="K1054">
        <v>1064</v>
      </c>
      <c r="L1054" t="s">
        <v>2598</v>
      </c>
      <c r="M1054">
        <v>8</v>
      </c>
      <c r="N1054" t="str">
        <f>VLOOKUP(M1054,[1]LOJA!$A:$B,2,0)</f>
        <v>LUZIÂNIA</v>
      </c>
      <c r="O1054">
        <v>170</v>
      </c>
      <c r="P1054" t="str">
        <f>VLOOKUP(O1054,[1]OPERADORES!$A:$B,2,0)</f>
        <v>MARIA LUISA</v>
      </c>
      <c r="Q1054">
        <v>4</v>
      </c>
      <c r="S1054" t="s">
        <v>2599</v>
      </c>
      <c r="T1054" s="1">
        <v>45020</v>
      </c>
      <c r="U1054">
        <v>-0.5</v>
      </c>
      <c r="V1054">
        <v>-0.5</v>
      </c>
    </row>
    <row r="1055" spans="1:22" x14ac:dyDescent="0.3">
      <c r="A1055" t="s">
        <v>2600</v>
      </c>
      <c r="B1055" t="s">
        <v>2601</v>
      </c>
      <c r="C1055" t="s">
        <v>43</v>
      </c>
      <c r="D1055" t="s">
        <v>2602</v>
      </c>
      <c r="E1055" t="s">
        <v>15</v>
      </c>
      <c r="J1055" s="1">
        <v>44306</v>
      </c>
      <c r="K1055">
        <v>1778</v>
      </c>
      <c r="L1055" t="s">
        <v>2603</v>
      </c>
      <c r="M1055">
        <v>9</v>
      </c>
      <c r="N1055" t="str">
        <f>VLOOKUP(M1055,[1]LOJA!$A:$B,2,0)</f>
        <v>ÚNICA</v>
      </c>
      <c r="O1055">
        <v>84</v>
      </c>
      <c r="P1055" t="str">
        <f>VLOOKUP(O1055,[1]OPERADORES!$A:$B,2,0)</f>
        <v>JEICY AZEVEDO</v>
      </c>
      <c r="Q1055">
        <v>4</v>
      </c>
      <c r="S1055" t="s">
        <v>142</v>
      </c>
      <c r="T1055" s="1">
        <v>44306</v>
      </c>
      <c r="U1055">
        <v>-24</v>
      </c>
      <c r="V1055">
        <v>-24</v>
      </c>
    </row>
    <row r="1056" spans="1:22" x14ac:dyDescent="0.3">
      <c r="A1056" t="s">
        <v>2600</v>
      </c>
      <c r="B1056" t="s">
        <v>2601</v>
      </c>
      <c r="C1056" t="s">
        <v>43</v>
      </c>
      <c r="D1056" t="s">
        <v>2602</v>
      </c>
      <c r="E1056" t="s">
        <v>15</v>
      </c>
      <c r="J1056" s="1">
        <v>44515</v>
      </c>
      <c r="K1056">
        <v>1569</v>
      </c>
      <c r="L1056" t="s">
        <v>2604</v>
      </c>
      <c r="M1056">
        <v>8</v>
      </c>
      <c r="N1056" t="str">
        <f>VLOOKUP(M1056,[1]LOJA!$A:$B,2,0)</f>
        <v>LUZIÂNIA</v>
      </c>
      <c r="O1056">
        <v>20</v>
      </c>
      <c r="P1056" t="str">
        <f>VLOOKUP(O1056,[1]OPERADORES!$A:$B,2,0)</f>
        <v>MAYARA</v>
      </c>
      <c r="Q1056">
        <v>12</v>
      </c>
      <c r="S1056" t="s">
        <v>2605</v>
      </c>
      <c r="T1056" s="1">
        <v>44501</v>
      </c>
      <c r="U1056">
        <v>196</v>
      </c>
      <c r="V1056">
        <v>196</v>
      </c>
    </row>
    <row r="1057" spans="1:22" x14ac:dyDescent="0.3">
      <c r="A1057" t="s">
        <v>2606</v>
      </c>
      <c r="B1057" t="s">
        <v>2607</v>
      </c>
      <c r="C1057" t="s">
        <v>13</v>
      </c>
      <c r="D1057" t="s">
        <v>98</v>
      </c>
      <c r="E1057" t="s">
        <v>15</v>
      </c>
      <c r="J1057" s="1">
        <v>44476</v>
      </c>
      <c r="K1057">
        <v>1608</v>
      </c>
      <c r="L1057" t="s">
        <v>2608</v>
      </c>
      <c r="M1057">
        <v>14</v>
      </c>
      <c r="N1057" t="str">
        <f>VLOOKUP(M1057,[1]LOJA!$A:$B,2,0)</f>
        <v>S IA</v>
      </c>
      <c r="O1057">
        <v>54</v>
      </c>
      <c r="P1057" t="str">
        <f>VLOOKUP(O1057,[1]OPERADORES!$A:$B,2,0)</f>
        <v>ROBSON</v>
      </c>
      <c r="Q1057">
        <v>4</v>
      </c>
      <c r="S1057" t="s">
        <v>2609</v>
      </c>
      <c r="T1057" s="1">
        <v>44476</v>
      </c>
      <c r="U1057">
        <v>-2</v>
      </c>
      <c r="V1057">
        <v>-2</v>
      </c>
    </row>
    <row r="1058" spans="1:22" x14ac:dyDescent="0.3">
      <c r="A1058" t="s">
        <v>2610</v>
      </c>
      <c r="B1058" t="s">
        <v>2611</v>
      </c>
      <c r="C1058" t="s">
        <v>13</v>
      </c>
      <c r="D1058" t="s">
        <v>5775</v>
      </c>
      <c r="E1058" t="s">
        <v>15</v>
      </c>
      <c r="J1058" s="1">
        <v>46052</v>
      </c>
      <c r="K1058">
        <v>32</v>
      </c>
      <c r="L1058" t="s">
        <v>2612</v>
      </c>
      <c r="M1058">
        <v>6</v>
      </c>
      <c r="N1058" t="str">
        <f>VLOOKUP(M1058,[1]LOJA!$A:$B,2,0)</f>
        <v>GAMA</v>
      </c>
      <c r="O1058">
        <v>246</v>
      </c>
      <c r="P1058" t="str">
        <f>VLOOKUP(O1058,[1]OPERADORES!$A:$B,2,0)</f>
        <v>VITORIA APARECIDA</v>
      </c>
      <c r="Q1058">
        <v>4</v>
      </c>
      <c r="S1058" t="s">
        <v>2613</v>
      </c>
      <c r="T1058" s="1">
        <v>46052</v>
      </c>
      <c r="U1058">
        <v>-0.03</v>
      </c>
      <c r="V1058">
        <v>-0.03</v>
      </c>
    </row>
    <row r="1059" spans="1:22" x14ac:dyDescent="0.3">
      <c r="A1059" t="s">
        <v>2610</v>
      </c>
      <c r="B1059" t="s">
        <v>2611</v>
      </c>
      <c r="C1059" t="s">
        <v>13</v>
      </c>
      <c r="D1059" t="s">
        <v>5775</v>
      </c>
      <c r="E1059" t="s">
        <v>15</v>
      </c>
      <c r="J1059" s="1">
        <v>46059</v>
      </c>
      <c r="K1059">
        <v>25</v>
      </c>
      <c r="L1059" t="s">
        <v>2614</v>
      </c>
      <c r="M1059">
        <v>6</v>
      </c>
      <c r="N1059" t="str">
        <f>VLOOKUP(M1059,[1]LOJA!$A:$B,2,0)</f>
        <v>GAMA</v>
      </c>
      <c r="O1059">
        <v>246</v>
      </c>
      <c r="P1059" t="str">
        <f>VLOOKUP(O1059,[1]OPERADORES!$A:$B,2,0)</f>
        <v>VITORIA APARECIDA</v>
      </c>
      <c r="Q1059">
        <v>4</v>
      </c>
      <c r="S1059" t="s">
        <v>5776</v>
      </c>
      <c r="T1059" s="1">
        <v>46059</v>
      </c>
      <c r="U1059">
        <v>-5</v>
      </c>
      <c r="V1059">
        <v>-5</v>
      </c>
    </row>
    <row r="1060" spans="1:22" x14ac:dyDescent="0.3">
      <c r="A1060" t="s">
        <v>2615</v>
      </c>
      <c r="B1060" t="s">
        <v>2616</v>
      </c>
      <c r="C1060" t="s">
        <v>43</v>
      </c>
      <c r="D1060" t="s">
        <v>1219</v>
      </c>
      <c r="E1060" t="s">
        <v>15</v>
      </c>
      <c r="J1060" s="1">
        <v>44764</v>
      </c>
      <c r="K1060">
        <v>1320</v>
      </c>
      <c r="L1060" t="s">
        <v>2617</v>
      </c>
      <c r="M1060">
        <v>4</v>
      </c>
      <c r="N1060" t="str">
        <f>VLOOKUP(M1060,[1]LOJA!$A:$B,2,0)</f>
        <v>ADE</v>
      </c>
      <c r="O1060">
        <v>107</v>
      </c>
      <c r="P1060" t="str">
        <f>VLOOKUP(O1060,[1]OPERADORES!$A:$B,2,0)</f>
        <v>DAIANA PORTELA</v>
      </c>
      <c r="Q1060">
        <v>7</v>
      </c>
      <c r="S1060" t="s">
        <v>2618</v>
      </c>
      <c r="T1060" s="1">
        <v>44764</v>
      </c>
      <c r="U1060">
        <v>-0.7</v>
      </c>
      <c r="V1060">
        <v>-0.7</v>
      </c>
    </row>
    <row r="1061" spans="1:22" x14ac:dyDescent="0.3">
      <c r="A1061" t="s">
        <v>2619</v>
      </c>
      <c r="B1061" t="s">
        <v>2620</v>
      </c>
      <c r="C1061" t="s">
        <v>13</v>
      </c>
      <c r="D1061" t="s">
        <v>2621</v>
      </c>
      <c r="E1061" t="s">
        <v>15</v>
      </c>
      <c r="J1061" s="1">
        <v>44362</v>
      </c>
      <c r="K1061">
        <v>1722</v>
      </c>
      <c r="L1061" t="s">
        <v>2622</v>
      </c>
      <c r="M1061">
        <v>1</v>
      </c>
      <c r="N1061" t="str">
        <f>VLOOKUP(M1061,[1]LOJA!$A:$B,2,0)</f>
        <v>GUARÁ</v>
      </c>
      <c r="O1061">
        <v>20</v>
      </c>
      <c r="P1061" t="str">
        <f>VLOOKUP(O1061,[1]OPERADORES!$A:$B,2,0)</f>
        <v>MAYARA</v>
      </c>
      <c r="Q1061">
        <v>12</v>
      </c>
      <c r="S1061" t="s">
        <v>2623</v>
      </c>
      <c r="T1061" s="1">
        <v>44352</v>
      </c>
      <c r="U1061" s="2">
        <v>1261.98</v>
      </c>
      <c r="V1061" s="2">
        <v>1261.98</v>
      </c>
    </row>
    <row r="1062" spans="1:22" x14ac:dyDescent="0.3">
      <c r="A1062" t="s">
        <v>2619</v>
      </c>
      <c r="B1062" t="s">
        <v>2620</v>
      </c>
      <c r="C1062" t="s">
        <v>13</v>
      </c>
      <c r="D1062" t="s">
        <v>2621</v>
      </c>
      <c r="E1062" t="s">
        <v>15</v>
      </c>
      <c r="J1062" s="1">
        <v>44392</v>
      </c>
      <c r="K1062">
        <v>1692</v>
      </c>
      <c r="L1062" t="s">
        <v>2624</v>
      </c>
      <c r="M1062">
        <v>1</v>
      </c>
      <c r="N1062" t="str">
        <f>VLOOKUP(M1062,[1]LOJA!$A:$B,2,0)</f>
        <v>GUARÁ</v>
      </c>
      <c r="O1062">
        <v>20</v>
      </c>
      <c r="P1062" t="str">
        <f>VLOOKUP(O1062,[1]OPERADORES!$A:$B,2,0)</f>
        <v>MAYARA</v>
      </c>
      <c r="Q1062">
        <v>12</v>
      </c>
      <c r="S1062" t="s">
        <v>2625</v>
      </c>
      <c r="T1062" s="1">
        <v>44382</v>
      </c>
      <c r="U1062" s="2">
        <v>1181.31</v>
      </c>
      <c r="V1062" s="2">
        <v>1181.31</v>
      </c>
    </row>
    <row r="1063" spans="1:22" x14ac:dyDescent="0.3">
      <c r="A1063" t="s">
        <v>2619</v>
      </c>
      <c r="B1063" t="s">
        <v>2620</v>
      </c>
      <c r="C1063" t="s">
        <v>13</v>
      </c>
      <c r="D1063" t="s">
        <v>2621</v>
      </c>
      <c r="E1063" t="s">
        <v>15</v>
      </c>
      <c r="J1063" s="1">
        <v>45930</v>
      </c>
      <c r="K1063">
        <v>154</v>
      </c>
      <c r="L1063" t="s">
        <v>2626</v>
      </c>
      <c r="M1063">
        <v>22</v>
      </c>
      <c r="N1063" t="str">
        <f>VLOOKUP(M1063,[1]LOJA!$A:$B,2,0)</f>
        <v>GUARÁ</v>
      </c>
      <c r="O1063">
        <v>238</v>
      </c>
      <c r="P1063" t="str">
        <f>VLOOKUP(O1063,[1]OPERADORES!$A:$B,2,0)</f>
        <v>BIANCA</v>
      </c>
      <c r="Q1063">
        <v>4</v>
      </c>
      <c r="S1063" t="s">
        <v>2627</v>
      </c>
      <c r="T1063" s="1">
        <v>45930</v>
      </c>
      <c r="U1063">
        <v>-0.24</v>
      </c>
      <c r="V1063">
        <v>-0.24</v>
      </c>
    </row>
    <row r="1064" spans="1:22" x14ac:dyDescent="0.3">
      <c r="A1064" t="s">
        <v>2628</v>
      </c>
      <c r="B1064" t="s">
        <v>2629</v>
      </c>
      <c r="C1064" t="s">
        <v>13</v>
      </c>
      <c r="D1064" t="s">
        <v>1500</v>
      </c>
      <c r="E1064" t="s">
        <v>15</v>
      </c>
      <c r="J1064" s="1">
        <v>45470</v>
      </c>
      <c r="K1064">
        <v>614</v>
      </c>
      <c r="L1064" t="s">
        <v>1859</v>
      </c>
      <c r="M1064">
        <v>16</v>
      </c>
      <c r="N1064" t="str">
        <f>VLOOKUP(M1064,[1]LOJA!$A:$B,2,0)</f>
        <v>AG LINDAS</v>
      </c>
      <c r="O1064">
        <v>107</v>
      </c>
      <c r="P1064" t="str">
        <f>VLOOKUP(O1064,[1]OPERADORES!$A:$B,2,0)</f>
        <v>DAIANA PORTELA</v>
      </c>
      <c r="Q1064">
        <v>7</v>
      </c>
      <c r="S1064" t="s">
        <v>2630</v>
      </c>
      <c r="T1064" s="1">
        <v>45470</v>
      </c>
      <c r="U1064">
        <v>-0.12</v>
      </c>
      <c r="V1064">
        <v>-0.12</v>
      </c>
    </row>
    <row r="1065" spans="1:22" x14ac:dyDescent="0.3">
      <c r="A1065" t="s">
        <v>2631</v>
      </c>
      <c r="B1065" t="s">
        <v>2632</v>
      </c>
      <c r="C1065" t="s">
        <v>293</v>
      </c>
      <c r="D1065" t="s">
        <v>5777</v>
      </c>
      <c r="E1065" t="s">
        <v>15</v>
      </c>
      <c r="J1065" s="1">
        <v>45831</v>
      </c>
      <c r="K1065">
        <v>253</v>
      </c>
      <c r="L1065" t="s">
        <v>2633</v>
      </c>
      <c r="M1065">
        <v>22</v>
      </c>
      <c r="N1065" t="str">
        <f>VLOOKUP(M1065,[1]LOJA!$A:$B,2,0)</f>
        <v>GUARÁ</v>
      </c>
      <c r="O1065">
        <v>238</v>
      </c>
      <c r="P1065" t="str">
        <f>VLOOKUP(O1065,[1]OPERADORES!$A:$B,2,0)</f>
        <v>BIANCA</v>
      </c>
      <c r="Q1065">
        <v>4</v>
      </c>
      <c r="S1065" t="s">
        <v>2634</v>
      </c>
      <c r="T1065" s="1">
        <v>45831</v>
      </c>
      <c r="U1065">
        <v>-117.62</v>
      </c>
      <c r="V1065">
        <v>-117.62</v>
      </c>
    </row>
    <row r="1066" spans="1:22" x14ac:dyDescent="0.3">
      <c r="A1066" t="s">
        <v>2631</v>
      </c>
      <c r="B1066" t="s">
        <v>2632</v>
      </c>
      <c r="C1066" t="s">
        <v>293</v>
      </c>
      <c r="D1066" t="s">
        <v>5777</v>
      </c>
      <c r="E1066" t="s">
        <v>15</v>
      </c>
      <c r="J1066" s="1">
        <v>46083</v>
      </c>
      <c r="K1066">
        <v>1</v>
      </c>
      <c r="L1066" t="s">
        <v>5778</v>
      </c>
      <c r="M1066">
        <v>22</v>
      </c>
      <c r="N1066" t="str">
        <f>VLOOKUP(M1066,[1]LOJA!$A:$B,2,0)</f>
        <v>GUARÁ</v>
      </c>
      <c r="O1066">
        <v>93</v>
      </c>
      <c r="P1066" t="str">
        <f>VLOOKUP(O1066,[1]OPERADORES!$A:$B,2,0)</f>
        <v>PATRICIA</v>
      </c>
      <c r="Q1066">
        <v>4</v>
      </c>
      <c r="S1066" t="s">
        <v>5779</v>
      </c>
      <c r="T1066" s="1">
        <v>46083</v>
      </c>
      <c r="U1066">
        <v>-39.5</v>
      </c>
      <c r="V1066">
        <v>-39.5</v>
      </c>
    </row>
    <row r="1067" spans="1:22" x14ac:dyDescent="0.3">
      <c r="A1067" t="s">
        <v>2635</v>
      </c>
      <c r="B1067" t="s">
        <v>2636</v>
      </c>
      <c r="C1067" t="s">
        <v>13</v>
      </c>
      <c r="D1067" t="s">
        <v>2257</v>
      </c>
      <c r="E1067" t="s">
        <v>15</v>
      </c>
      <c r="J1067" s="1">
        <v>45861</v>
      </c>
      <c r="K1067">
        <v>223</v>
      </c>
      <c r="L1067" t="s">
        <v>2277</v>
      </c>
      <c r="M1067">
        <v>24</v>
      </c>
      <c r="N1067" t="str">
        <f>VLOOKUP(M1067,[1]LOJA!$A:$B,2,0)</f>
        <v>LUZIÂNIA</v>
      </c>
      <c r="O1067">
        <v>170</v>
      </c>
      <c r="P1067" t="str">
        <f>VLOOKUP(O1067,[1]OPERADORES!$A:$B,2,0)</f>
        <v>MARIA LUISA</v>
      </c>
      <c r="Q1067">
        <v>4</v>
      </c>
      <c r="S1067" t="s">
        <v>2637</v>
      </c>
      <c r="T1067" s="1">
        <v>45861</v>
      </c>
      <c r="U1067">
        <v>-0.32</v>
      </c>
      <c r="V1067">
        <v>-0.32</v>
      </c>
    </row>
    <row r="1068" spans="1:22" x14ac:dyDescent="0.3">
      <c r="A1068" t="s">
        <v>2638</v>
      </c>
      <c r="B1068" t="s">
        <v>2639</v>
      </c>
      <c r="C1068" t="s">
        <v>755</v>
      </c>
      <c r="D1068" t="s">
        <v>2640</v>
      </c>
      <c r="E1068" t="s">
        <v>15</v>
      </c>
      <c r="J1068" s="1">
        <v>45038</v>
      </c>
      <c r="K1068">
        <v>1046</v>
      </c>
      <c r="L1068" t="s">
        <v>2641</v>
      </c>
      <c r="M1068">
        <v>4</v>
      </c>
      <c r="N1068" t="str">
        <f>VLOOKUP(M1068,[1]LOJA!$A:$B,2,0)</f>
        <v>ADE</v>
      </c>
      <c r="O1068">
        <v>189</v>
      </c>
      <c r="P1068" t="str">
        <f>VLOOKUP(O1068,[1]OPERADORES!$A:$B,2,0)</f>
        <v>CAMILA WILLIANE</v>
      </c>
      <c r="Q1068">
        <v>4</v>
      </c>
      <c r="S1068" t="s">
        <v>2642</v>
      </c>
      <c r="T1068" s="1">
        <v>45033</v>
      </c>
      <c r="U1068">
        <v>-9.9</v>
      </c>
      <c r="V1068">
        <v>-9.9</v>
      </c>
    </row>
    <row r="1069" spans="1:22" x14ac:dyDescent="0.3">
      <c r="A1069" t="s">
        <v>2643</v>
      </c>
      <c r="B1069" t="s">
        <v>2644</v>
      </c>
      <c r="C1069" t="s">
        <v>13</v>
      </c>
      <c r="D1069" t="s">
        <v>2645</v>
      </c>
      <c r="E1069" t="s">
        <v>15</v>
      </c>
      <c r="J1069" s="1">
        <v>45624</v>
      </c>
      <c r="K1069">
        <v>460</v>
      </c>
      <c r="L1069" t="s">
        <v>2646</v>
      </c>
      <c r="M1069">
        <v>14</v>
      </c>
      <c r="N1069" t="str">
        <f>VLOOKUP(M1069,[1]LOJA!$A:$B,2,0)</f>
        <v>S IA</v>
      </c>
      <c r="O1069">
        <v>207</v>
      </c>
      <c r="P1069" t="str">
        <f>VLOOKUP(O1069,[1]OPERADORES!$A:$B,2,0)</f>
        <v>KETILE SABRINE</v>
      </c>
      <c r="Q1069">
        <v>4</v>
      </c>
      <c r="S1069" t="s">
        <v>2647</v>
      </c>
      <c r="T1069" s="1">
        <v>45624</v>
      </c>
      <c r="U1069">
        <v>-4.87</v>
      </c>
      <c r="V1069">
        <v>-4.87</v>
      </c>
    </row>
    <row r="1070" spans="1:22" x14ac:dyDescent="0.3">
      <c r="A1070" t="s">
        <v>2648</v>
      </c>
      <c r="B1070" t="s">
        <v>2649</v>
      </c>
      <c r="C1070" t="s">
        <v>13</v>
      </c>
      <c r="D1070" t="s">
        <v>2650</v>
      </c>
      <c r="E1070" t="s">
        <v>15</v>
      </c>
      <c r="J1070" s="1">
        <v>45868</v>
      </c>
      <c r="K1070">
        <v>216</v>
      </c>
      <c r="L1070" t="s">
        <v>2651</v>
      </c>
      <c r="M1070">
        <v>16</v>
      </c>
      <c r="N1070" t="str">
        <f>VLOOKUP(M1070,[1]LOJA!$A:$B,2,0)</f>
        <v>AG LINDAS</v>
      </c>
      <c r="O1070">
        <v>510</v>
      </c>
      <c r="P1070" t="str">
        <f>VLOOKUP(O1070,[1]OPERADORES!$A:$B,2,0)</f>
        <v>MARCELO FERREIRA</v>
      </c>
      <c r="Q1070">
        <v>4</v>
      </c>
      <c r="S1070" t="s">
        <v>2652</v>
      </c>
      <c r="T1070" s="1">
        <v>45868</v>
      </c>
      <c r="U1070">
        <v>-3.14</v>
      </c>
      <c r="V1070">
        <v>-3.14</v>
      </c>
    </row>
    <row r="1071" spans="1:22" x14ac:dyDescent="0.3">
      <c r="A1071" t="s">
        <v>2648</v>
      </c>
      <c r="B1071" t="s">
        <v>2649</v>
      </c>
      <c r="C1071" t="s">
        <v>13</v>
      </c>
      <c r="D1071" t="s">
        <v>2650</v>
      </c>
      <c r="E1071" t="s">
        <v>15</v>
      </c>
      <c r="J1071" s="1">
        <v>45943</v>
      </c>
      <c r="K1071">
        <v>141</v>
      </c>
      <c r="L1071" t="s">
        <v>383</v>
      </c>
      <c r="M1071">
        <v>16</v>
      </c>
      <c r="N1071" t="str">
        <f>VLOOKUP(M1071,[1]LOJA!$A:$B,2,0)</f>
        <v>AG LINDAS</v>
      </c>
      <c r="O1071">
        <v>107</v>
      </c>
      <c r="P1071" t="str">
        <f>VLOOKUP(O1071,[1]OPERADORES!$A:$B,2,0)</f>
        <v>DAIANA PORTELA</v>
      </c>
      <c r="Q1071">
        <v>7</v>
      </c>
      <c r="S1071" t="s">
        <v>2653</v>
      </c>
      <c r="T1071" s="1">
        <v>45943</v>
      </c>
      <c r="U1071">
        <v>-23.9</v>
      </c>
      <c r="V1071">
        <v>-23.9</v>
      </c>
    </row>
    <row r="1072" spans="1:22" x14ac:dyDescent="0.3">
      <c r="A1072" t="s">
        <v>2654</v>
      </c>
      <c r="B1072" t="s">
        <v>32</v>
      </c>
      <c r="C1072" t="s">
        <v>13</v>
      </c>
      <c r="D1072" t="s">
        <v>2655</v>
      </c>
      <c r="E1072" t="s">
        <v>15</v>
      </c>
      <c r="J1072" s="1">
        <v>45406</v>
      </c>
      <c r="K1072">
        <v>678</v>
      </c>
      <c r="L1072" t="s">
        <v>2656</v>
      </c>
      <c r="M1072">
        <v>9</v>
      </c>
      <c r="N1072" t="str">
        <f>VLOOKUP(M1072,[1]LOJA!$A:$B,2,0)</f>
        <v>ÚNICA</v>
      </c>
      <c r="O1072">
        <v>144</v>
      </c>
      <c r="P1072" t="str">
        <f>VLOOKUP(O1072,[1]OPERADORES!$A:$B,2,0)</f>
        <v>CINTIA DA SILVA CARLOS</v>
      </c>
      <c r="Q1072">
        <v>4</v>
      </c>
      <c r="S1072" t="s">
        <v>2657</v>
      </c>
      <c r="T1072" s="1">
        <v>45406</v>
      </c>
      <c r="U1072">
        <v>-12.45</v>
      </c>
      <c r="V1072">
        <v>-12.45</v>
      </c>
    </row>
    <row r="1073" spans="1:22" x14ac:dyDescent="0.3">
      <c r="A1073" t="s">
        <v>2654</v>
      </c>
      <c r="B1073" t="s">
        <v>32</v>
      </c>
      <c r="C1073" t="s">
        <v>13</v>
      </c>
      <c r="D1073" t="s">
        <v>2655</v>
      </c>
      <c r="E1073" t="s">
        <v>15</v>
      </c>
      <c r="J1073" s="1">
        <v>45532</v>
      </c>
      <c r="K1073">
        <v>552</v>
      </c>
      <c r="L1073" t="s">
        <v>2658</v>
      </c>
      <c r="M1073">
        <v>9</v>
      </c>
      <c r="N1073" t="str">
        <f>VLOOKUP(M1073,[1]LOJA!$A:$B,2,0)</f>
        <v>ÚNICA</v>
      </c>
      <c r="O1073">
        <v>144</v>
      </c>
      <c r="P1073" t="str">
        <f>VLOOKUP(O1073,[1]OPERADORES!$A:$B,2,0)</f>
        <v>CINTIA DA SILVA CARLOS</v>
      </c>
      <c r="Q1073">
        <v>4</v>
      </c>
      <c r="S1073" t="s">
        <v>2657</v>
      </c>
      <c r="T1073" s="1">
        <v>45532</v>
      </c>
      <c r="U1073">
        <v>-75.69</v>
      </c>
      <c r="V1073">
        <v>-75.69</v>
      </c>
    </row>
    <row r="1074" spans="1:22" x14ac:dyDescent="0.3">
      <c r="A1074" t="s">
        <v>2659</v>
      </c>
      <c r="B1074" t="s">
        <v>2660</v>
      </c>
      <c r="C1074" t="s">
        <v>848</v>
      </c>
      <c r="D1074" t="s">
        <v>5780</v>
      </c>
      <c r="E1074" t="s">
        <v>15</v>
      </c>
      <c r="J1074" s="1">
        <v>45887</v>
      </c>
      <c r="K1074">
        <v>197</v>
      </c>
      <c r="L1074" t="s">
        <v>2661</v>
      </c>
      <c r="M1074">
        <v>9</v>
      </c>
      <c r="N1074" t="str">
        <f>VLOOKUP(M1074,[1]LOJA!$A:$B,2,0)</f>
        <v>ÚNICA</v>
      </c>
      <c r="O1074">
        <v>236</v>
      </c>
      <c r="P1074" t="str">
        <f>VLOOKUP(O1074,[1]OPERADORES!$A:$B,2,0)</f>
        <v>DANIEL</v>
      </c>
      <c r="Q1074">
        <v>4</v>
      </c>
      <c r="S1074" t="s">
        <v>2662</v>
      </c>
      <c r="T1074" s="1">
        <v>45887</v>
      </c>
      <c r="U1074">
        <v>-61.08</v>
      </c>
      <c r="V1074">
        <v>-61.08</v>
      </c>
    </row>
    <row r="1075" spans="1:22" x14ac:dyDescent="0.3">
      <c r="A1075" t="s">
        <v>2659</v>
      </c>
      <c r="B1075" t="s">
        <v>2660</v>
      </c>
      <c r="C1075" t="s">
        <v>848</v>
      </c>
      <c r="D1075" t="s">
        <v>5780</v>
      </c>
      <c r="E1075" t="s">
        <v>15</v>
      </c>
      <c r="J1075" s="1">
        <v>46084</v>
      </c>
      <c r="K1075">
        <v>0</v>
      </c>
      <c r="L1075" t="s">
        <v>5781</v>
      </c>
      <c r="M1075">
        <v>24</v>
      </c>
      <c r="N1075" t="str">
        <f>VLOOKUP(M1075,[1]LOJA!$A:$B,2,0)</f>
        <v>LUZIÂNIA</v>
      </c>
      <c r="O1075">
        <v>150</v>
      </c>
      <c r="P1075" t="str">
        <f>VLOOKUP(O1075,[1]OPERADORES!$A:$B,2,0)</f>
        <v>LUZIBERTO GOMES DA SILVA</v>
      </c>
      <c r="Q1075">
        <v>7</v>
      </c>
      <c r="S1075" t="s">
        <v>87</v>
      </c>
      <c r="T1075" s="1">
        <v>46083</v>
      </c>
      <c r="U1075">
        <v>478</v>
      </c>
      <c r="V1075">
        <v>478</v>
      </c>
    </row>
    <row r="1076" spans="1:22" x14ac:dyDescent="0.3">
      <c r="A1076" t="s">
        <v>2663</v>
      </c>
      <c r="B1076" t="s">
        <v>2664</v>
      </c>
      <c r="C1076" t="s">
        <v>13</v>
      </c>
      <c r="D1076" t="s">
        <v>2665</v>
      </c>
      <c r="E1076" t="s">
        <v>15</v>
      </c>
      <c r="J1076" s="1">
        <v>45992</v>
      </c>
      <c r="K1076">
        <v>92</v>
      </c>
      <c r="L1076" t="s">
        <v>2666</v>
      </c>
      <c r="M1076">
        <v>16</v>
      </c>
      <c r="N1076" t="str">
        <f>VLOOKUP(M1076,[1]LOJA!$A:$B,2,0)</f>
        <v>AG LINDAS</v>
      </c>
      <c r="O1076">
        <v>107</v>
      </c>
      <c r="P1076" t="str">
        <f>VLOOKUP(O1076,[1]OPERADORES!$A:$B,2,0)</f>
        <v>DAIANA PORTELA</v>
      </c>
      <c r="Q1076">
        <v>7</v>
      </c>
      <c r="S1076" t="s">
        <v>2667</v>
      </c>
      <c r="T1076" s="1">
        <v>45992</v>
      </c>
      <c r="U1076">
        <v>-0.25</v>
      </c>
      <c r="V1076">
        <v>-0.25</v>
      </c>
    </row>
    <row r="1077" spans="1:22" x14ac:dyDescent="0.3">
      <c r="A1077" t="s">
        <v>2663</v>
      </c>
      <c r="B1077" t="s">
        <v>2664</v>
      </c>
      <c r="C1077" t="s">
        <v>13</v>
      </c>
      <c r="D1077" t="s">
        <v>2665</v>
      </c>
      <c r="E1077" t="s">
        <v>15</v>
      </c>
      <c r="J1077" s="1">
        <v>46042</v>
      </c>
      <c r="K1077">
        <v>42</v>
      </c>
      <c r="L1077" t="s">
        <v>2668</v>
      </c>
      <c r="M1077">
        <v>16</v>
      </c>
      <c r="N1077" t="str">
        <f>VLOOKUP(M1077,[1]LOJA!$A:$B,2,0)</f>
        <v>AG LINDAS</v>
      </c>
      <c r="O1077">
        <v>107</v>
      </c>
      <c r="P1077" t="str">
        <f>VLOOKUP(O1077,[1]OPERADORES!$A:$B,2,0)</f>
        <v>DAIANA PORTELA</v>
      </c>
      <c r="Q1077">
        <v>7</v>
      </c>
      <c r="S1077" t="s">
        <v>2667</v>
      </c>
      <c r="T1077" s="1">
        <v>46042</v>
      </c>
      <c r="U1077">
        <v>-0.4</v>
      </c>
      <c r="V1077">
        <v>-0.4</v>
      </c>
    </row>
    <row r="1078" spans="1:22" x14ac:dyDescent="0.3">
      <c r="A1078" t="s">
        <v>2670</v>
      </c>
      <c r="B1078" t="s">
        <v>2671</v>
      </c>
      <c r="C1078" t="s">
        <v>13</v>
      </c>
      <c r="D1078" t="s">
        <v>5782</v>
      </c>
      <c r="E1078" t="s">
        <v>15</v>
      </c>
      <c r="J1078" s="1">
        <v>46052</v>
      </c>
      <c r="K1078">
        <v>32</v>
      </c>
      <c r="L1078" t="s">
        <v>2672</v>
      </c>
      <c r="M1078">
        <v>13</v>
      </c>
      <c r="N1078" t="str">
        <f>VLOOKUP(M1078,[1]LOJA!$A:$B,2,0)</f>
        <v>CEILÂNDIA</v>
      </c>
      <c r="O1078">
        <v>86</v>
      </c>
      <c r="P1078" t="str">
        <f>VLOOKUP(O1078,[1]OPERADORES!$A:$B,2,0)</f>
        <v>AMANDA</v>
      </c>
      <c r="Q1078">
        <v>7</v>
      </c>
      <c r="S1078" t="s">
        <v>5783</v>
      </c>
      <c r="T1078" s="1">
        <v>46051</v>
      </c>
      <c r="U1078">
        <v>409.9</v>
      </c>
      <c r="V1078">
        <v>409.9</v>
      </c>
    </row>
    <row r="1079" spans="1:22" x14ac:dyDescent="0.3">
      <c r="A1079" t="s">
        <v>2673</v>
      </c>
      <c r="B1079" t="s">
        <v>2674</v>
      </c>
      <c r="C1079" t="s">
        <v>13</v>
      </c>
      <c r="D1079" t="s">
        <v>2675</v>
      </c>
      <c r="E1079" t="s">
        <v>15</v>
      </c>
      <c r="J1079" s="1">
        <v>44888</v>
      </c>
      <c r="K1079">
        <v>1196</v>
      </c>
      <c r="L1079" t="s">
        <v>2676</v>
      </c>
      <c r="M1079">
        <v>4</v>
      </c>
      <c r="N1079" t="str">
        <f>VLOOKUP(M1079,[1]LOJA!$A:$B,2,0)</f>
        <v>ADE</v>
      </c>
      <c r="O1079">
        <v>107</v>
      </c>
      <c r="P1079" t="str">
        <f>VLOOKUP(O1079,[1]OPERADORES!$A:$B,2,0)</f>
        <v>DAIANA PORTELA</v>
      </c>
      <c r="Q1079">
        <v>7</v>
      </c>
      <c r="S1079" t="s">
        <v>2677</v>
      </c>
      <c r="T1079" s="1">
        <v>44888</v>
      </c>
      <c r="U1079">
        <v>-3.51</v>
      </c>
      <c r="V1079">
        <v>-3.51</v>
      </c>
    </row>
    <row r="1080" spans="1:22" x14ac:dyDescent="0.3">
      <c r="A1080" t="s">
        <v>2678</v>
      </c>
      <c r="B1080" t="s">
        <v>2679</v>
      </c>
      <c r="C1080" t="s">
        <v>13</v>
      </c>
      <c r="D1080" t="s">
        <v>2680</v>
      </c>
      <c r="E1080" t="s">
        <v>15</v>
      </c>
      <c r="J1080" s="1">
        <v>45626</v>
      </c>
      <c r="K1080">
        <v>458</v>
      </c>
      <c r="L1080" t="s">
        <v>2681</v>
      </c>
      <c r="M1080">
        <v>6</v>
      </c>
      <c r="N1080" t="str">
        <f>VLOOKUP(M1080,[1]LOJA!$A:$B,2,0)</f>
        <v>GAMA</v>
      </c>
      <c r="O1080">
        <v>185</v>
      </c>
      <c r="P1080" t="str">
        <f>VLOOKUP(O1080,[1]OPERADORES!$A:$B,2,0)</f>
        <v>FELIPE OLIVEIRA PONTE</v>
      </c>
      <c r="Q1080">
        <v>7</v>
      </c>
      <c r="S1080" t="s">
        <v>87</v>
      </c>
      <c r="T1080" s="1">
        <v>45624</v>
      </c>
      <c r="U1080">
        <v>224.78</v>
      </c>
      <c r="V1080">
        <v>224.78</v>
      </c>
    </row>
    <row r="1081" spans="1:22" x14ac:dyDescent="0.3">
      <c r="A1081" t="s">
        <v>2678</v>
      </c>
      <c r="B1081" t="s">
        <v>2679</v>
      </c>
      <c r="C1081" t="s">
        <v>13</v>
      </c>
      <c r="D1081" t="s">
        <v>2680</v>
      </c>
      <c r="E1081" t="s">
        <v>15</v>
      </c>
      <c r="J1081" s="1">
        <v>45626</v>
      </c>
      <c r="K1081">
        <v>458</v>
      </c>
      <c r="L1081" t="s">
        <v>2682</v>
      </c>
      <c r="M1081">
        <v>6</v>
      </c>
      <c r="N1081" t="str">
        <f>VLOOKUP(M1081,[1]LOJA!$A:$B,2,0)</f>
        <v>GAMA</v>
      </c>
      <c r="O1081">
        <v>185</v>
      </c>
      <c r="P1081" t="str">
        <f>VLOOKUP(O1081,[1]OPERADORES!$A:$B,2,0)</f>
        <v>FELIPE OLIVEIRA PONTE</v>
      </c>
      <c r="Q1081">
        <v>7</v>
      </c>
      <c r="S1081" t="s">
        <v>2683</v>
      </c>
      <c r="T1081" s="1">
        <v>45623</v>
      </c>
      <c r="U1081">
        <v>79.06</v>
      </c>
      <c r="V1081">
        <v>79.06</v>
      </c>
    </row>
    <row r="1082" spans="1:22" x14ac:dyDescent="0.3">
      <c r="A1082" t="s">
        <v>2678</v>
      </c>
      <c r="B1082" t="s">
        <v>2679</v>
      </c>
      <c r="C1082" t="s">
        <v>13</v>
      </c>
      <c r="D1082" t="s">
        <v>2680</v>
      </c>
      <c r="E1082" t="s">
        <v>15</v>
      </c>
      <c r="J1082" s="1">
        <v>45641</v>
      </c>
      <c r="K1082">
        <v>443</v>
      </c>
      <c r="L1082" t="s">
        <v>2684</v>
      </c>
      <c r="M1082">
        <v>6</v>
      </c>
      <c r="N1082" t="str">
        <f>VLOOKUP(M1082,[1]LOJA!$A:$B,2,0)</f>
        <v>GAMA</v>
      </c>
      <c r="O1082">
        <v>185</v>
      </c>
      <c r="P1082" t="str">
        <f>VLOOKUP(O1082,[1]OPERADORES!$A:$B,2,0)</f>
        <v>FELIPE OLIVEIRA PONTE</v>
      </c>
      <c r="Q1082">
        <v>7</v>
      </c>
      <c r="S1082" t="s">
        <v>87</v>
      </c>
      <c r="T1082" s="1">
        <v>45631</v>
      </c>
      <c r="U1082">
        <v>95.3</v>
      </c>
      <c r="V1082">
        <v>95.3</v>
      </c>
    </row>
    <row r="1083" spans="1:22" x14ac:dyDescent="0.3">
      <c r="A1083" t="s">
        <v>2678</v>
      </c>
      <c r="B1083" t="s">
        <v>2679</v>
      </c>
      <c r="C1083" t="s">
        <v>13</v>
      </c>
      <c r="D1083" t="s">
        <v>2680</v>
      </c>
      <c r="E1083" t="s">
        <v>15</v>
      </c>
      <c r="J1083" s="1">
        <v>45641</v>
      </c>
      <c r="K1083">
        <v>443</v>
      </c>
      <c r="L1083" t="s">
        <v>2685</v>
      </c>
      <c r="M1083">
        <v>6</v>
      </c>
      <c r="N1083" t="str">
        <f>VLOOKUP(M1083,[1]LOJA!$A:$B,2,0)</f>
        <v>GAMA</v>
      </c>
      <c r="O1083">
        <v>185</v>
      </c>
      <c r="P1083" t="str">
        <f>VLOOKUP(O1083,[1]OPERADORES!$A:$B,2,0)</f>
        <v>FELIPE OLIVEIRA PONTE</v>
      </c>
      <c r="Q1083">
        <v>7</v>
      </c>
      <c r="S1083" t="s">
        <v>87</v>
      </c>
      <c r="T1083" s="1">
        <v>45632</v>
      </c>
      <c r="U1083">
        <v>130</v>
      </c>
      <c r="V1083">
        <v>130</v>
      </c>
    </row>
    <row r="1084" spans="1:22" x14ac:dyDescent="0.3">
      <c r="A1084" t="s">
        <v>2678</v>
      </c>
      <c r="B1084" t="s">
        <v>2679</v>
      </c>
      <c r="C1084" t="s">
        <v>13</v>
      </c>
      <c r="D1084" t="s">
        <v>2680</v>
      </c>
      <c r="E1084" t="s">
        <v>15</v>
      </c>
      <c r="J1084" s="1">
        <v>45641</v>
      </c>
      <c r="K1084">
        <v>443</v>
      </c>
      <c r="L1084" t="s">
        <v>2686</v>
      </c>
      <c r="M1084">
        <v>6</v>
      </c>
      <c r="N1084" t="str">
        <f>VLOOKUP(M1084,[1]LOJA!$A:$B,2,0)</f>
        <v>GAMA</v>
      </c>
      <c r="O1084">
        <v>233</v>
      </c>
      <c r="P1084" t="str">
        <f>VLOOKUP(O1084,[1]OPERADORES!$A:$B,2,0)</f>
        <v>MARCELO MENEZES</v>
      </c>
      <c r="Q1084">
        <v>7</v>
      </c>
      <c r="S1084" t="s">
        <v>87</v>
      </c>
      <c r="T1084" s="1">
        <v>45632</v>
      </c>
      <c r="U1084">
        <v>33</v>
      </c>
      <c r="V1084">
        <v>33</v>
      </c>
    </row>
    <row r="1085" spans="1:22" x14ac:dyDescent="0.3">
      <c r="A1085" t="s">
        <v>2678</v>
      </c>
      <c r="B1085" t="s">
        <v>2679</v>
      </c>
      <c r="C1085" t="s">
        <v>13</v>
      </c>
      <c r="D1085" t="s">
        <v>2680</v>
      </c>
      <c r="E1085" t="s">
        <v>15</v>
      </c>
      <c r="J1085" s="1">
        <v>45641</v>
      </c>
      <c r="K1085">
        <v>443</v>
      </c>
      <c r="L1085" t="s">
        <v>2687</v>
      </c>
      <c r="M1085">
        <v>6</v>
      </c>
      <c r="N1085" t="str">
        <f>VLOOKUP(M1085,[1]LOJA!$A:$B,2,0)</f>
        <v>GAMA</v>
      </c>
      <c r="O1085">
        <v>185</v>
      </c>
      <c r="P1085" t="str">
        <f>VLOOKUP(O1085,[1]OPERADORES!$A:$B,2,0)</f>
        <v>FELIPE OLIVEIRA PONTE</v>
      </c>
      <c r="Q1085">
        <v>7</v>
      </c>
      <c r="S1085" t="s">
        <v>87</v>
      </c>
      <c r="T1085" s="1">
        <v>45633</v>
      </c>
      <c r="U1085">
        <v>195</v>
      </c>
      <c r="V1085">
        <v>195</v>
      </c>
    </row>
    <row r="1086" spans="1:22" x14ac:dyDescent="0.3">
      <c r="A1086" t="s">
        <v>2678</v>
      </c>
      <c r="B1086" t="s">
        <v>2679</v>
      </c>
      <c r="C1086" t="s">
        <v>13</v>
      </c>
      <c r="D1086" t="s">
        <v>2680</v>
      </c>
      <c r="E1086" t="s">
        <v>15</v>
      </c>
      <c r="J1086" s="1">
        <v>45641</v>
      </c>
      <c r="K1086">
        <v>443</v>
      </c>
      <c r="L1086" t="s">
        <v>2688</v>
      </c>
      <c r="M1086">
        <v>6</v>
      </c>
      <c r="N1086" t="str">
        <f>VLOOKUP(M1086,[1]LOJA!$A:$B,2,0)</f>
        <v>GAMA</v>
      </c>
      <c r="O1086">
        <v>185</v>
      </c>
      <c r="P1086" t="str">
        <f>VLOOKUP(O1086,[1]OPERADORES!$A:$B,2,0)</f>
        <v>FELIPE OLIVEIRA PONTE</v>
      </c>
      <c r="Q1086">
        <v>7</v>
      </c>
      <c r="S1086" t="s">
        <v>87</v>
      </c>
      <c r="T1086" s="1">
        <v>45639</v>
      </c>
      <c r="U1086">
        <v>75</v>
      </c>
      <c r="V1086">
        <v>75</v>
      </c>
    </row>
    <row r="1087" spans="1:22" x14ac:dyDescent="0.3">
      <c r="A1087" t="s">
        <v>2678</v>
      </c>
      <c r="B1087" t="s">
        <v>2679</v>
      </c>
      <c r="C1087" t="s">
        <v>13</v>
      </c>
      <c r="D1087" t="s">
        <v>2680</v>
      </c>
      <c r="E1087" t="s">
        <v>15</v>
      </c>
      <c r="J1087" s="1">
        <v>45641</v>
      </c>
      <c r="K1087">
        <v>443</v>
      </c>
      <c r="L1087" t="s">
        <v>2689</v>
      </c>
      <c r="M1087">
        <v>6</v>
      </c>
      <c r="N1087" t="str">
        <f>VLOOKUP(M1087,[1]LOJA!$A:$B,2,0)</f>
        <v>GAMA</v>
      </c>
      <c r="O1087">
        <v>185</v>
      </c>
      <c r="P1087" t="str">
        <f>VLOOKUP(O1087,[1]OPERADORES!$A:$B,2,0)</f>
        <v>FELIPE OLIVEIRA PONTE</v>
      </c>
      <c r="Q1087">
        <v>7</v>
      </c>
      <c r="S1087" t="s">
        <v>2690</v>
      </c>
      <c r="T1087" s="1">
        <v>45630</v>
      </c>
      <c r="U1087">
        <v>722.73</v>
      </c>
      <c r="V1087">
        <v>722.73</v>
      </c>
    </row>
    <row r="1088" spans="1:22" x14ac:dyDescent="0.3">
      <c r="A1088" t="s">
        <v>2678</v>
      </c>
      <c r="B1088" t="s">
        <v>2679</v>
      </c>
      <c r="C1088" t="s">
        <v>13</v>
      </c>
      <c r="D1088" t="s">
        <v>2680</v>
      </c>
      <c r="E1088" t="s">
        <v>15</v>
      </c>
      <c r="J1088" s="1">
        <v>45923</v>
      </c>
      <c r="K1088">
        <v>161</v>
      </c>
      <c r="L1088" t="s">
        <v>2691</v>
      </c>
      <c r="M1088">
        <v>6</v>
      </c>
      <c r="N1088" t="str">
        <f>VLOOKUP(M1088,[1]LOJA!$A:$B,2,0)</f>
        <v>GAMA</v>
      </c>
      <c r="O1088">
        <v>245</v>
      </c>
      <c r="P1088" t="str">
        <f>VLOOKUP(O1088,[1]OPERADORES!$A:$B,2,0)</f>
        <v>JOÃO PEDRO</v>
      </c>
      <c r="Q1088">
        <v>4</v>
      </c>
      <c r="S1088" t="s">
        <v>2692</v>
      </c>
      <c r="T1088" s="1">
        <v>45923</v>
      </c>
      <c r="U1088">
        <v>-0.18</v>
      </c>
      <c r="V1088">
        <v>-0.18</v>
      </c>
    </row>
    <row r="1089" spans="1:22" x14ac:dyDescent="0.3">
      <c r="A1089" t="s">
        <v>2678</v>
      </c>
      <c r="B1089" t="s">
        <v>2679</v>
      </c>
      <c r="C1089" t="s">
        <v>13</v>
      </c>
      <c r="D1089" t="s">
        <v>2680</v>
      </c>
      <c r="E1089" t="s">
        <v>15</v>
      </c>
      <c r="J1089" s="1">
        <v>45992</v>
      </c>
      <c r="K1089">
        <v>92</v>
      </c>
      <c r="L1089" t="s">
        <v>2693</v>
      </c>
      <c r="M1089">
        <v>6</v>
      </c>
      <c r="N1089" t="str">
        <f>VLOOKUP(M1089,[1]LOJA!$A:$B,2,0)</f>
        <v>GAMA</v>
      </c>
      <c r="O1089">
        <v>246</v>
      </c>
      <c r="P1089" t="str">
        <f>VLOOKUP(O1089,[1]OPERADORES!$A:$B,2,0)</f>
        <v>VITORIA APARECIDA</v>
      </c>
      <c r="Q1089">
        <v>4</v>
      </c>
      <c r="S1089" t="s">
        <v>2694</v>
      </c>
      <c r="T1089" s="1">
        <v>45992</v>
      </c>
      <c r="U1089">
        <v>-2</v>
      </c>
      <c r="V1089">
        <v>-2</v>
      </c>
    </row>
    <row r="1090" spans="1:22" x14ac:dyDescent="0.3">
      <c r="A1090" t="s">
        <v>2695</v>
      </c>
      <c r="B1090" t="s">
        <v>32</v>
      </c>
      <c r="C1090" t="s">
        <v>700</v>
      </c>
      <c r="D1090" t="s">
        <v>2696</v>
      </c>
      <c r="E1090" t="s">
        <v>15</v>
      </c>
      <c r="J1090" s="1">
        <v>44767</v>
      </c>
      <c r="K1090">
        <v>1317</v>
      </c>
      <c r="L1090" t="s">
        <v>2697</v>
      </c>
      <c r="M1090">
        <v>13</v>
      </c>
      <c r="N1090" t="str">
        <f>VLOOKUP(M1090,[1]LOJA!$A:$B,2,0)</f>
        <v>CEILÂNDIA</v>
      </c>
      <c r="O1090">
        <v>20</v>
      </c>
      <c r="P1090" t="str">
        <f>VLOOKUP(O1090,[1]OPERADORES!$A:$B,2,0)</f>
        <v>MAYARA</v>
      </c>
      <c r="Q1090">
        <v>12</v>
      </c>
      <c r="S1090" t="s">
        <v>2698</v>
      </c>
      <c r="T1090" s="1">
        <v>44746</v>
      </c>
      <c r="U1090" s="2">
        <v>1721.6</v>
      </c>
      <c r="V1090" s="2">
        <v>1721.6</v>
      </c>
    </row>
    <row r="1091" spans="1:22" x14ac:dyDescent="0.3">
      <c r="A1091" t="s">
        <v>2695</v>
      </c>
      <c r="B1091" t="s">
        <v>32</v>
      </c>
      <c r="C1091" t="s">
        <v>700</v>
      </c>
      <c r="D1091" t="s">
        <v>2696</v>
      </c>
      <c r="E1091" t="s">
        <v>15</v>
      </c>
      <c r="J1091" s="1">
        <v>44798</v>
      </c>
      <c r="K1091">
        <v>1286</v>
      </c>
      <c r="L1091" t="s">
        <v>2699</v>
      </c>
      <c r="M1091">
        <v>13</v>
      </c>
      <c r="N1091" t="str">
        <f>VLOOKUP(M1091,[1]LOJA!$A:$B,2,0)</f>
        <v>CEILÂNDIA</v>
      </c>
      <c r="O1091">
        <v>20</v>
      </c>
      <c r="P1091" t="str">
        <f>VLOOKUP(O1091,[1]OPERADORES!$A:$B,2,0)</f>
        <v>MAYARA</v>
      </c>
      <c r="Q1091">
        <v>12</v>
      </c>
      <c r="S1091" t="s">
        <v>2700</v>
      </c>
      <c r="T1091" s="1">
        <v>44775</v>
      </c>
      <c r="U1091" s="2">
        <v>4755.4799999999996</v>
      </c>
      <c r="V1091" s="2">
        <v>4755.4799999999996</v>
      </c>
    </row>
    <row r="1092" spans="1:22" x14ac:dyDescent="0.3">
      <c r="A1092" t="s">
        <v>2695</v>
      </c>
      <c r="B1092" t="s">
        <v>32</v>
      </c>
      <c r="C1092" t="s">
        <v>700</v>
      </c>
      <c r="D1092" t="s">
        <v>2696</v>
      </c>
      <c r="E1092" t="s">
        <v>15</v>
      </c>
      <c r="J1092" s="1">
        <v>46084</v>
      </c>
      <c r="K1092">
        <v>0</v>
      </c>
      <c r="L1092" t="s">
        <v>5784</v>
      </c>
      <c r="M1092">
        <v>13</v>
      </c>
      <c r="N1092" t="str">
        <f>VLOOKUP(M1092,[1]LOJA!$A:$B,2,0)</f>
        <v>CEILÂNDIA</v>
      </c>
      <c r="O1092">
        <v>67</v>
      </c>
      <c r="P1092" t="str">
        <f>VLOOKUP(O1092,[1]OPERADORES!$A:$B,2,0)</f>
        <v>ERIKA</v>
      </c>
      <c r="Q1092">
        <v>10</v>
      </c>
      <c r="S1092" t="s">
        <v>5785</v>
      </c>
      <c r="T1092" s="1">
        <v>46084</v>
      </c>
      <c r="U1092">
        <v>-1.99</v>
      </c>
      <c r="V1092">
        <v>-1.99</v>
      </c>
    </row>
    <row r="1093" spans="1:22" x14ac:dyDescent="0.3">
      <c r="A1093" t="s">
        <v>2701</v>
      </c>
      <c r="B1093" t="s">
        <v>232</v>
      </c>
      <c r="C1093" t="s">
        <v>13</v>
      </c>
      <c r="D1093" t="s">
        <v>2586</v>
      </c>
      <c r="E1093" t="s">
        <v>15</v>
      </c>
      <c r="J1093" s="1">
        <v>44336</v>
      </c>
      <c r="K1093">
        <v>1748</v>
      </c>
      <c r="L1093" t="s">
        <v>2702</v>
      </c>
      <c r="M1093">
        <v>13</v>
      </c>
      <c r="N1093" t="str">
        <f>VLOOKUP(M1093,[1]LOJA!$A:$B,2,0)</f>
        <v>CEILÂNDIA</v>
      </c>
      <c r="O1093">
        <v>67</v>
      </c>
      <c r="P1093" t="str">
        <f>VLOOKUP(O1093,[1]OPERADORES!$A:$B,2,0)</f>
        <v>ERIKA</v>
      </c>
      <c r="Q1093">
        <v>4</v>
      </c>
      <c r="S1093" t="s">
        <v>142</v>
      </c>
      <c r="T1093" s="1">
        <v>44336</v>
      </c>
      <c r="U1093">
        <v>-7</v>
      </c>
      <c r="V1093">
        <v>-7</v>
      </c>
    </row>
    <row r="1094" spans="1:22" x14ac:dyDescent="0.3">
      <c r="A1094" t="s">
        <v>2703</v>
      </c>
      <c r="B1094" t="s">
        <v>2704</v>
      </c>
      <c r="C1094" t="s">
        <v>13</v>
      </c>
      <c r="D1094" t="s">
        <v>5786</v>
      </c>
      <c r="E1094" t="s">
        <v>15</v>
      </c>
      <c r="J1094" s="1">
        <v>46062</v>
      </c>
      <c r="K1094">
        <v>22</v>
      </c>
      <c r="L1094" t="s">
        <v>2705</v>
      </c>
      <c r="M1094">
        <v>24</v>
      </c>
      <c r="N1094" t="str">
        <f>VLOOKUP(M1094,[1]LOJA!$A:$B,2,0)</f>
        <v>LUZIÂNIA</v>
      </c>
      <c r="O1094">
        <v>244</v>
      </c>
      <c r="P1094" t="str">
        <f>VLOOKUP(O1094,[1]OPERADORES!$A:$B,2,0)</f>
        <v>NATHALIA PEREIRA DA SILVA</v>
      </c>
      <c r="Q1094">
        <v>4</v>
      </c>
      <c r="S1094" t="s">
        <v>5787</v>
      </c>
      <c r="T1094" s="1">
        <v>46062</v>
      </c>
      <c r="U1094">
        <v>-19.12</v>
      </c>
      <c r="V1094">
        <v>-19.12</v>
      </c>
    </row>
    <row r="1095" spans="1:22" x14ac:dyDescent="0.3">
      <c r="A1095" t="s">
        <v>2706</v>
      </c>
      <c r="B1095" t="s">
        <v>2707</v>
      </c>
      <c r="C1095" t="s">
        <v>13</v>
      </c>
      <c r="D1095" t="s">
        <v>5788</v>
      </c>
      <c r="E1095" t="s">
        <v>15</v>
      </c>
      <c r="J1095" s="1">
        <v>46061</v>
      </c>
      <c r="K1095">
        <v>23</v>
      </c>
      <c r="L1095" t="s">
        <v>2708</v>
      </c>
      <c r="M1095">
        <v>4</v>
      </c>
      <c r="N1095" t="str">
        <f>VLOOKUP(M1095,[1]LOJA!$A:$B,2,0)</f>
        <v>ADE</v>
      </c>
      <c r="O1095">
        <v>132</v>
      </c>
      <c r="P1095" t="str">
        <f>VLOOKUP(O1095,[1]OPERADORES!$A:$B,2,0)</f>
        <v>PAMELA GONÇALVES ROSA</v>
      </c>
      <c r="Q1095">
        <v>7</v>
      </c>
      <c r="S1095" t="s">
        <v>5789</v>
      </c>
      <c r="T1095" s="1">
        <v>46031</v>
      </c>
      <c r="U1095">
        <v>200.54</v>
      </c>
      <c r="V1095">
        <v>200.54</v>
      </c>
    </row>
    <row r="1096" spans="1:22" x14ac:dyDescent="0.3">
      <c r="A1096" t="s">
        <v>5790</v>
      </c>
      <c r="B1096" t="s">
        <v>5791</v>
      </c>
      <c r="C1096" t="s">
        <v>13</v>
      </c>
      <c r="D1096" t="s">
        <v>5792</v>
      </c>
      <c r="E1096" t="s">
        <v>15</v>
      </c>
      <c r="J1096" s="1">
        <v>46084</v>
      </c>
      <c r="K1096">
        <v>0</v>
      </c>
      <c r="L1096" t="s">
        <v>5793</v>
      </c>
      <c r="M1096">
        <v>14</v>
      </c>
      <c r="N1096" t="str">
        <f>VLOOKUP(M1096,[1]LOJA!$A:$B,2,0)</f>
        <v>S IA</v>
      </c>
      <c r="O1096">
        <v>54</v>
      </c>
      <c r="P1096" t="str">
        <f>VLOOKUP(O1096,[1]OPERADORES!$A:$B,2,0)</f>
        <v>ROBSON</v>
      </c>
      <c r="Q1096">
        <v>7</v>
      </c>
      <c r="S1096" t="s">
        <v>87</v>
      </c>
      <c r="T1096" s="1">
        <v>46083</v>
      </c>
      <c r="U1096" s="2">
        <v>1954.54</v>
      </c>
      <c r="V1096" s="2">
        <v>1954.54</v>
      </c>
    </row>
    <row r="1097" spans="1:22" x14ac:dyDescent="0.3">
      <c r="A1097" t="s">
        <v>2709</v>
      </c>
      <c r="B1097" t="s">
        <v>2710</v>
      </c>
      <c r="C1097" t="s">
        <v>13</v>
      </c>
      <c r="D1097" t="s">
        <v>316</v>
      </c>
      <c r="E1097" t="s">
        <v>15</v>
      </c>
      <c r="J1097" s="1">
        <v>45229</v>
      </c>
      <c r="K1097">
        <v>855</v>
      </c>
      <c r="L1097" t="s">
        <v>947</v>
      </c>
      <c r="M1097">
        <v>9</v>
      </c>
      <c r="N1097" t="str">
        <f>VLOOKUP(M1097,[1]LOJA!$A:$B,2,0)</f>
        <v>ÚNICA</v>
      </c>
      <c r="O1097">
        <v>84</v>
      </c>
      <c r="P1097" t="str">
        <f>VLOOKUP(O1097,[1]OPERADORES!$A:$B,2,0)</f>
        <v>JEICY AZEVEDO</v>
      </c>
      <c r="Q1097">
        <v>4</v>
      </c>
      <c r="S1097" t="s">
        <v>2711</v>
      </c>
      <c r="T1097" s="1">
        <v>45229</v>
      </c>
      <c r="U1097">
        <v>-10</v>
      </c>
      <c r="V1097">
        <v>-10</v>
      </c>
    </row>
    <row r="1098" spans="1:22" x14ac:dyDescent="0.3">
      <c r="A1098" t="s">
        <v>2712</v>
      </c>
      <c r="B1098" t="s">
        <v>2713</v>
      </c>
      <c r="C1098" t="s">
        <v>13</v>
      </c>
      <c r="D1098" t="s">
        <v>2714</v>
      </c>
      <c r="E1098" t="s">
        <v>15</v>
      </c>
      <c r="J1098" s="1">
        <v>45064</v>
      </c>
      <c r="K1098">
        <v>1020</v>
      </c>
      <c r="L1098" t="s">
        <v>2715</v>
      </c>
      <c r="M1098">
        <v>9</v>
      </c>
      <c r="N1098" t="str">
        <f>VLOOKUP(M1098,[1]LOJA!$A:$B,2,0)</f>
        <v>ÚNICA</v>
      </c>
      <c r="O1098">
        <v>6</v>
      </c>
      <c r="P1098" t="str">
        <f>VLOOKUP(O1098,[1]OPERADORES!$A:$B,2,0)</f>
        <v>SUZANA</v>
      </c>
      <c r="Q1098">
        <v>23</v>
      </c>
      <c r="R1098">
        <v>37402</v>
      </c>
      <c r="S1098" t="s">
        <v>2716</v>
      </c>
      <c r="T1098" s="1">
        <v>45015</v>
      </c>
      <c r="U1098">
        <v>525.83000000000004</v>
      </c>
      <c r="V1098">
        <v>525.83000000000004</v>
      </c>
    </row>
    <row r="1099" spans="1:22" x14ac:dyDescent="0.3">
      <c r="A1099" t="s">
        <v>2712</v>
      </c>
      <c r="B1099" t="s">
        <v>2713</v>
      </c>
      <c r="C1099" t="s">
        <v>13</v>
      </c>
      <c r="D1099" t="s">
        <v>2714</v>
      </c>
      <c r="E1099" t="s">
        <v>15</v>
      </c>
      <c r="J1099" s="1">
        <v>45068</v>
      </c>
      <c r="K1099">
        <v>1016</v>
      </c>
      <c r="L1099" t="s">
        <v>2717</v>
      </c>
      <c r="M1099">
        <v>9</v>
      </c>
      <c r="N1099" t="str">
        <f>VLOOKUP(M1099,[1]LOJA!$A:$B,2,0)</f>
        <v>ÚNICA</v>
      </c>
      <c r="O1099">
        <v>6</v>
      </c>
      <c r="P1099" t="str">
        <f>VLOOKUP(O1099,[1]OPERADORES!$A:$B,2,0)</f>
        <v>SUZANA</v>
      </c>
      <c r="Q1099">
        <v>23</v>
      </c>
      <c r="R1099">
        <v>37881</v>
      </c>
      <c r="S1099" t="s">
        <v>1295</v>
      </c>
      <c r="T1099" s="1">
        <v>45026</v>
      </c>
      <c r="U1099">
        <v>492.4</v>
      </c>
      <c r="V1099">
        <v>492.4</v>
      </c>
    </row>
    <row r="1100" spans="1:22" x14ac:dyDescent="0.3">
      <c r="A1100" t="s">
        <v>2712</v>
      </c>
      <c r="B1100" t="s">
        <v>2713</v>
      </c>
      <c r="C1100" t="s">
        <v>13</v>
      </c>
      <c r="D1100" t="s">
        <v>2714</v>
      </c>
      <c r="E1100" t="s">
        <v>15</v>
      </c>
      <c r="J1100" s="1">
        <v>45071</v>
      </c>
      <c r="K1100">
        <v>1013</v>
      </c>
      <c r="L1100" t="s">
        <v>2718</v>
      </c>
      <c r="M1100">
        <v>9</v>
      </c>
      <c r="N1100" t="str">
        <f>VLOOKUP(M1100,[1]LOJA!$A:$B,2,0)</f>
        <v>ÚNICA</v>
      </c>
      <c r="O1100">
        <v>6</v>
      </c>
      <c r="P1100" t="str">
        <f>VLOOKUP(O1100,[1]OPERADORES!$A:$B,2,0)</f>
        <v>SUZANA</v>
      </c>
      <c r="Q1100">
        <v>23</v>
      </c>
      <c r="R1100">
        <v>37410</v>
      </c>
      <c r="S1100" t="s">
        <v>2719</v>
      </c>
      <c r="T1100" s="1">
        <v>45015</v>
      </c>
      <c r="U1100">
        <v>650.16</v>
      </c>
      <c r="V1100">
        <v>650.16</v>
      </c>
    </row>
    <row r="1101" spans="1:22" x14ac:dyDescent="0.3">
      <c r="A1101" t="s">
        <v>2712</v>
      </c>
      <c r="B1101" t="s">
        <v>2713</v>
      </c>
      <c r="C1101" t="s">
        <v>13</v>
      </c>
      <c r="D1101" t="s">
        <v>2714</v>
      </c>
      <c r="E1101" t="s">
        <v>15</v>
      </c>
      <c r="J1101" s="1">
        <v>45082</v>
      </c>
      <c r="K1101">
        <v>1002</v>
      </c>
      <c r="L1101" t="s">
        <v>2720</v>
      </c>
      <c r="M1101">
        <v>9</v>
      </c>
      <c r="N1101" t="str">
        <f>VLOOKUP(M1101,[1]LOJA!$A:$B,2,0)</f>
        <v>ÚNICA</v>
      </c>
      <c r="O1101">
        <v>6</v>
      </c>
      <c r="P1101" t="str">
        <f>VLOOKUP(O1101,[1]OPERADORES!$A:$B,2,0)</f>
        <v>SUZANA</v>
      </c>
      <c r="Q1101">
        <v>23</v>
      </c>
      <c r="R1101">
        <v>37899</v>
      </c>
      <c r="S1101" t="s">
        <v>1305</v>
      </c>
      <c r="T1101" s="1">
        <v>45026</v>
      </c>
      <c r="U1101">
        <v>492.4</v>
      </c>
      <c r="V1101">
        <v>492.4</v>
      </c>
    </row>
    <row r="1102" spans="1:22" x14ac:dyDescent="0.3">
      <c r="A1102" t="s">
        <v>2712</v>
      </c>
      <c r="B1102" t="s">
        <v>2713</v>
      </c>
      <c r="C1102" t="s">
        <v>13</v>
      </c>
      <c r="D1102" t="s">
        <v>2714</v>
      </c>
      <c r="E1102" t="s">
        <v>15</v>
      </c>
      <c r="J1102" s="1">
        <v>45098</v>
      </c>
      <c r="K1102">
        <v>986</v>
      </c>
      <c r="L1102" t="s">
        <v>2721</v>
      </c>
      <c r="M1102">
        <v>9</v>
      </c>
      <c r="N1102" t="str">
        <f>VLOOKUP(M1102,[1]LOJA!$A:$B,2,0)</f>
        <v>ÚNICA</v>
      </c>
      <c r="O1102">
        <v>6</v>
      </c>
      <c r="P1102" t="str">
        <f>VLOOKUP(O1102,[1]OPERADORES!$A:$B,2,0)</f>
        <v>SUZANA</v>
      </c>
      <c r="Q1102">
        <v>23</v>
      </c>
      <c r="R1102">
        <v>37907</v>
      </c>
      <c r="S1102" t="s">
        <v>1145</v>
      </c>
      <c r="T1102" s="1">
        <v>45026</v>
      </c>
      <c r="U1102">
        <v>492.4</v>
      </c>
      <c r="V1102">
        <v>492.4</v>
      </c>
    </row>
    <row r="1103" spans="1:22" x14ac:dyDescent="0.3">
      <c r="A1103" t="s">
        <v>2722</v>
      </c>
      <c r="B1103" t="s">
        <v>2723</v>
      </c>
      <c r="C1103" t="s">
        <v>13</v>
      </c>
      <c r="D1103" t="s">
        <v>2724</v>
      </c>
      <c r="E1103" t="s">
        <v>15</v>
      </c>
      <c r="J1103" s="1">
        <v>45236</v>
      </c>
      <c r="K1103">
        <v>848</v>
      </c>
      <c r="L1103" t="s">
        <v>2725</v>
      </c>
      <c r="M1103">
        <v>14</v>
      </c>
      <c r="N1103" t="str">
        <f>VLOOKUP(M1103,[1]LOJA!$A:$B,2,0)</f>
        <v>S IA</v>
      </c>
      <c r="O1103">
        <v>144</v>
      </c>
      <c r="P1103" t="str">
        <f>VLOOKUP(O1103,[1]OPERADORES!$A:$B,2,0)</f>
        <v>CINTIA DA SILVA CARLOS</v>
      </c>
      <c r="Q1103">
        <v>4</v>
      </c>
      <c r="S1103" t="s">
        <v>2726</v>
      </c>
      <c r="T1103" s="1">
        <v>45236</v>
      </c>
      <c r="U1103">
        <v>-2.1</v>
      </c>
      <c r="V1103">
        <v>-2.1</v>
      </c>
    </row>
    <row r="1104" spans="1:22" x14ac:dyDescent="0.3">
      <c r="A1104" t="s">
        <v>2722</v>
      </c>
      <c r="B1104" t="s">
        <v>2723</v>
      </c>
      <c r="C1104" t="s">
        <v>13</v>
      </c>
      <c r="D1104" t="s">
        <v>2724</v>
      </c>
      <c r="E1104" t="s">
        <v>15</v>
      </c>
      <c r="J1104" s="1">
        <v>45296</v>
      </c>
      <c r="K1104">
        <v>788</v>
      </c>
      <c r="L1104" t="s">
        <v>2727</v>
      </c>
      <c r="M1104">
        <v>14</v>
      </c>
      <c r="N1104" t="str">
        <f>VLOOKUP(M1104,[1]LOJA!$A:$B,2,0)</f>
        <v>S IA</v>
      </c>
      <c r="O1104">
        <v>16</v>
      </c>
      <c r="P1104" t="str">
        <f>VLOOKUP(O1104,[1]OPERADORES!$A:$B,2,0)</f>
        <v>AYSLAN</v>
      </c>
      <c r="Q1104">
        <v>7</v>
      </c>
      <c r="S1104" t="s">
        <v>2728</v>
      </c>
      <c r="T1104" s="1">
        <v>45295</v>
      </c>
      <c r="U1104">
        <v>245.27</v>
      </c>
      <c r="V1104">
        <v>245.27</v>
      </c>
    </row>
    <row r="1105" spans="1:22" x14ac:dyDescent="0.3">
      <c r="A1105" t="s">
        <v>2729</v>
      </c>
      <c r="B1105" t="s">
        <v>2730</v>
      </c>
      <c r="C1105" t="s">
        <v>13</v>
      </c>
      <c r="D1105" t="s">
        <v>2731</v>
      </c>
      <c r="E1105" t="s">
        <v>15</v>
      </c>
      <c r="J1105" s="1">
        <v>44494</v>
      </c>
      <c r="K1105">
        <v>1590</v>
      </c>
      <c r="L1105" t="s">
        <v>2732</v>
      </c>
      <c r="M1105">
        <v>1</v>
      </c>
      <c r="N1105" t="str">
        <f>VLOOKUP(M1105,[1]LOJA!$A:$B,2,0)</f>
        <v>GUARÁ</v>
      </c>
      <c r="O1105">
        <v>132</v>
      </c>
      <c r="P1105" t="str">
        <f>VLOOKUP(O1105,[1]OPERADORES!$A:$B,2,0)</f>
        <v>PAMELA GONÇALVES ROSA</v>
      </c>
      <c r="Q1105">
        <v>4</v>
      </c>
      <c r="S1105" t="s">
        <v>2733</v>
      </c>
      <c r="T1105" s="1">
        <v>44494</v>
      </c>
      <c r="U1105">
        <v>-0.4</v>
      </c>
      <c r="V1105">
        <v>-0.4</v>
      </c>
    </row>
    <row r="1106" spans="1:22" x14ac:dyDescent="0.3">
      <c r="A1106" t="s">
        <v>2729</v>
      </c>
      <c r="B1106" t="s">
        <v>2730</v>
      </c>
      <c r="C1106" t="s">
        <v>13</v>
      </c>
      <c r="D1106" t="s">
        <v>2731</v>
      </c>
      <c r="E1106" t="s">
        <v>15</v>
      </c>
      <c r="J1106" s="1">
        <v>44896</v>
      </c>
      <c r="K1106">
        <v>1188</v>
      </c>
      <c r="L1106" t="s">
        <v>2734</v>
      </c>
      <c r="M1106">
        <v>1</v>
      </c>
      <c r="N1106" t="str">
        <f>VLOOKUP(M1106,[1]LOJA!$A:$B,2,0)</f>
        <v>GUARÁ</v>
      </c>
      <c r="O1106">
        <v>28</v>
      </c>
      <c r="P1106" t="str">
        <f>VLOOKUP(O1106,[1]OPERADORES!$A:$B,2,0)</f>
        <v>GABRIELA</v>
      </c>
      <c r="Q1106">
        <v>4</v>
      </c>
      <c r="S1106" t="s">
        <v>2735</v>
      </c>
      <c r="T1106" s="1">
        <v>44896</v>
      </c>
      <c r="U1106">
        <v>-66</v>
      </c>
      <c r="V1106">
        <v>-66</v>
      </c>
    </row>
    <row r="1107" spans="1:22" x14ac:dyDescent="0.3">
      <c r="A1107" t="s">
        <v>2736</v>
      </c>
      <c r="B1107" t="s">
        <v>2737</v>
      </c>
      <c r="C1107" t="s">
        <v>2738</v>
      </c>
      <c r="D1107" t="s">
        <v>5794</v>
      </c>
      <c r="E1107" t="s">
        <v>15</v>
      </c>
      <c r="J1107" s="1">
        <v>45011</v>
      </c>
      <c r="K1107">
        <v>1073</v>
      </c>
      <c r="L1107" t="s">
        <v>2739</v>
      </c>
      <c r="M1107">
        <v>8</v>
      </c>
      <c r="N1107" t="str">
        <f>VLOOKUP(M1107,[1]LOJA!$A:$B,2,0)</f>
        <v>LUZIÂNIA</v>
      </c>
      <c r="O1107">
        <v>84</v>
      </c>
      <c r="P1107" t="str">
        <f>VLOOKUP(O1107,[1]OPERADORES!$A:$B,2,0)</f>
        <v>JEICY AZEVEDO</v>
      </c>
      <c r="Q1107">
        <v>4</v>
      </c>
      <c r="S1107" t="s">
        <v>2740</v>
      </c>
      <c r="T1107" s="1">
        <v>44891</v>
      </c>
      <c r="U1107" s="2">
        <v>1578</v>
      </c>
      <c r="V1107" s="2">
        <v>1578</v>
      </c>
    </row>
    <row r="1108" spans="1:22" x14ac:dyDescent="0.3">
      <c r="A1108" t="s">
        <v>2736</v>
      </c>
      <c r="B1108" t="s">
        <v>2737</v>
      </c>
      <c r="C1108" t="s">
        <v>2738</v>
      </c>
      <c r="D1108" t="s">
        <v>5794</v>
      </c>
      <c r="E1108" t="s">
        <v>15</v>
      </c>
      <c r="J1108" s="1">
        <v>45023</v>
      </c>
      <c r="K1108">
        <v>1061</v>
      </c>
      <c r="L1108" t="s">
        <v>2741</v>
      </c>
      <c r="M1108">
        <v>8</v>
      </c>
      <c r="N1108" t="str">
        <f>VLOOKUP(M1108,[1]LOJA!$A:$B,2,0)</f>
        <v>LUZIÂNIA</v>
      </c>
      <c r="O1108">
        <v>133</v>
      </c>
      <c r="P1108" t="str">
        <f>VLOOKUP(O1108,[1]OPERADORES!$A:$B,2,0)</f>
        <v>WALBER</v>
      </c>
      <c r="Q1108">
        <v>7</v>
      </c>
      <c r="S1108" t="s">
        <v>87</v>
      </c>
      <c r="T1108" s="1">
        <v>44993</v>
      </c>
      <c r="U1108" s="2">
        <v>1110</v>
      </c>
      <c r="V1108" s="2">
        <v>1110</v>
      </c>
    </row>
    <row r="1109" spans="1:22" x14ac:dyDescent="0.3">
      <c r="A1109" t="s">
        <v>2736</v>
      </c>
      <c r="B1109" t="s">
        <v>2737</v>
      </c>
      <c r="C1109" t="s">
        <v>2738</v>
      </c>
      <c r="D1109" t="s">
        <v>5794</v>
      </c>
      <c r="E1109" t="s">
        <v>15</v>
      </c>
      <c r="J1109" s="1">
        <v>45036</v>
      </c>
      <c r="K1109">
        <v>1048</v>
      </c>
      <c r="L1109" t="s">
        <v>2742</v>
      </c>
      <c r="M1109">
        <v>8</v>
      </c>
      <c r="N1109" t="str">
        <f>VLOOKUP(M1109,[1]LOJA!$A:$B,2,0)</f>
        <v>LUZIÂNIA</v>
      </c>
      <c r="O1109">
        <v>20</v>
      </c>
      <c r="P1109" t="str">
        <f>VLOOKUP(O1109,[1]OPERADORES!$A:$B,2,0)</f>
        <v>MAYARA</v>
      </c>
      <c r="Q1109">
        <v>12</v>
      </c>
      <c r="S1109" t="s">
        <v>2743</v>
      </c>
      <c r="T1109" s="1">
        <v>45019</v>
      </c>
      <c r="U1109" s="2">
        <v>3711.15</v>
      </c>
      <c r="V1109" s="2">
        <v>3711.15</v>
      </c>
    </row>
    <row r="1110" spans="1:22" x14ac:dyDescent="0.3">
      <c r="A1110" t="s">
        <v>2736</v>
      </c>
      <c r="B1110" t="s">
        <v>2737</v>
      </c>
      <c r="C1110" t="s">
        <v>2738</v>
      </c>
      <c r="D1110" t="s">
        <v>5794</v>
      </c>
      <c r="E1110" t="s">
        <v>15</v>
      </c>
      <c r="J1110" s="1">
        <v>45039</v>
      </c>
      <c r="K1110">
        <v>1045</v>
      </c>
      <c r="L1110" t="s">
        <v>2744</v>
      </c>
      <c r="M1110">
        <v>8</v>
      </c>
      <c r="N1110" t="str">
        <f>VLOOKUP(M1110,[1]LOJA!$A:$B,2,0)</f>
        <v>LUZIÂNIA</v>
      </c>
      <c r="O1110">
        <v>84</v>
      </c>
      <c r="P1110" t="str">
        <f>VLOOKUP(O1110,[1]OPERADORES!$A:$B,2,0)</f>
        <v>JEICY AZEVEDO</v>
      </c>
      <c r="Q1110">
        <v>4</v>
      </c>
      <c r="S1110" t="s">
        <v>2745</v>
      </c>
      <c r="T1110" s="1">
        <v>45009</v>
      </c>
      <c r="U1110">
        <v>945</v>
      </c>
      <c r="V1110">
        <v>945</v>
      </c>
    </row>
    <row r="1111" spans="1:22" x14ac:dyDescent="0.3">
      <c r="A1111" t="s">
        <v>2736</v>
      </c>
      <c r="B1111" t="s">
        <v>2737</v>
      </c>
      <c r="C1111" t="s">
        <v>2738</v>
      </c>
      <c r="D1111" t="s">
        <v>5794</v>
      </c>
      <c r="E1111" t="s">
        <v>15</v>
      </c>
      <c r="J1111" s="1">
        <v>45040</v>
      </c>
      <c r="K1111">
        <v>1044</v>
      </c>
      <c r="L1111" t="s">
        <v>2746</v>
      </c>
      <c r="M1111">
        <v>8</v>
      </c>
      <c r="N1111" t="str">
        <f>VLOOKUP(M1111,[1]LOJA!$A:$B,2,0)</f>
        <v>LUZIÂNIA</v>
      </c>
      <c r="O1111">
        <v>84</v>
      </c>
      <c r="P1111" t="str">
        <f>VLOOKUP(O1111,[1]OPERADORES!$A:$B,2,0)</f>
        <v>JEICY AZEVEDO</v>
      </c>
      <c r="Q1111">
        <v>4</v>
      </c>
      <c r="S1111" t="s">
        <v>2747</v>
      </c>
      <c r="T1111" s="1">
        <v>44951</v>
      </c>
      <c r="U1111" s="2">
        <v>1252</v>
      </c>
      <c r="V1111" s="2">
        <v>1252</v>
      </c>
    </row>
    <row r="1112" spans="1:22" x14ac:dyDescent="0.3">
      <c r="A1112" t="s">
        <v>2736</v>
      </c>
      <c r="B1112" t="s">
        <v>2737</v>
      </c>
      <c r="C1112" t="s">
        <v>2738</v>
      </c>
      <c r="D1112" t="s">
        <v>5794</v>
      </c>
      <c r="E1112" t="s">
        <v>15</v>
      </c>
      <c r="J1112" s="1">
        <v>45040</v>
      </c>
      <c r="K1112">
        <v>1044</v>
      </c>
      <c r="L1112" t="s">
        <v>2748</v>
      </c>
      <c r="M1112">
        <v>8</v>
      </c>
      <c r="N1112" t="str">
        <f>VLOOKUP(M1112,[1]LOJA!$A:$B,2,0)</f>
        <v>LUZIÂNIA</v>
      </c>
      <c r="O1112">
        <v>84</v>
      </c>
      <c r="P1112" t="str">
        <f>VLOOKUP(O1112,[1]OPERADORES!$A:$B,2,0)</f>
        <v>JEICY AZEVEDO</v>
      </c>
      <c r="Q1112">
        <v>4</v>
      </c>
      <c r="S1112" t="s">
        <v>2749</v>
      </c>
      <c r="T1112" s="1">
        <v>44981</v>
      </c>
      <c r="U1112" s="2">
        <v>1109</v>
      </c>
      <c r="V1112" s="2">
        <v>1109</v>
      </c>
    </row>
    <row r="1113" spans="1:22" x14ac:dyDescent="0.3">
      <c r="A1113" t="s">
        <v>2736</v>
      </c>
      <c r="B1113" t="s">
        <v>2737</v>
      </c>
      <c r="C1113" t="s">
        <v>2738</v>
      </c>
      <c r="D1113" t="s">
        <v>5794</v>
      </c>
      <c r="E1113" t="s">
        <v>15</v>
      </c>
      <c r="J1113" s="1">
        <v>45069</v>
      </c>
      <c r="K1113">
        <v>1015</v>
      </c>
      <c r="L1113" t="s">
        <v>2750</v>
      </c>
      <c r="M1113">
        <v>8</v>
      </c>
      <c r="N1113" t="str">
        <f>VLOOKUP(M1113,[1]LOJA!$A:$B,2,0)</f>
        <v>LUZIÂNIA</v>
      </c>
      <c r="O1113">
        <v>84</v>
      </c>
      <c r="P1113" t="str">
        <f>VLOOKUP(O1113,[1]OPERADORES!$A:$B,2,0)</f>
        <v>JEICY AZEVEDO</v>
      </c>
      <c r="Q1113">
        <v>4</v>
      </c>
      <c r="S1113" t="s">
        <v>2751</v>
      </c>
      <c r="T1113" s="1">
        <v>45009</v>
      </c>
      <c r="U1113">
        <v>945</v>
      </c>
      <c r="V1113">
        <v>945</v>
      </c>
    </row>
    <row r="1114" spans="1:22" x14ac:dyDescent="0.3">
      <c r="A1114" t="s">
        <v>2736</v>
      </c>
      <c r="B1114" t="s">
        <v>2737</v>
      </c>
      <c r="C1114" t="s">
        <v>2738</v>
      </c>
      <c r="D1114" t="s">
        <v>5794</v>
      </c>
      <c r="E1114" t="s">
        <v>15</v>
      </c>
      <c r="J1114" s="1">
        <v>45070</v>
      </c>
      <c r="K1114">
        <v>1014</v>
      </c>
      <c r="L1114" t="s">
        <v>2752</v>
      </c>
      <c r="M1114">
        <v>8</v>
      </c>
      <c r="N1114" t="str">
        <f>VLOOKUP(M1114,[1]LOJA!$A:$B,2,0)</f>
        <v>LUZIÂNIA</v>
      </c>
      <c r="O1114">
        <v>84</v>
      </c>
      <c r="P1114" t="str">
        <f>VLOOKUP(O1114,[1]OPERADORES!$A:$B,2,0)</f>
        <v>JEICY AZEVEDO</v>
      </c>
      <c r="Q1114">
        <v>4</v>
      </c>
      <c r="S1114" t="s">
        <v>2753</v>
      </c>
      <c r="T1114" s="1">
        <v>44981</v>
      </c>
      <c r="U1114" s="2">
        <v>1109</v>
      </c>
      <c r="V1114" s="2">
        <v>1109</v>
      </c>
    </row>
    <row r="1115" spans="1:22" x14ac:dyDescent="0.3">
      <c r="A1115" t="s">
        <v>2736</v>
      </c>
      <c r="B1115" t="s">
        <v>2737</v>
      </c>
      <c r="C1115" t="s">
        <v>2738</v>
      </c>
      <c r="D1115" t="s">
        <v>5794</v>
      </c>
      <c r="E1115" t="s">
        <v>15</v>
      </c>
      <c r="J1115" s="1">
        <v>45100</v>
      </c>
      <c r="K1115">
        <v>984</v>
      </c>
      <c r="L1115" t="s">
        <v>2754</v>
      </c>
      <c r="M1115">
        <v>8</v>
      </c>
      <c r="N1115" t="str">
        <f>VLOOKUP(M1115,[1]LOJA!$A:$B,2,0)</f>
        <v>LUZIÂNIA</v>
      </c>
      <c r="O1115">
        <v>84</v>
      </c>
      <c r="P1115" t="str">
        <f>VLOOKUP(O1115,[1]OPERADORES!$A:$B,2,0)</f>
        <v>JEICY AZEVEDO</v>
      </c>
      <c r="Q1115">
        <v>4</v>
      </c>
      <c r="S1115" t="s">
        <v>2755</v>
      </c>
      <c r="T1115" s="1">
        <v>45009</v>
      </c>
      <c r="U1115">
        <v>945</v>
      </c>
      <c r="V1115">
        <v>945</v>
      </c>
    </row>
    <row r="1116" spans="1:22" x14ac:dyDescent="0.3">
      <c r="A1116" t="s">
        <v>2736</v>
      </c>
      <c r="B1116" t="s">
        <v>2737</v>
      </c>
      <c r="C1116" t="s">
        <v>2738</v>
      </c>
      <c r="D1116" t="s">
        <v>5794</v>
      </c>
      <c r="E1116" t="s">
        <v>15</v>
      </c>
      <c r="J1116" s="1">
        <v>45101</v>
      </c>
      <c r="K1116">
        <v>983</v>
      </c>
      <c r="L1116" t="s">
        <v>2756</v>
      </c>
      <c r="M1116">
        <v>8</v>
      </c>
      <c r="N1116" t="str">
        <f>VLOOKUP(M1116,[1]LOJA!$A:$B,2,0)</f>
        <v>LUZIÂNIA</v>
      </c>
      <c r="O1116">
        <v>84</v>
      </c>
      <c r="P1116" t="str">
        <f>VLOOKUP(O1116,[1]OPERADORES!$A:$B,2,0)</f>
        <v>JEICY AZEVEDO</v>
      </c>
      <c r="Q1116">
        <v>4</v>
      </c>
      <c r="S1116" t="s">
        <v>2757</v>
      </c>
      <c r="T1116" s="1">
        <v>44981</v>
      </c>
      <c r="U1116" s="2">
        <v>1109</v>
      </c>
      <c r="V1116" s="2">
        <v>1109</v>
      </c>
    </row>
    <row r="1117" spans="1:22" x14ac:dyDescent="0.3">
      <c r="A1117" t="s">
        <v>5795</v>
      </c>
      <c r="B1117" t="s">
        <v>32</v>
      </c>
      <c r="C1117" t="s">
        <v>13</v>
      </c>
      <c r="D1117" t="s">
        <v>5796</v>
      </c>
      <c r="E1117" t="s">
        <v>15</v>
      </c>
      <c r="J1117" s="1">
        <v>46084</v>
      </c>
      <c r="K1117">
        <v>0</v>
      </c>
      <c r="L1117" t="s">
        <v>5797</v>
      </c>
      <c r="M1117">
        <v>24</v>
      </c>
      <c r="N1117" t="str">
        <f>VLOOKUP(M1117,[1]LOJA!$A:$B,2,0)</f>
        <v>LUZIÂNIA</v>
      </c>
      <c r="O1117">
        <v>242</v>
      </c>
      <c r="P1117" t="str">
        <f>VLOOKUP(O1117,[1]OPERADORES!$A:$B,2,0)</f>
        <v>CRISTIANO</v>
      </c>
      <c r="Q1117">
        <v>4</v>
      </c>
      <c r="S1117" t="s">
        <v>5798</v>
      </c>
      <c r="T1117" s="1">
        <v>46084</v>
      </c>
      <c r="U1117">
        <v>-45.43</v>
      </c>
      <c r="V1117">
        <v>-45.43</v>
      </c>
    </row>
    <row r="1118" spans="1:22" x14ac:dyDescent="0.3">
      <c r="A1118" t="s">
        <v>2758</v>
      </c>
      <c r="B1118" t="s">
        <v>2759</v>
      </c>
      <c r="C1118" t="s">
        <v>293</v>
      </c>
      <c r="D1118" t="s">
        <v>2760</v>
      </c>
      <c r="E1118" t="s">
        <v>15</v>
      </c>
      <c r="J1118" s="1">
        <v>45832</v>
      </c>
      <c r="K1118">
        <v>252</v>
      </c>
      <c r="L1118" t="s">
        <v>2761</v>
      </c>
      <c r="M1118">
        <v>13</v>
      </c>
      <c r="N1118" t="str">
        <f>VLOOKUP(M1118,[1]LOJA!$A:$B,2,0)</f>
        <v>CEILÂNDIA</v>
      </c>
      <c r="O1118">
        <v>67</v>
      </c>
      <c r="P1118" t="str">
        <f>VLOOKUP(O1118,[1]OPERADORES!$A:$B,2,0)</f>
        <v>ERIKA</v>
      </c>
      <c r="Q1118">
        <v>4</v>
      </c>
      <c r="S1118" t="s">
        <v>2762</v>
      </c>
      <c r="T1118" s="1">
        <v>45832</v>
      </c>
      <c r="U1118">
        <v>-0.03</v>
      </c>
      <c r="V1118">
        <v>-0.03</v>
      </c>
    </row>
    <row r="1119" spans="1:22" x14ac:dyDescent="0.3">
      <c r="A1119" t="s">
        <v>2758</v>
      </c>
      <c r="B1119" t="s">
        <v>2759</v>
      </c>
      <c r="C1119" t="s">
        <v>293</v>
      </c>
      <c r="D1119" t="s">
        <v>2760</v>
      </c>
      <c r="E1119" t="s">
        <v>15</v>
      </c>
      <c r="J1119" s="1">
        <v>46006</v>
      </c>
      <c r="K1119">
        <v>78</v>
      </c>
      <c r="L1119" t="s">
        <v>2763</v>
      </c>
      <c r="M1119">
        <v>13</v>
      </c>
      <c r="N1119" t="str">
        <f>VLOOKUP(M1119,[1]LOJA!$A:$B,2,0)</f>
        <v>CEILÂNDIA</v>
      </c>
      <c r="O1119">
        <v>20</v>
      </c>
      <c r="P1119" t="str">
        <f>VLOOKUP(O1119,[1]OPERADORES!$A:$B,2,0)</f>
        <v>MAYARA</v>
      </c>
      <c r="Q1119">
        <v>27</v>
      </c>
      <c r="R1119">
        <v>1000018136</v>
      </c>
      <c r="S1119" t="s">
        <v>2764</v>
      </c>
      <c r="T1119" s="1">
        <v>45905</v>
      </c>
      <c r="U1119" s="2">
        <v>1285</v>
      </c>
      <c r="V1119" s="2">
        <v>1285</v>
      </c>
    </row>
    <row r="1120" spans="1:22" x14ac:dyDescent="0.3">
      <c r="A1120" t="s">
        <v>2758</v>
      </c>
      <c r="B1120" t="s">
        <v>2759</v>
      </c>
      <c r="C1120" t="s">
        <v>293</v>
      </c>
      <c r="D1120" t="s">
        <v>2760</v>
      </c>
      <c r="E1120" t="s">
        <v>15</v>
      </c>
      <c r="J1120" s="1">
        <v>46006</v>
      </c>
      <c r="K1120">
        <v>78</v>
      </c>
      <c r="L1120" t="s">
        <v>2765</v>
      </c>
      <c r="M1120">
        <v>13</v>
      </c>
      <c r="N1120" t="str">
        <f>VLOOKUP(M1120,[1]LOJA!$A:$B,2,0)</f>
        <v>CEILÂNDIA</v>
      </c>
      <c r="O1120">
        <v>20</v>
      </c>
      <c r="P1120" t="str">
        <f>VLOOKUP(O1120,[1]OPERADORES!$A:$B,2,0)</f>
        <v>MAYARA</v>
      </c>
      <c r="Q1120">
        <v>27</v>
      </c>
      <c r="R1120">
        <v>1000018819</v>
      </c>
      <c r="S1120" t="s">
        <v>2766</v>
      </c>
      <c r="T1120" s="1">
        <v>45966</v>
      </c>
      <c r="U1120" s="2">
        <v>1355.07</v>
      </c>
      <c r="V1120" s="2">
        <v>1355.07</v>
      </c>
    </row>
    <row r="1121" spans="1:22" x14ac:dyDescent="0.3">
      <c r="A1121" t="s">
        <v>2758</v>
      </c>
      <c r="B1121" t="s">
        <v>2759</v>
      </c>
      <c r="C1121" t="s">
        <v>293</v>
      </c>
      <c r="D1121" t="s">
        <v>2760</v>
      </c>
      <c r="E1121" t="s">
        <v>15</v>
      </c>
      <c r="J1121" s="1">
        <v>46028</v>
      </c>
      <c r="K1121">
        <v>56</v>
      </c>
      <c r="L1121" t="s">
        <v>2767</v>
      </c>
      <c r="M1121">
        <v>13</v>
      </c>
      <c r="N1121" t="str">
        <f>VLOOKUP(M1121,[1]LOJA!$A:$B,2,0)</f>
        <v>CEILÂNDIA</v>
      </c>
      <c r="O1121">
        <v>20</v>
      </c>
      <c r="P1121" t="str">
        <f>VLOOKUP(O1121,[1]OPERADORES!$A:$B,2,0)</f>
        <v>MAYARA</v>
      </c>
      <c r="Q1121">
        <v>27</v>
      </c>
      <c r="R1121">
        <v>1000018474</v>
      </c>
      <c r="S1121" t="s">
        <v>2768</v>
      </c>
      <c r="T1121" s="1">
        <v>45938</v>
      </c>
      <c r="U1121" s="2">
        <v>1269</v>
      </c>
      <c r="V1121" s="2">
        <v>1269</v>
      </c>
    </row>
    <row r="1122" spans="1:22" x14ac:dyDescent="0.3">
      <c r="A1122" t="s">
        <v>2758</v>
      </c>
      <c r="B1122" t="s">
        <v>2759</v>
      </c>
      <c r="C1122" t="s">
        <v>293</v>
      </c>
      <c r="D1122" t="s">
        <v>2760</v>
      </c>
      <c r="E1122" t="s">
        <v>15</v>
      </c>
      <c r="J1122" s="1">
        <v>46036</v>
      </c>
      <c r="K1122">
        <v>48</v>
      </c>
      <c r="L1122" t="s">
        <v>2769</v>
      </c>
      <c r="M1122">
        <v>13</v>
      </c>
      <c r="N1122" t="str">
        <f>VLOOKUP(M1122,[1]LOJA!$A:$B,2,0)</f>
        <v>CEILÂNDIA</v>
      </c>
      <c r="O1122">
        <v>20</v>
      </c>
      <c r="P1122" t="str">
        <f>VLOOKUP(O1122,[1]OPERADORES!$A:$B,2,0)</f>
        <v>MAYARA</v>
      </c>
      <c r="Q1122">
        <v>27</v>
      </c>
      <c r="R1122">
        <v>1000019401</v>
      </c>
      <c r="S1122" t="s">
        <v>2770</v>
      </c>
      <c r="T1122" s="1">
        <v>45995</v>
      </c>
      <c r="U1122">
        <v>814.66</v>
      </c>
      <c r="V1122">
        <v>814.66</v>
      </c>
    </row>
    <row r="1123" spans="1:22" x14ac:dyDescent="0.3">
      <c r="A1123" t="s">
        <v>2758</v>
      </c>
      <c r="B1123" t="s">
        <v>2759</v>
      </c>
      <c r="C1123" t="s">
        <v>293</v>
      </c>
      <c r="D1123" t="s">
        <v>2760</v>
      </c>
      <c r="E1123" t="s">
        <v>15</v>
      </c>
      <c r="J1123" s="1">
        <v>46037</v>
      </c>
      <c r="K1123">
        <v>47</v>
      </c>
      <c r="L1123" t="s">
        <v>2771</v>
      </c>
      <c r="M1123">
        <v>13</v>
      </c>
      <c r="N1123" t="str">
        <f>VLOOKUP(M1123,[1]LOJA!$A:$B,2,0)</f>
        <v>CEILÂNDIA</v>
      </c>
      <c r="O1123">
        <v>20</v>
      </c>
      <c r="P1123" t="str">
        <f>VLOOKUP(O1123,[1]OPERADORES!$A:$B,2,0)</f>
        <v>MAYARA</v>
      </c>
      <c r="Q1123">
        <v>27</v>
      </c>
      <c r="R1123">
        <v>1000018137</v>
      </c>
      <c r="S1123" t="s">
        <v>2772</v>
      </c>
      <c r="T1123" s="1">
        <v>45905</v>
      </c>
      <c r="U1123" s="2">
        <v>1285</v>
      </c>
      <c r="V1123" s="2">
        <v>1285</v>
      </c>
    </row>
    <row r="1124" spans="1:22" x14ac:dyDescent="0.3">
      <c r="A1124" t="s">
        <v>2758</v>
      </c>
      <c r="B1124" t="s">
        <v>2759</v>
      </c>
      <c r="C1124" t="s">
        <v>293</v>
      </c>
      <c r="D1124" t="s">
        <v>2760</v>
      </c>
      <c r="E1124" t="s">
        <v>15</v>
      </c>
      <c r="J1124" s="1">
        <v>46037</v>
      </c>
      <c r="K1124">
        <v>47</v>
      </c>
      <c r="L1124" t="s">
        <v>2773</v>
      </c>
      <c r="M1124">
        <v>13</v>
      </c>
      <c r="N1124" t="str">
        <f>VLOOKUP(M1124,[1]LOJA!$A:$B,2,0)</f>
        <v>CEILÂNDIA</v>
      </c>
      <c r="O1124">
        <v>20</v>
      </c>
      <c r="P1124" t="str">
        <f>VLOOKUP(O1124,[1]OPERADORES!$A:$B,2,0)</f>
        <v>MAYARA</v>
      </c>
      <c r="Q1124">
        <v>27</v>
      </c>
      <c r="R1124">
        <v>1000018820</v>
      </c>
      <c r="S1124" t="s">
        <v>2774</v>
      </c>
      <c r="T1124" s="1">
        <v>45966</v>
      </c>
      <c r="U1124" s="2">
        <v>1353</v>
      </c>
      <c r="V1124" s="2">
        <v>1353</v>
      </c>
    </row>
    <row r="1125" spans="1:22" x14ac:dyDescent="0.3">
      <c r="A1125" t="s">
        <v>2758</v>
      </c>
      <c r="B1125" t="s">
        <v>2759</v>
      </c>
      <c r="C1125" t="s">
        <v>293</v>
      </c>
      <c r="D1125" t="s">
        <v>2760</v>
      </c>
      <c r="E1125" t="s">
        <v>15</v>
      </c>
      <c r="J1125" s="1">
        <v>46059</v>
      </c>
      <c r="K1125">
        <v>25</v>
      </c>
      <c r="L1125" t="s">
        <v>2775</v>
      </c>
      <c r="M1125">
        <v>13</v>
      </c>
      <c r="N1125" t="str">
        <f>VLOOKUP(M1125,[1]LOJA!$A:$B,2,0)</f>
        <v>CEILÂNDIA</v>
      </c>
      <c r="O1125">
        <v>20</v>
      </c>
      <c r="P1125" t="str">
        <f>VLOOKUP(O1125,[1]OPERADORES!$A:$B,2,0)</f>
        <v>MAYARA</v>
      </c>
      <c r="Q1125">
        <v>27</v>
      </c>
      <c r="R1125">
        <v>1000019860</v>
      </c>
      <c r="S1125" t="s">
        <v>2776</v>
      </c>
      <c r="T1125" s="1">
        <v>46029</v>
      </c>
      <c r="U1125">
        <v>633.94000000000005</v>
      </c>
      <c r="V1125">
        <v>633.94000000000005</v>
      </c>
    </row>
    <row r="1126" spans="1:22" x14ac:dyDescent="0.3">
      <c r="A1126" t="s">
        <v>2758</v>
      </c>
      <c r="B1126" t="s">
        <v>2759</v>
      </c>
      <c r="C1126" t="s">
        <v>293</v>
      </c>
      <c r="D1126" t="s">
        <v>2760</v>
      </c>
      <c r="E1126" t="s">
        <v>15</v>
      </c>
      <c r="J1126" s="1">
        <v>46066</v>
      </c>
      <c r="K1126">
        <v>18</v>
      </c>
      <c r="L1126" t="s">
        <v>673</v>
      </c>
      <c r="M1126">
        <v>13</v>
      </c>
      <c r="N1126" t="str">
        <f>VLOOKUP(M1126,[1]LOJA!$A:$B,2,0)</f>
        <v>CEILÂNDIA</v>
      </c>
      <c r="O1126">
        <v>20</v>
      </c>
      <c r="P1126" t="str">
        <f>VLOOKUP(O1126,[1]OPERADORES!$A:$B,2,0)</f>
        <v>MAYARA</v>
      </c>
      <c r="Q1126">
        <v>27</v>
      </c>
      <c r="R1126">
        <v>1000019402</v>
      </c>
      <c r="S1126" t="s">
        <v>5799</v>
      </c>
      <c r="T1126" s="1">
        <v>45995</v>
      </c>
      <c r="U1126">
        <v>812</v>
      </c>
      <c r="V1126">
        <v>812</v>
      </c>
    </row>
    <row r="1127" spans="1:22" x14ac:dyDescent="0.3">
      <c r="A1127" t="s">
        <v>2758</v>
      </c>
      <c r="B1127" t="s">
        <v>2759</v>
      </c>
      <c r="C1127" t="s">
        <v>293</v>
      </c>
      <c r="D1127" t="s">
        <v>2760</v>
      </c>
      <c r="E1127" t="s">
        <v>15</v>
      </c>
      <c r="J1127" s="1">
        <v>46068</v>
      </c>
      <c r="K1127">
        <v>16</v>
      </c>
      <c r="L1127" t="s">
        <v>5800</v>
      </c>
      <c r="M1127">
        <v>13</v>
      </c>
      <c r="N1127" t="str">
        <f>VLOOKUP(M1127,[1]LOJA!$A:$B,2,0)</f>
        <v>CEILÂNDIA</v>
      </c>
      <c r="O1127">
        <v>20</v>
      </c>
      <c r="P1127" t="str">
        <f>VLOOKUP(O1127,[1]OPERADORES!$A:$B,2,0)</f>
        <v>MAYARA</v>
      </c>
      <c r="Q1127">
        <v>27</v>
      </c>
      <c r="R1127">
        <v>1000018138</v>
      </c>
      <c r="S1127" t="s">
        <v>5801</v>
      </c>
      <c r="T1127" s="1">
        <v>45905</v>
      </c>
      <c r="U1127" s="2">
        <v>1285</v>
      </c>
      <c r="V1127" s="2">
        <v>1285</v>
      </c>
    </row>
    <row r="1128" spans="1:22" x14ac:dyDescent="0.3">
      <c r="A1128" t="s">
        <v>2758</v>
      </c>
      <c r="B1128" t="s">
        <v>2759</v>
      </c>
      <c r="C1128" t="s">
        <v>293</v>
      </c>
      <c r="D1128" t="s">
        <v>2760</v>
      </c>
      <c r="E1128" t="s">
        <v>15</v>
      </c>
      <c r="J1128" s="1">
        <v>46068</v>
      </c>
      <c r="K1128">
        <v>16</v>
      </c>
      <c r="L1128" t="s">
        <v>5802</v>
      </c>
      <c r="M1128">
        <v>13</v>
      </c>
      <c r="N1128" t="str">
        <f>VLOOKUP(M1128,[1]LOJA!$A:$B,2,0)</f>
        <v>CEILÂNDIA</v>
      </c>
      <c r="O1128">
        <v>20</v>
      </c>
      <c r="P1128" t="str">
        <f>VLOOKUP(O1128,[1]OPERADORES!$A:$B,2,0)</f>
        <v>MAYARA</v>
      </c>
      <c r="Q1128">
        <v>27</v>
      </c>
      <c r="R1128">
        <v>1000018821</v>
      </c>
      <c r="S1128" t="s">
        <v>5803</v>
      </c>
      <c r="T1128" s="1">
        <v>45966</v>
      </c>
      <c r="U1128" s="2">
        <v>1353</v>
      </c>
      <c r="V1128" s="2">
        <v>1353</v>
      </c>
    </row>
    <row r="1129" spans="1:22" x14ac:dyDescent="0.3">
      <c r="A1129" t="s">
        <v>2777</v>
      </c>
      <c r="B1129" t="s">
        <v>2778</v>
      </c>
      <c r="C1129" t="s">
        <v>2779</v>
      </c>
      <c r="D1129" t="s">
        <v>2780</v>
      </c>
      <c r="E1129" t="s">
        <v>15</v>
      </c>
      <c r="J1129" s="1">
        <v>46042</v>
      </c>
      <c r="K1129">
        <v>42</v>
      </c>
      <c r="L1129" t="s">
        <v>2781</v>
      </c>
      <c r="M1129">
        <v>24</v>
      </c>
      <c r="N1129" t="str">
        <f>VLOOKUP(M1129,[1]LOJA!$A:$B,2,0)</f>
        <v>LUZIÂNIA</v>
      </c>
      <c r="O1129">
        <v>20</v>
      </c>
      <c r="P1129" t="str">
        <f>VLOOKUP(O1129,[1]OPERADORES!$A:$B,2,0)</f>
        <v>MAYARA</v>
      </c>
      <c r="Q1129">
        <v>22</v>
      </c>
      <c r="R1129">
        <v>1000019886</v>
      </c>
      <c r="S1129" t="s">
        <v>2782</v>
      </c>
      <c r="T1129" s="1">
        <v>46029</v>
      </c>
      <c r="U1129">
        <v>11.23</v>
      </c>
      <c r="V1129">
        <v>11.23</v>
      </c>
    </row>
    <row r="1130" spans="1:22" x14ac:dyDescent="0.3">
      <c r="A1130" t="s">
        <v>2783</v>
      </c>
      <c r="B1130" t="s">
        <v>2784</v>
      </c>
      <c r="C1130" t="s">
        <v>30</v>
      </c>
      <c r="D1130" t="s">
        <v>5804</v>
      </c>
      <c r="E1130" t="s">
        <v>15</v>
      </c>
      <c r="J1130" s="1">
        <v>46079</v>
      </c>
      <c r="K1130">
        <v>5</v>
      </c>
      <c r="L1130" t="s">
        <v>5805</v>
      </c>
      <c r="M1130">
        <v>12</v>
      </c>
      <c r="N1130" t="str">
        <f>VLOOKUP(M1130,[1]LOJA!$A:$B,2,0)</f>
        <v>SOFNORTE</v>
      </c>
      <c r="O1130">
        <v>209</v>
      </c>
      <c r="P1130" t="str">
        <f>VLOOKUP(O1130,[1]OPERADORES!$A:$B,2,0)</f>
        <v>MARIA WITHALINA CUNHA DE SOUZA</v>
      </c>
      <c r="Q1130">
        <v>4</v>
      </c>
      <c r="S1130" t="s">
        <v>5806</v>
      </c>
      <c r="T1130" s="1">
        <v>46079</v>
      </c>
      <c r="U1130">
        <v>-112.75</v>
      </c>
      <c r="V1130">
        <v>-112.75</v>
      </c>
    </row>
    <row r="1131" spans="1:22" x14ac:dyDescent="0.3">
      <c r="A1131" t="s">
        <v>5807</v>
      </c>
      <c r="B1131" t="s">
        <v>5808</v>
      </c>
      <c r="C1131" t="s">
        <v>1238</v>
      </c>
      <c r="D1131" t="s">
        <v>5809</v>
      </c>
      <c r="E1131" t="s">
        <v>15</v>
      </c>
      <c r="J1131" s="1">
        <v>46082</v>
      </c>
      <c r="K1131">
        <v>2</v>
      </c>
      <c r="L1131" t="s">
        <v>5810</v>
      </c>
      <c r="M1131">
        <v>22</v>
      </c>
      <c r="N1131" t="str">
        <f>VLOOKUP(M1131,[1]LOJA!$A:$B,2,0)</f>
        <v>GUARÁ</v>
      </c>
      <c r="O1131">
        <v>93</v>
      </c>
      <c r="P1131" t="str">
        <f>VLOOKUP(O1131,[1]OPERADORES!$A:$B,2,0)</f>
        <v>PATRICIA</v>
      </c>
      <c r="Q1131">
        <v>27</v>
      </c>
      <c r="R1131">
        <v>1000020296</v>
      </c>
      <c r="S1131" t="s">
        <v>1445</v>
      </c>
      <c r="T1131" s="1">
        <v>46052</v>
      </c>
      <c r="U1131">
        <v>151.13</v>
      </c>
      <c r="V1131">
        <v>151.13</v>
      </c>
    </row>
    <row r="1132" spans="1:22" x14ac:dyDescent="0.3">
      <c r="A1132" t="s">
        <v>2785</v>
      </c>
      <c r="B1132" t="s">
        <v>2786</v>
      </c>
      <c r="C1132" t="s">
        <v>13</v>
      </c>
      <c r="D1132" t="s">
        <v>2787</v>
      </c>
      <c r="E1132" t="s">
        <v>15</v>
      </c>
      <c r="J1132" s="1">
        <v>44635</v>
      </c>
      <c r="K1132">
        <v>1449</v>
      </c>
      <c r="L1132" t="s">
        <v>2788</v>
      </c>
      <c r="M1132">
        <v>12</v>
      </c>
      <c r="N1132" t="str">
        <f>VLOOKUP(M1132,[1]LOJA!$A:$B,2,0)</f>
        <v>SOFNORTE</v>
      </c>
      <c r="O1132">
        <v>65</v>
      </c>
      <c r="P1132" t="str">
        <f>VLOOKUP(O1132,[1]OPERADORES!$A:$B,2,0)</f>
        <v>MICHAEL ALVES FERNANDES</v>
      </c>
      <c r="Q1132">
        <v>7</v>
      </c>
      <c r="S1132" t="s">
        <v>87</v>
      </c>
      <c r="T1132" s="1">
        <v>44634</v>
      </c>
      <c r="U1132">
        <v>544</v>
      </c>
      <c r="V1132">
        <v>544</v>
      </c>
    </row>
    <row r="1133" spans="1:22" x14ac:dyDescent="0.3">
      <c r="A1133" t="s">
        <v>2789</v>
      </c>
      <c r="B1133" t="s">
        <v>2790</v>
      </c>
      <c r="C1133" t="s">
        <v>1238</v>
      </c>
      <c r="D1133" t="s">
        <v>2791</v>
      </c>
      <c r="E1133" t="s">
        <v>15</v>
      </c>
      <c r="J1133" s="1">
        <v>45310</v>
      </c>
      <c r="K1133">
        <v>774</v>
      </c>
      <c r="L1133" t="s">
        <v>2792</v>
      </c>
      <c r="M1133">
        <v>14</v>
      </c>
      <c r="N1133" t="str">
        <f>VLOOKUP(M1133,[1]LOJA!$A:$B,2,0)</f>
        <v>S IA</v>
      </c>
      <c r="O1133">
        <v>16</v>
      </c>
      <c r="P1133" t="str">
        <f>VLOOKUP(O1133,[1]OPERADORES!$A:$B,2,0)</f>
        <v>AYSLAN</v>
      </c>
      <c r="Q1133">
        <v>4</v>
      </c>
      <c r="S1133" t="s">
        <v>2793</v>
      </c>
      <c r="T1133" s="1">
        <v>45310</v>
      </c>
      <c r="U1133">
        <v>-4.1100000000000003</v>
      </c>
      <c r="V1133">
        <v>-4.1100000000000003</v>
      </c>
    </row>
    <row r="1134" spans="1:22" x14ac:dyDescent="0.3">
      <c r="A1134" t="s">
        <v>2794</v>
      </c>
      <c r="B1134" t="s">
        <v>32</v>
      </c>
      <c r="C1134" t="s">
        <v>13</v>
      </c>
      <c r="D1134" t="s">
        <v>316</v>
      </c>
      <c r="E1134" t="s">
        <v>15</v>
      </c>
      <c r="J1134" s="1">
        <v>45923</v>
      </c>
      <c r="K1134">
        <v>161</v>
      </c>
      <c r="L1134" t="s">
        <v>2795</v>
      </c>
      <c r="M1134">
        <v>24</v>
      </c>
      <c r="N1134" t="str">
        <f>VLOOKUP(M1134,[1]LOJA!$A:$B,2,0)</f>
        <v>LUZIÂNIA</v>
      </c>
      <c r="O1134">
        <v>244</v>
      </c>
      <c r="P1134" t="str">
        <f>VLOOKUP(O1134,[1]OPERADORES!$A:$B,2,0)</f>
        <v>NATHALIA PEREIRA DA SILVA</v>
      </c>
      <c r="Q1134">
        <v>4</v>
      </c>
      <c r="S1134" t="s">
        <v>2796</v>
      </c>
      <c r="T1134" s="1">
        <v>45923</v>
      </c>
      <c r="U1134">
        <v>-10</v>
      </c>
      <c r="V1134">
        <v>-10</v>
      </c>
    </row>
    <row r="1135" spans="1:22" x14ac:dyDescent="0.3">
      <c r="A1135" t="s">
        <v>2797</v>
      </c>
      <c r="B1135" t="s">
        <v>2798</v>
      </c>
      <c r="C1135" t="s">
        <v>13</v>
      </c>
      <c r="D1135" t="s">
        <v>5811</v>
      </c>
      <c r="E1135" t="s">
        <v>15</v>
      </c>
      <c r="J1135" s="1">
        <v>46066</v>
      </c>
      <c r="K1135">
        <v>18</v>
      </c>
      <c r="L1135" t="s">
        <v>5812</v>
      </c>
      <c r="M1135">
        <v>12</v>
      </c>
      <c r="N1135" t="str">
        <f>VLOOKUP(M1135,[1]LOJA!$A:$B,2,0)</f>
        <v>SOFNORTE</v>
      </c>
      <c r="O1135">
        <v>239</v>
      </c>
      <c r="P1135" t="str">
        <f>VLOOKUP(O1135,[1]OPERADORES!$A:$B,2,0)</f>
        <v>BRUNO</v>
      </c>
      <c r="Q1135">
        <v>7</v>
      </c>
      <c r="S1135" t="s">
        <v>87</v>
      </c>
      <c r="T1135" s="1">
        <v>46051</v>
      </c>
      <c r="U1135">
        <v>165</v>
      </c>
      <c r="V1135">
        <v>165</v>
      </c>
    </row>
    <row r="1136" spans="1:22" x14ac:dyDescent="0.3">
      <c r="A1136" t="s">
        <v>2797</v>
      </c>
      <c r="B1136" t="s">
        <v>2798</v>
      </c>
      <c r="C1136" t="s">
        <v>13</v>
      </c>
      <c r="D1136" t="s">
        <v>5811</v>
      </c>
      <c r="E1136" t="s">
        <v>15</v>
      </c>
      <c r="J1136" s="1">
        <v>46067</v>
      </c>
      <c r="K1136">
        <v>17</v>
      </c>
      <c r="L1136" t="s">
        <v>5813</v>
      </c>
      <c r="M1136">
        <v>12</v>
      </c>
      <c r="N1136" t="str">
        <f>VLOOKUP(M1136,[1]LOJA!$A:$B,2,0)</f>
        <v>SOFNORTE</v>
      </c>
      <c r="O1136">
        <v>60</v>
      </c>
      <c r="P1136" t="str">
        <f>VLOOKUP(O1136,[1]OPERADORES!$A:$B,2,0)</f>
        <v>ALEXANDRA</v>
      </c>
      <c r="Q1136">
        <v>7</v>
      </c>
      <c r="S1136" t="s">
        <v>87</v>
      </c>
      <c r="T1136" s="1">
        <v>46052</v>
      </c>
      <c r="U1136">
        <v>34</v>
      </c>
      <c r="V1136">
        <v>34</v>
      </c>
    </row>
    <row r="1137" spans="1:22" x14ac:dyDescent="0.3">
      <c r="A1137" t="s">
        <v>2797</v>
      </c>
      <c r="B1137" t="s">
        <v>2798</v>
      </c>
      <c r="C1137" t="s">
        <v>13</v>
      </c>
      <c r="D1137" t="s">
        <v>5811</v>
      </c>
      <c r="E1137" t="s">
        <v>15</v>
      </c>
      <c r="J1137" s="1">
        <v>46067</v>
      </c>
      <c r="K1137">
        <v>17</v>
      </c>
      <c r="L1137" t="s">
        <v>5814</v>
      </c>
      <c r="M1137">
        <v>12</v>
      </c>
      <c r="N1137" t="str">
        <f>VLOOKUP(M1137,[1]LOJA!$A:$B,2,0)</f>
        <v>SOFNORTE</v>
      </c>
      <c r="O1137">
        <v>60</v>
      </c>
      <c r="P1137" t="str">
        <f>VLOOKUP(O1137,[1]OPERADORES!$A:$B,2,0)</f>
        <v>ALEXANDRA</v>
      </c>
      <c r="Q1137">
        <v>7</v>
      </c>
      <c r="S1137" t="s">
        <v>87</v>
      </c>
      <c r="T1137" s="1">
        <v>46052</v>
      </c>
      <c r="U1137">
        <v>100</v>
      </c>
      <c r="V1137">
        <v>100</v>
      </c>
    </row>
    <row r="1138" spans="1:22" x14ac:dyDescent="0.3">
      <c r="A1138" t="s">
        <v>2797</v>
      </c>
      <c r="B1138" t="s">
        <v>2798</v>
      </c>
      <c r="C1138" t="s">
        <v>13</v>
      </c>
      <c r="D1138" t="s">
        <v>5811</v>
      </c>
      <c r="E1138" t="s">
        <v>15</v>
      </c>
      <c r="J1138" s="1">
        <v>46079</v>
      </c>
      <c r="K1138">
        <v>5</v>
      </c>
      <c r="L1138" t="s">
        <v>5815</v>
      </c>
      <c r="M1138">
        <v>12</v>
      </c>
      <c r="N1138" t="str">
        <f>VLOOKUP(M1138,[1]LOJA!$A:$B,2,0)</f>
        <v>SOFNORTE</v>
      </c>
      <c r="O1138">
        <v>209</v>
      </c>
      <c r="P1138" t="str">
        <f>VLOOKUP(O1138,[1]OPERADORES!$A:$B,2,0)</f>
        <v>MARIA WITHALINA CUNHA DE SOUZA</v>
      </c>
      <c r="Q1138">
        <v>4</v>
      </c>
      <c r="S1138" t="s">
        <v>5816</v>
      </c>
      <c r="T1138" s="1">
        <v>46079</v>
      </c>
      <c r="U1138">
        <v>-0.42</v>
      </c>
      <c r="V1138">
        <v>-0.42</v>
      </c>
    </row>
    <row r="1139" spans="1:22" x14ac:dyDescent="0.3">
      <c r="A1139" t="s">
        <v>2799</v>
      </c>
      <c r="B1139" t="s">
        <v>2800</v>
      </c>
      <c r="C1139" t="s">
        <v>226</v>
      </c>
      <c r="D1139" t="s">
        <v>5817</v>
      </c>
      <c r="E1139" t="s">
        <v>15</v>
      </c>
      <c r="J1139" s="1">
        <v>46077</v>
      </c>
      <c r="K1139">
        <v>7</v>
      </c>
      <c r="L1139" t="s">
        <v>5818</v>
      </c>
      <c r="M1139">
        <v>9</v>
      </c>
      <c r="N1139" t="str">
        <f>VLOOKUP(M1139,[1]LOJA!$A:$B,2,0)</f>
        <v>ÚNICA</v>
      </c>
      <c r="O1139">
        <v>230</v>
      </c>
      <c r="P1139" t="str">
        <f>VLOOKUP(O1139,[1]OPERADORES!$A:$B,2,0)</f>
        <v>SÔNIA</v>
      </c>
      <c r="Q1139">
        <v>23</v>
      </c>
      <c r="R1139">
        <v>204838</v>
      </c>
      <c r="S1139" t="s">
        <v>55</v>
      </c>
      <c r="T1139" s="1">
        <v>45987</v>
      </c>
      <c r="U1139">
        <v>296.57</v>
      </c>
      <c r="V1139">
        <v>296.57</v>
      </c>
    </row>
    <row r="1140" spans="1:22" x14ac:dyDescent="0.3">
      <c r="A1140" t="s">
        <v>2799</v>
      </c>
      <c r="B1140" t="s">
        <v>2800</v>
      </c>
      <c r="C1140" t="s">
        <v>226</v>
      </c>
      <c r="D1140" t="s">
        <v>5817</v>
      </c>
      <c r="E1140" t="s">
        <v>15</v>
      </c>
      <c r="J1140" s="1">
        <v>46081</v>
      </c>
      <c r="K1140">
        <v>3</v>
      </c>
      <c r="L1140" t="s">
        <v>5819</v>
      </c>
      <c r="M1140">
        <v>9</v>
      </c>
      <c r="N1140" t="str">
        <f>VLOOKUP(M1140,[1]LOJA!$A:$B,2,0)</f>
        <v>ÚNICA</v>
      </c>
      <c r="O1140">
        <v>230</v>
      </c>
      <c r="P1140" t="str">
        <f>VLOOKUP(O1140,[1]OPERADORES!$A:$B,2,0)</f>
        <v>SÔNIA</v>
      </c>
      <c r="Q1140">
        <v>23</v>
      </c>
      <c r="R1140">
        <v>210884</v>
      </c>
      <c r="S1140" t="s">
        <v>53</v>
      </c>
      <c r="T1140" s="1">
        <v>46021</v>
      </c>
      <c r="U1140">
        <v>274.62</v>
      </c>
      <c r="V1140">
        <v>274.62</v>
      </c>
    </row>
    <row r="1141" spans="1:22" x14ac:dyDescent="0.3">
      <c r="A1141" t="s">
        <v>2799</v>
      </c>
      <c r="B1141" t="s">
        <v>2800</v>
      </c>
      <c r="C1141" t="s">
        <v>226</v>
      </c>
      <c r="D1141" t="s">
        <v>5817</v>
      </c>
      <c r="E1141" t="s">
        <v>15</v>
      </c>
      <c r="J1141" s="1">
        <v>46082</v>
      </c>
      <c r="K1141">
        <v>2</v>
      </c>
      <c r="L1141" t="s">
        <v>5820</v>
      </c>
      <c r="M1141">
        <v>9</v>
      </c>
      <c r="N1141" t="str">
        <f>VLOOKUP(M1141,[1]LOJA!$A:$B,2,0)</f>
        <v>ÚNICA</v>
      </c>
      <c r="O1141">
        <v>230</v>
      </c>
      <c r="P1141" t="str">
        <f>VLOOKUP(O1141,[1]OPERADORES!$A:$B,2,0)</f>
        <v>SÔNIA</v>
      </c>
      <c r="Q1141">
        <v>23</v>
      </c>
      <c r="R1141">
        <v>216998</v>
      </c>
      <c r="S1141" t="s">
        <v>1445</v>
      </c>
      <c r="T1141" s="1">
        <v>46052</v>
      </c>
      <c r="U1141">
        <v>164.77</v>
      </c>
      <c r="V1141">
        <v>164.77</v>
      </c>
    </row>
    <row r="1142" spans="1:22" x14ac:dyDescent="0.3">
      <c r="A1142" t="s">
        <v>2799</v>
      </c>
      <c r="B1142" t="s">
        <v>2800</v>
      </c>
      <c r="C1142" t="s">
        <v>226</v>
      </c>
      <c r="D1142" t="s">
        <v>5817</v>
      </c>
      <c r="E1142" t="s">
        <v>15</v>
      </c>
      <c r="J1142" s="1">
        <v>46083</v>
      </c>
      <c r="K1142">
        <v>1</v>
      </c>
      <c r="L1142" t="s">
        <v>5821</v>
      </c>
      <c r="M1142">
        <v>9</v>
      </c>
      <c r="N1142" t="str">
        <f>VLOOKUP(M1142,[1]LOJA!$A:$B,2,0)</f>
        <v>ÚNICA</v>
      </c>
      <c r="O1142">
        <v>230</v>
      </c>
      <c r="P1142" t="str">
        <f>VLOOKUP(O1142,[1]OPERADORES!$A:$B,2,0)</f>
        <v>SÔNIA</v>
      </c>
      <c r="Q1142">
        <v>23</v>
      </c>
      <c r="R1142">
        <v>205744</v>
      </c>
      <c r="S1142" t="s">
        <v>976</v>
      </c>
      <c r="T1142" s="1">
        <v>45993</v>
      </c>
      <c r="U1142">
        <v>265.35000000000002</v>
      </c>
      <c r="V1142">
        <v>265.35000000000002</v>
      </c>
    </row>
    <row r="1143" spans="1:22" x14ac:dyDescent="0.3">
      <c r="A1143" t="s">
        <v>2799</v>
      </c>
      <c r="B1143" t="s">
        <v>2800</v>
      </c>
      <c r="C1143" t="s">
        <v>226</v>
      </c>
      <c r="D1143" t="s">
        <v>5817</v>
      </c>
      <c r="E1143" t="s">
        <v>15</v>
      </c>
      <c r="J1143" s="1">
        <v>46084</v>
      </c>
      <c r="K1143">
        <v>0</v>
      </c>
      <c r="L1143" t="s">
        <v>5822</v>
      </c>
      <c r="M1143">
        <v>9</v>
      </c>
      <c r="N1143" t="str">
        <f>VLOOKUP(M1143,[1]LOJA!$A:$B,2,0)</f>
        <v>ÚNICA</v>
      </c>
      <c r="O1143">
        <v>230</v>
      </c>
      <c r="P1143" t="str">
        <f>VLOOKUP(O1143,[1]OPERADORES!$A:$B,2,0)</f>
        <v>SÔNIA</v>
      </c>
      <c r="Q1143">
        <v>23</v>
      </c>
      <c r="R1143">
        <v>211106</v>
      </c>
      <c r="S1143" t="s">
        <v>46</v>
      </c>
      <c r="T1143" s="1">
        <v>46024</v>
      </c>
      <c r="U1143">
        <v>131.47999999999999</v>
      </c>
      <c r="V1143">
        <v>131.47999999999999</v>
      </c>
    </row>
    <row r="1144" spans="1:22" x14ac:dyDescent="0.3">
      <c r="A1144" t="s">
        <v>2801</v>
      </c>
      <c r="B1144" t="s">
        <v>2802</v>
      </c>
      <c r="C1144" t="s">
        <v>13</v>
      </c>
      <c r="D1144" t="s">
        <v>2803</v>
      </c>
      <c r="E1144" t="s">
        <v>15</v>
      </c>
      <c r="J1144" s="1">
        <v>46037</v>
      </c>
      <c r="K1144">
        <v>47</v>
      </c>
      <c r="L1144" t="s">
        <v>2804</v>
      </c>
      <c r="M1144">
        <v>9</v>
      </c>
      <c r="N1144" t="str">
        <f>VLOOKUP(M1144,[1]LOJA!$A:$B,2,0)</f>
        <v>ÚNICA</v>
      </c>
      <c r="O1144">
        <v>144</v>
      </c>
      <c r="P1144" t="str">
        <f>VLOOKUP(O1144,[1]OPERADORES!$A:$B,2,0)</f>
        <v>CINTIA DA SILVA CARLOS</v>
      </c>
      <c r="Q1144">
        <v>4</v>
      </c>
      <c r="S1144" t="s">
        <v>110</v>
      </c>
      <c r="T1144" s="1">
        <v>46037</v>
      </c>
      <c r="U1144">
        <v>-530.51</v>
      </c>
      <c r="V1144">
        <v>-530.51</v>
      </c>
    </row>
    <row r="1145" spans="1:22" x14ac:dyDescent="0.3">
      <c r="A1145" t="s">
        <v>2805</v>
      </c>
      <c r="B1145" t="s">
        <v>2806</v>
      </c>
      <c r="C1145" t="s">
        <v>226</v>
      </c>
      <c r="D1145" t="s">
        <v>2807</v>
      </c>
      <c r="E1145" t="s">
        <v>15</v>
      </c>
      <c r="J1145" s="1">
        <v>45770</v>
      </c>
      <c r="K1145">
        <v>314</v>
      </c>
      <c r="L1145" t="s">
        <v>2808</v>
      </c>
      <c r="M1145">
        <v>9</v>
      </c>
      <c r="N1145" t="str">
        <f>VLOOKUP(M1145,[1]LOJA!$A:$B,2,0)</f>
        <v>ÚNICA</v>
      </c>
      <c r="O1145">
        <v>196</v>
      </c>
      <c r="P1145" t="str">
        <f>VLOOKUP(O1145,[1]OPERADORES!$A:$B,2,0)</f>
        <v>KASSIANO MARCUS ALVES SILVA</v>
      </c>
      <c r="Q1145">
        <v>4</v>
      </c>
      <c r="S1145" t="s">
        <v>2809</v>
      </c>
      <c r="T1145" s="1">
        <v>45770</v>
      </c>
      <c r="U1145">
        <v>-99.02</v>
      </c>
      <c r="V1145">
        <v>-99.02</v>
      </c>
    </row>
    <row r="1146" spans="1:22" x14ac:dyDescent="0.3">
      <c r="A1146" t="s">
        <v>2810</v>
      </c>
      <c r="B1146" t="s">
        <v>2811</v>
      </c>
      <c r="C1146" t="s">
        <v>43</v>
      </c>
      <c r="D1146" t="s">
        <v>2812</v>
      </c>
      <c r="E1146" t="s">
        <v>15</v>
      </c>
      <c r="J1146" s="1">
        <v>44545</v>
      </c>
      <c r="K1146">
        <v>1539</v>
      </c>
      <c r="L1146" t="s">
        <v>2813</v>
      </c>
      <c r="M1146">
        <v>16</v>
      </c>
      <c r="N1146" t="str">
        <f>VLOOKUP(M1146,[1]LOJA!$A:$B,2,0)</f>
        <v>AG LINDAS</v>
      </c>
      <c r="O1146">
        <v>84</v>
      </c>
      <c r="P1146" t="str">
        <f>VLOOKUP(O1146,[1]OPERADORES!$A:$B,2,0)</f>
        <v>JEICY AZEVEDO</v>
      </c>
      <c r="Q1146">
        <v>22</v>
      </c>
      <c r="R1146">
        <v>1000005394</v>
      </c>
      <c r="S1146" t="s">
        <v>2814</v>
      </c>
      <c r="T1146" s="1">
        <v>44533</v>
      </c>
      <c r="U1146">
        <v>444.91</v>
      </c>
      <c r="V1146">
        <v>444.91</v>
      </c>
    </row>
    <row r="1147" spans="1:22" x14ac:dyDescent="0.3">
      <c r="A1147" t="s">
        <v>2815</v>
      </c>
      <c r="B1147" t="s">
        <v>2816</v>
      </c>
      <c r="C1147" t="s">
        <v>13</v>
      </c>
      <c r="D1147" t="s">
        <v>5823</v>
      </c>
      <c r="E1147" t="s">
        <v>15</v>
      </c>
      <c r="J1147" s="1">
        <v>44788</v>
      </c>
      <c r="K1147">
        <v>1296</v>
      </c>
      <c r="L1147" t="s">
        <v>2817</v>
      </c>
      <c r="M1147">
        <v>1</v>
      </c>
      <c r="N1147" t="str">
        <f>VLOOKUP(M1147,[1]LOJA!$A:$B,2,0)</f>
        <v>GUARÁ</v>
      </c>
      <c r="O1147">
        <v>28</v>
      </c>
      <c r="P1147" t="str">
        <f>VLOOKUP(O1147,[1]OPERADORES!$A:$B,2,0)</f>
        <v>GABRIELA</v>
      </c>
      <c r="Q1147">
        <v>4</v>
      </c>
      <c r="S1147" t="s">
        <v>2818</v>
      </c>
      <c r="T1147" s="1">
        <v>44788</v>
      </c>
      <c r="U1147">
        <v>-2.63</v>
      </c>
      <c r="V1147">
        <v>-2.63</v>
      </c>
    </row>
    <row r="1148" spans="1:22" x14ac:dyDescent="0.3">
      <c r="A1148" t="s">
        <v>2815</v>
      </c>
      <c r="B1148" t="s">
        <v>2816</v>
      </c>
      <c r="C1148" t="s">
        <v>13</v>
      </c>
      <c r="D1148" t="s">
        <v>5823</v>
      </c>
      <c r="E1148" t="s">
        <v>15</v>
      </c>
      <c r="J1148" s="1">
        <v>45216</v>
      </c>
      <c r="K1148">
        <v>868</v>
      </c>
      <c r="L1148" t="s">
        <v>2819</v>
      </c>
      <c r="M1148">
        <v>14</v>
      </c>
      <c r="N1148" t="str">
        <f>VLOOKUP(M1148,[1]LOJA!$A:$B,2,0)</f>
        <v>S IA</v>
      </c>
      <c r="O1148">
        <v>144</v>
      </c>
      <c r="P1148" t="str">
        <f>VLOOKUP(O1148,[1]OPERADORES!$A:$B,2,0)</f>
        <v>CINTIA DA SILVA CARLOS</v>
      </c>
      <c r="Q1148">
        <v>10</v>
      </c>
      <c r="S1148" t="s">
        <v>2820</v>
      </c>
      <c r="T1148" s="1">
        <v>45216</v>
      </c>
      <c r="U1148">
        <v>-4.3499999999999996</v>
      </c>
      <c r="V1148">
        <v>-4.3499999999999996</v>
      </c>
    </row>
    <row r="1149" spans="1:22" x14ac:dyDescent="0.3">
      <c r="A1149" t="s">
        <v>2815</v>
      </c>
      <c r="B1149" t="s">
        <v>2816</v>
      </c>
      <c r="C1149" t="s">
        <v>13</v>
      </c>
      <c r="D1149" t="s">
        <v>5823</v>
      </c>
      <c r="E1149" t="s">
        <v>15</v>
      </c>
      <c r="J1149" s="1">
        <v>46057</v>
      </c>
      <c r="K1149">
        <v>27</v>
      </c>
      <c r="L1149" t="s">
        <v>2821</v>
      </c>
      <c r="M1149">
        <v>22</v>
      </c>
      <c r="N1149" t="str">
        <f>VLOOKUP(M1149,[1]LOJA!$A:$B,2,0)</f>
        <v>GUARÁ</v>
      </c>
      <c r="O1149">
        <v>93</v>
      </c>
      <c r="P1149" t="str">
        <f>VLOOKUP(O1149,[1]OPERADORES!$A:$B,2,0)</f>
        <v>PATRICIA</v>
      </c>
      <c r="Q1149">
        <v>7</v>
      </c>
      <c r="S1149" t="s">
        <v>87</v>
      </c>
      <c r="T1149" s="1">
        <v>46042</v>
      </c>
      <c r="U1149">
        <v>255.55</v>
      </c>
      <c r="V1149">
        <v>255.55</v>
      </c>
    </row>
    <row r="1150" spans="1:22" x14ac:dyDescent="0.3">
      <c r="A1150" t="s">
        <v>2815</v>
      </c>
      <c r="B1150" t="s">
        <v>2816</v>
      </c>
      <c r="C1150" t="s">
        <v>13</v>
      </c>
      <c r="D1150" t="s">
        <v>5823</v>
      </c>
      <c r="E1150" t="s">
        <v>15</v>
      </c>
      <c r="J1150" s="1">
        <v>46059</v>
      </c>
      <c r="K1150">
        <v>25</v>
      </c>
      <c r="L1150" t="s">
        <v>2822</v>
      </c>
      <c r="M1150">
        <v>22</v>
      </c>
      <c r="N1150" t="str">
        <f>VLOOKUP(M1150,[1]LOJA!$A:$B,2,0)</f>
        <v>GUARÁ</v>
      </c>
      <c r="O1150">
        <v>93</v>
      </c>
      <c r="P1150" t="str">
        <f>VLOOKUP(O1150,[1]OPERADORES!$A:$B,2,0)</f>
        <v>PATRICIA</v>
      </c>
      <c r="Q1150">
        <v>7</v>
      </c>
      <c r="S1150" t="s">
        <v>87</v>
      </c>
      <c r="T1150" s="1">
        <v>46044</v>
      </c>
      <c r="U1150">
        <v>109.72</v>
      </c>
      <c r="V1150">
        <v>109.72</v>
      </c>
    </row>
    <row r="1151" spans="1:22" x14ac:dyDescent="0.3">
      <c r="A1151" t="s">
        <v>2815</v>
      </c>
      <c r="B1151" t="s">
        <v>2816</v>
      </c>
      <c r="C1151" t="s">
        <v>13</v>
      </c>
      <c r="D1151" t="s">
        <v>5823</v>
      </c>
      <c r="E1151" t="s">
        <v>15</v>
      </c>
      <c r="J1151" s="1">
        <v>46074</v>
      </c>
      <c r="K1151">
        <v>10</v>
      </c>
      <c r="L1151" t="s">
        <v>5824</v>
      </c>
      <c r="M1151">
        <v>22</v>
      </c>
      <c r="N1151" t="str">
        <f>VLOOKUP(M1151,[1]LOJA!$A:$B,2,0)</f>
        <v>GUARÁ</v>
      </c>
      <c r="O1151">
        <v>93</v>
      </c>
      <c r="P1151" t="str">
        <f>VLOOKUP(O1151,[1]OPERADORES!$A:$B,2,0)</f>
        <v>PATRICIA</v>
      </c>
      <c r="Q1151">
        <v>7</v>
      </c>
      <c r="S1151" t="s">
        <v>87</v>
      </c>
      <c r="T1151" s="1">
        <v>46059</v>
      </c>
      <c r="U1151">
        <v>166</v>
      </c>
      <c r="V1151">
        <v>166</v>
      </c>
    </row>
    <row r="1152" spans="1:22" x14ac:dyDescent="0.3">
      <c r="A1152" t="s">
        <v>2823</v>
      </c>
      <c r="B1152" t="s">
        <v>2824</v>
      </c>
      <c r="C1152" t="s">
        <v>43</v>
      </c>
      <c r="D1152" t="s">
        <v>2825</v>
      </c>
      <c r="E1152" t="s">
        <v>15</v>
      </c>
      <c r="J1152" s="1">
        <v>45496</v>
      </c>
      <c r="K1152">
        <v>588</v>
      </c>
      <c r="L1152" t="s">
        <v>2826</v>
      </c>
      <c r="M1152">
        <v>12</v>
      </c>
      <c r="N1152" t="str">
        <f>VLOOKUP(M1152,[1]LOJA!$A:$B,2,0)</f>
        <v>SOFNORTE</v>
      </c>
      <c r="O1152">
        <v>209</v>
      </c>
      <c r="P1152" t="str">
        <f>VLOOKUP(O1152,[1]OPERADORES!$A:$B,2,0)</f>
        <v>MARIA WITHALINA CUNHA DE SOUZA</v>
      </c>
      <c r="Q1152">
        <v>4</v>
      </c>
      <c r="S1152" t="s">
        <v>2827</v>
      </c>
      <c r="T1152" s="1">
        <v>45496</v>
      </c>
      <c r="U1152">
        <v>-0.15</v>
      </c>
      <c r="V1152">
        <v>-0.15</v>
      </c>
    </row>
    <row r="1153" spans="1:22" x14ac:dyDescent="0.3">
      <c r="A1153" t="s">
        <v>2828</v>
      </c>
      <c r="B1153" t="s">
        <v>2829</v>
      </c>
      <c r="C1153" t="s">
        <v>13</v>
      </c>
      <c r="D1153" t="s">
        <v>760</v>
      </c>
      <c r="E1153" t="s">
        <v>15</v>
      </c>
      <c r="J1153" s="1">
        <v>46007</v>
      </c>
      <c r="K1153">
        <v>77</v>
      </c>
      <c r="L1153" t="s">
        <v>2830</v>
      </c>
      <c r="M1153">
        <v>4</v>
      </c>
      <c r="N1153" t="str">
        <f>VLOOKUP(M1153,[1]LOJA!$A:$B,2,0)</f>
        <v>ADE</v>
      </c>
      <c r="O1153">
        <v>226</v>
      </c>
      <c r="P1153" t="str">
        <f>VLOOKUP(O1153,[1]OPERADORES!$A:$B,2,0)</f>
        <v>MARIA FÉLIX</v>
      </c>
      <c r="Q1153">
        <v>4</v>
      </c>
      <c r="S1153" t="s">
        <v>2831</v>
      </c>
      <c r="T1153" s="1">
        <v>46007</v>
      </c>
      <c r="U1153">
        <v>-0.02</v>
      </c>
      <c r="V1153">
        <v>-0.02</v>
      </c>
    </row>
    <row r="1154" spans="1:22" x14ac:dyDescent="0.3">
      <c r="A1154" t="s">
        <v>2832</v>
      </c>
      <c r="B1154" t="s">
        <v>2833</v>
      </c>
      <c r="C1154" t="s">
        <v>2834</v>
      </c>
      <c r="D1154" t="s">
        <v>2835</v>
      </c>
      <c r="E1154" t="s">
        <v>15</v>
      </c>
      <c r="J1154" s="1">
        <v>44719</v>
      </c>
      <c r="K1154">
        <v>1365</v>
      </c>
      <c r="L1154" t="s">
        <v>2836</v>
      </c>
      <c r="M1154">
        <v>9</v>
      </c>
      <c r="N1154" t="str">
        <f>VLOOKUP(M1154,[1]LOJA!$A:$B,2,0)</f>
        <v>ÚNICA</v>
      </c>
      <c r="O1154">
        <v>145</v>
      </c>
      <c r="P1154" t="str">
        <f>VLOOKUP(O1154,[1]OPERADORES!$A:$B,2,0)</f>
        <v xml:space="preserve">FABRICIA </v>
      </c>
      <c r="Q1154">
        <v>23</v>
      </c>
      <c r="R1154">
        <v>21521</v>
      </c>
      <c r="S1154" t="s">
        <v>976</v>
      </c>
      <c r="T1154" s="1">
        <v>44677</v>
      </c>
      <c r="U1154">
        <v>340.5</v>
      </c>
      <c r="V1154">
        <v>340.5</v>
      </c>
    </row>
    <row r="1155" spans="1:22" x14ac:dyDescent="0.3">
      <c r="A1155" t="s">
        <v>2832</v>
      </c>
      <c r="B1155" t="s">
        <v>2833</v>
      </c>
      <c r="C1155" t="s">
        <v>2834</v>
      </c>
      <c r="D1155" t="s">
        <v>2835</v>
      </c>
      <c r="E1155" t="s">
        <v>15</v>
      </c>
      <c r="J1155" s="1">
        <v>44719</v>
      </c>
      <c r="K1155">
        <v>1365</v>
      </c>
      <c r="L1155" t="s">
        <v>2837</v>
      </c>
      <c r="M1155">
        <v>9</v>
      </c>
      <c r="N1155" t="str">
        <f>VLOOKUP(M1155,[1]LOJA!$A:$B,2,0)</f>
        <v>ÚNICA</v>
      </c>
      <c r="O1155">
        <v>6</v>
      </c>
      <c r="P1155" t="str">
        <f>VLOOKUP(O1155,[1]OPERADORES!$A:$B,2,0)</f>
        <v>SUZANA</v>
      </c>
      <c r="Q1155">
        <v>23</v>
      </c>
      <c r="R1155">
        <v>22313</v>
      </c>
      <c r="S1155" t="s">
        <v>51</v>
      </c>
      <c r="T1155" s="1">
        <v>44691</v>
      </c>
      <c r="U1155">
        <v>583.98</v>
      </c>
      <c r="V1155">
        <v>583.98</v>
      </c>
    </row>
    <row r="1156" spans="1:22" x14ac:dyDescent="0.3">
      <c r="A1156" t="s">
        <v>2832</v>
      </c>
      <c r="B1156" t="s">
        <v>2833</v>
      </c>
      <c r="C1156" t="s">
        <v>2834</v>
      </c>
      <c r="D1156" t="s">
        <v>2835</v>
      </c>
      <c r="E1156" t="s">
        <v>15</v>
      </c>
      <c r="J1156" s="1">
        <v>44720</v>
      </c>
      <c r="K1156">
        <v>1364</v>
      </c>
      <c r="L1156" t="s">
        <v>2838</v>
      </c>
      <c r="M1156">
        <v>9</v>
      </c>
      <c r="N1156" t="str">
        <f>VLOOKUP(M1156,[1]LOJA!$A:$B,2,0)</f>
        <v>ÚNICA</v>
      </c>
      <c r="O1156">
        <v>6</v>
      </c>
      <c r="P1156" t="str">
        <f>VLOOKUP(O1156,[1]OPERADORES!$A:$B,2,0)</f>
        <v>SUZANA</v>
      </c>
      <c r="Q1156">
        <v>23</v>
      </c>
      <c r="R1156">
        <v>20333</v>
      </c>
      <c r="S1156" t="s">
        <v>780</v>
      </c>
      <c r="T1156" s="1">
        <v>44648</v>
      </c>
      <c r="U1156">
        <v>441.92</v>
      </c>
      <c r="V1156">
        <v>441.92</v>
      </c>
    </row>
    <row r="1157" spans="1:22" x14ac:dyDescent="0.3">
      <c r="A1157" t="s">
        <v>2832</v>
      </c>
      <c r="B1157" t="s">
        <v>2833</v>
      </c>
      <c r="C1157" t="s">
        <v>2834</v>
      </c>
      <c r="D1157" t="s">
        <v>2835</v>
      </c>
      <c r="E1157" t="s">
        <v>15</v>
      </c>
      <c r="J1157" s="1">
        <v>44732</v>
      </c>
      <c r="K1157">
        <v>1352</v>
      </c>
      <c r="L1157" t="s">
        <v>2839</v>
      </c>
      <c r="M1157">
        <v>9</v>
      </c>
      <c r="N1157" t="str">
        <f>VLOOKUP(M1157,[1]LOJA!$A:$B,2,0)</f>
        <v>ÚNICA</v>
      </c>
      <c r="O1157">
        <v>6</v>
      </c>
      <c r="P1157" t="str">
        <f>VLOOKUP(O1157,[1]OPERADORES!$A:$B,2,0)</f>
        <v>SUZANA</v>
      </c>
      <c r="Q1157">
        <v>23</v>
      </c>
      <c r="R1157">
        <v>23071</v>
      </c>
      <c r="S1157" t="s">
        <v>51</v>
      </c>
      <c r="T1157" s="1">
        <v>44704</v>
      </c>
      <c r="U1157">
        <v>654.38</v>
      </c>
      <c r="V1157">
        <v>654.38</v>
      </c>
    </row>
    <row r="1158" spans="1:22" x14ac:dyDescent="0.3">
      <c r="A1158" t="s">
        <v>2832</v>
      </c>
      <c r="B1158" t="s">
        <v>2833</v>
      </c>
      <c r="C1158" t="s">
        <v>2834</v>
      </c>
      <c r="D1158" t="s">
        <v>2835</v>
      </c>
      <c r="E1158" t="s">
        <v>15</v>
      </c>
      <c r="J1158" s="1">
        <v>44733</v>
      </c>
      <c r="K1158">
        <v>1351</v>
      </c>
      <c r="L1158" t="s">
        <v>2840</v>
      </c>
      <c r="M1158">
        <v>9</v>
      </c>
      <c r="N1158" t="str">
        <f>VLOOKUP(M1158,[1]LOJA!$A:$B,2,0)</f>
        <v>ÚNICA</v>
      </c>
      <c r="O1158">
        <v>145</v>
      </c>
      <c r="P1158" t="str">
        <f>VLOOKUP(O1158,[1]OPERADORES!$A:$B,2,0)</f>
        <v xml:space="preserve">FABRICIA </v>
      </c>
      <c r="Q1158">
        <v>23</v>
      </c>
      <c r="R1158">
        <v>21539</v>
      </c>
      <c r="S1158" t="s">
        <v>780</v>
      </c>
      <c r="T1158" s="1">
        <v>44677</v>
      </c>
      <c r="U1158">
        <v>340.5</v>
      </c>
      <c r="V1158">
        <v>340.5</v>
      </c>
    </row>
    <row r="1159" spans="1:22" x14ac:dyDescent="0.3">
      <c r="A1159" t="s">
        <v>2832</v>
      </c>
      <c r="B1159" t="s">
        <v>2833</v>
      </c>
      <c r="C1159" t="s">
        <v>2834</v>
      </c>
      <c r="D1159" t="s">
        <v>2835</v>
      </c>
      <c r="E1159" t="s">
        <v>15</v>
      </c>
      <c r="J1159" s="1">
        <v>44733</v>
      </c>
      <c r="K1159">
        <v>1351</v>
      </c>
      <c r="L1159" t="s">
        <v>2841</v>
      </c>
      <c r="M1159">
        <v>9</v>
      </c>
      <c r="N1159" t="str">
        <f>VLOOKUP(M1159,[1]LOJA!$A:$B,2,0)</f>
        <v>ÚNICA</v>
      </c>
      <c r="O1159">
        <v>6</v>
      </c>
      <c r="P1159" t="str">
        <f>VLOOKUP(O1159,[1]OPERADORES!$A:$B,2,0)</f>
        <v>SUZANA</v>
      </c>
      <c r="Q1159">
        <v>23</v>
      </c>
      <c r="R1159">
        <v>22321</v>
      </c>
      <c r="S1159" t="s">
        <v>53</v>
      </c>
      <c r="T1159" s="1">
        <v>44691</v>
      </c>
      <c r="U1159">
        <v>583.98</v>
      </c>
      <c r="V1159">
        <v>583.98</v>
      </c>
    </row>
    <row r="1160" spans="1:22" x14ac:dyDescent="0.3">
      <c r="A1160" t="s">
        <v>2832</v>
      </c>
      <c r="B1160" t="s">
        <v>2833</v>
      </c>
      <c r="C1160" t="s">
        <v>2834</v>
      </c>
      <c r="D1160" t="s">
        <v>2835</v>
      </c>
      <c r="E1160" t="s">
        <v>15</v>
      </c>
      <c r="J1160" s="1">
        <v>44746</v>
      </c>
      <c r="K1160">
        <v>1338</v>
      </c>
      <c r="L1160" t="s">
        <v>2842</v>
      </c>
      <c r="M1160">
        <v>9</v>
      </c>
      <c r="N1160" t="str">
        <f>VLOOKUP(M1160,[1]LOJA!$A:$B,2,0)</f>
        <v>ÚNICA</v>
      </c>
      <c r="O1160">
        <v>6</v>
      </c>
      <c r="P1160" t="str">
        <f>VLOOKUP(O1160,[1]OPERADORES!$A:$B,2,0)</f>
        <v>SUZANA</v>
      </c>
      <c r="Q1160">
        <v>23</v>
      </c>
      <c r="R1160">
        <v>23089</v>
      </c>
      <c r="S1160" t="s">
        <v>53</v>
      </c>
      <c r="T1160" s="1">
        <v>44704</v>
      </c>
      <c r="U1160">
        <v>654.38</v>
      </c>
      <c r="V1160">
        <v>654.38</v>
      </c>
    </row>
    <row r="1161" spans="1:22" x14ac:dyDescent="0.3">
      <c r="A1161" t="s">
        <v>2832</v>
      </c>
      <c r="B1161" t="s">
        <v>2833</v>
      </c>
      <c r="C1161" t="s">
        <v>2834</v>
      </c>
      <c r="D1161" t="s">
        <v>2835</v>
      </c>
      <c r="E1161" t="s">
        <v>15</v>
      </c>
      <c r="J1161" s="1">
        <v>44747</v>
      </c>
      <c r="K1161">
        <v>1337</v>
      </c>
      <c r="L1161" t="s">
        <v>2843</v>
      </c>
      <c r="M1161">
        <v>9</v>
      </c>
      <c r="N1161" t="str">
        <f>VLOOKUP(M1161,[1]LOJA!$A:$B,2,0)</f>
        <v>ÚNICA</v>
      </c>
      <c r="O1161">
        <v>6</v>
      </c>
      <c r="P1161" t="str">
        <f>VLOOKUP(O1161,[1]OPERADORES!$A:$B,2,0)</f>
        <v>SUZANA</v>
      </c>
      <c r="Q1161">
        <v>23</v>
      </c>
      <c r="R1161">
        <v>22339</v>
      </c>
      <c r="S1161" t="s">
        <v>55</v>
      </c>
      <c r="T1161" s="1">
        <v>44691</v>
      </c>
      <c r="U1161">
        <v>583.98</v>
      </c>
      <c r="V1161">
        <v>583.98</v>
      </c>
    </row>
    <row r="1162" spans="1:22" x14ac:dyDescent="0.3">
      <c r="A1162" t="s">
        <v>2832</v>
      </c>
      <c r="B1162" t="s">
        <v>2833</v>
      </c>
      <c r="C1162" t="s">
        <v>2834</v>
      </c>
      <c r="D1162" t="s">
        <v>2835</v>
      </c>
      <c r="E1162" t="s">
        <v>15</v>
      </c>
      <c r="J1162" s="1">
        <v>44760</v>
      </c>
      <c r="K1162">
        <v>1324</v>
      </c>
      <c r="L1162" t="s">
        <v>2844</v>
      </c>
      <c r="M1162">
        <v>9</v>
      </c>
      <c r="N1162" t="str">
        <f>VLOOKUP(M1162,[1]LOJA!$A:$B,2,0)</f>
        <v>ÚNICA</v>
      </c>
      <c r="O1162">
        <v>6</v>
      </c>
      <c r="P1162" t="str">
        <f>VLOOKUP(O1162,[1]OPERADORES!$A:$B,2,0)</f>
        <v>SUZANA</v>
      </c>
      <c r="Q1162">
        <v>23</v>
      </c>
      <c r="R1162">
        <v>23097</v>
      </c>
      <c r="S1162" t="s">
        <v>55</v>
      </c>
      <c r="T1162" s="1">
        <v>44704</v>
      </c>
      <c r="U1162">
        <v>654.38</v>
      </c>
      <c r="V1162">
        <v>654.38</v>
      </c>
    </row>
    <row r="1163" spans="1:22" x14ac:dyDescent="0.3">
      <c r="A1163" t="s">
        <v>2845</v>
      </c>
      <c r="B1163" t="s">
        <v>2846</v>
      </c>
      <c r="C1163" t="s">
        <v>293</v>
      </c>
      <c r="D1163" t="s">
        <v>5825</v>
      </c>
      <c r="E1163" t="s">
        <v>15</v>
      </c>
      <c r="J1163" s="1">
        <v>46073</v>
      </c>
      <c r="K1163">
        <v>11</v>
      </c>
      <c r="L1163" t="s">
        <v>5663</v>
      </c>
      <c r="M1163">
        <v>22</v>
      </c>
      <c r="N1163" t="str">
        <f>VLOOKUP(M1163,[1]LOJA!$A:$B,2,0)</f>
        <v>GUARÁ</v>
      </c>
      <c r="O1163">
        <v>20</v>
      </c>
      <c r="P1163" t="str">
        <f>VLOOKUP(O1163,[1]OPERADORES!$A:$B,2,0)</f>
        <v>MAYARA</v>
      </c>
      <c r="Q1163">
        <v>27</v>
      </c>
      <c r="R1163">
        <v>1000019778</v>
      </c>
      <c r="S1163" t="s">
        <v>5826</v>
      </c>
      <c r="T1163" s="1">
        <v>46028</v>
      </c>
      <c r="U1163">
        <v>514.75</v>
      </c>
      <c r="V1163">
        <v>514.75</v>
      </c>
    </row>
    <row r="1164" spans="1:22" x14ac:dyDescent="0.3">
      <c r="A1164" t="s">
        <v>2845</v>
      </c>
      <c r="B1164" t="s">
        <v>2846</v>
      </c>
      <c r="C1164" t="s">
        <v>293</v>
      </c>
      <c r="D1164" t="s">
        <v>5825</v>
      </c>
      <c r="E1164" t="s">
        <v>15</v>
      </c>
      <c r="J1164" s="1">
        <v>46084</v>
      </c>
      <c r="K1164">
        <v>0</v>
      </c>
      <c r="L1164" t="s">
        <v>5827</v>
      </c>
      <c r="M1164">
        <v>22</v>
      </c>
      <c r="N1164" t="str">
        <f>VLOOKUP(M1164,[1]LOJA!$A:$B,2,0)</f>
        <v>GUARÁ</v>
      </c>
      <c r="O1164">
        <v>20</v>
      </c>
      <c r="P1164" t="str">
        <f>VLOOKUP(O1164,[1]OPERADORES!$A:$B,2,0)</f>
        <v>MAYARA</v>
      </c>
      <c r="Q1164">
        <v>27</v>
      </c>
      <c r="R1164">
        <v>1000019337</v>
      </c>
      <c r="S1164" t="s">
        <v>5828</v>
      </c>
      <c r="T1164" s="1">
        <v>45994</v>
      </c>
      <c r="U1164" s="2">
        <v>1673</v>
      </c>
      <c r="V1164" s="2">
        <v>1673</v>
      </c>
    </row>
    <row r="1165" spans="1:22" x14ac:dyDescent="0.3">
      <c r="A1165" t="s">
        <v>2847</v>
      </c>
      <c r="B1165" t="s">
        <v>2848</v>
      </c>
      <c r="C1165" t="s">
        <v>13</v>
      </c>
      <c r="D1165" t="s">
        <v>2849</v>
      </c>
      <c r="E1165" t="s">
        <v>15</v>
      </c>
      <c r="J1165" s="1">
        <v>45159</v>
      </c>
      <c r="K1165">
        <v>925</v>
      </c>
      <c r="L1165" t="s">
        <v>2850</v>
      </c>
      <c r="M1165">
        <v>12</v>
      </c>
      <c r="N1165" t="str">
        <f>VLOOKUP(M1165,[1]LOJA!$A:$B,2,0)</f>
        <v>SOFNORTE</v>
      </c>
      <c r="O1165">
        <v>147</v>
      </c>
      <c r="P1165" t="str">
        <f>VLOOKUP(O1165,[1]OPERADORES!$A:$B,2,0)</f>
        <v>MICAELE DA CONCEIÇAO SILVA</v>
      </c>
      <c r="Q1165">
        <v>4</v>
      </c>
      <c r="S1165" t="s">
        <v>2851</v>
      </c>
      <c r="T1165" s="1">
        <v>45159</v>
      </c>
      <c r="U1165">
        <v>-0.46</v>
      </c>
      <c r="V1165">
        <v>-0.46</v>
      </c>
    </row>
    <row r="1166" spans="1:22" x14ac:dyDescent="0.3">
      <c r="A1166" t="s">
        <v>2852</v>
      </c>
      <c r="B1166" t="s">
        <v>2853</v>
      </c>
      <c r="C1166" t="s">
        <v>13</v>
      </c>
      <c r="D1166" t="s">
        <v>137</v>
      </c>
      <c r="E1166" t="s">
        <v>15</v>
      </c>
      <c r="J1166" s="1">
        <v>45625</v>
      </c>
      <c r="K1166">
        <v>459</v>
      </c>
      <c r="L1166" t="s">
        <v>1397</v>
      </c>
      <c r="M1166">
        <v>13</v>
      </c>
      <c r="N1166" t="str">
        <f>VLOOKUP(M1166,[1]LOJA!$A:$B,2,0)</f>
        <v>CEILÂNDIA</v>
      </c>
      <c r="O1166">
        <v>67</v>
      </c>
      <c r="P1166" t="str">
        <f>VLOOKUP(O1166,[1]OPERADORES!$A:$B,2,0)</f>
        <v>ERIKA</v>
      </c>
      <c r="Q1166">
        <v>4</v>
      </c>
      <c r="S1166" t="s">
        <v>2854</v>
      </c>
      <c r="T1166" s="1">
        <v>45625</v>
      </c>
      <c r="U1166">
        <v>-0.1</v>
      </c>
      <c r="V1166">
        <v>-0.1</v>
      </c>
    </row>
    <row r="1167" spans="1:22" x14ac:dyDescent="0.3">
      <c r="A1167" t="s">
        <v>2855</v>
      </c>
      <c r="B1167" t="s">
        <v>2856</v>
      </c>
      <c r="C1167" t="s">
        <v>13</v>
      </c>
      <c r="D1167" t="s">
        <v>2586</v>
      </c>
      <c r="E1167" t="s">
        <v>15</v>
      </c>
      <c r="J1167" s="1">
        <v>44533</v>
      </c>
      <c r="K1167">
        <v>1551</v>
      </c>
      <c r="L1167" t="s">
        <v>109</v>
      </c>
      <c r="M1167">
        <v>14</v>
      </c>
      <c r="N1167" t="str">
        <f>VLOOKUP(M1167,[1]LOJA!$A:$B,2,0)</f>
        <v>S IA</v>
      </c>
      <c r="O1167">
        <v>144</v>
      </c>
      <c r="P1167" t="str">
        <f>VLOOKUP(O1167,[1]OPERADORES!$A:$B,2,0)</f>
        <v>CINTIA DA SILVA CARLOS</v>
      </c>
      <c r="Q1167">
        <v>10</v>
      </c>
      <c r="S1167" t="s">
        <v>2857</v>
      </c>
      <c r="T1167" s="1">
        <v>44533</v>
      </c>
      <c r="U1167">
        <v>-7</v>
      </c>
      <c r="V1167">
        <v>-7</v>
      </c>
    </row>
    <row r="1168" spans="1:22" x14ac:dyDescent="0.3">
      <c r="A1168" t="s">
        <v>2858</v>
      </c>
      <c r="B1168" t="s">
        <v>32</v>
      </c>
      <c r="C1168" t="s">
        <v>13</v>
      </c>
      <c r="D1168" t="s">
        <v>1590</v>
      </c>
      <c r="E1168" t="s">
        <v>15</v>
      </c>
      <c r="J1168" s="1">
        <v>45623</v>
      </c>
      <c r="K1168">
        <v>461</v>
      </c>
      <c r="L1168" t="s">
        <v>2859</v>
      </c>
      <c r="M1168">
        <v>6</v>
      </c>
      <c r="N1168" t="str">
        <f>VLOOKUP(M1168,[1]LOJA!$A:$B,2,0)</f>
        <v>GAMA</v>
      </c>
      <c r="O1168">
        <v>98</v>
      </c>
      <c r="P1168" t="str">
        <f>VLOOKUP(O1168,[1]OPERADORES!$A:$B,2,0)</f>
        <v xml:space="preserve">ARIGLEICE </v>
      </c>
      <c r="Q1168">
        <v>4</v>
      </c>
      <c r="S1168" t="s">
        <v>110</v>
      </c>
      <c r="T1168" s="1">
        <v>45623</v>
      </c>
      <c r="U1168">
        <v>-2</v>
      </c>
      <c r="V1168">
        <v>-2</v>
      </c>
    </row>
    <row r="1169" spans="1:22" x14ac:dyDescent="0.3">
      <c r="A1169" t="s">
        <v>2858</v>
      </c>
      <c r="B1169" t="s">
        <v>32</v>
      </c>
      <c r="C1169" t="s">
        <v>13</v>
      </c>
      <c r="D1169" t="s">
        <v>1590</v>
      </c>
      <c r="E1169" t="s">
        <v>15</v>
      </c>
      <c r="J1169" s="1">
        <v>45748</v>
      </c>
      <c r="K1169">
        <v>336</v>
      </c>
      <c r="L1169" t="s">
        <v>2860</v>
      </c>
      <c r="M1169">
        <v>6</v>
      </c>
      <c r="N1169" t="str">
        <f>VLOOKUP(M1169,[1]LOJA!$A:$B,2,0)</f>
        <v>GAMA</v>
      </c>
      <c r="O1169">
        <v>98</v>
      </c>
      <c r="P1169" t="str">
        <f>VLOOKUP(O1169,[1]OPERADORES!$A:$B,2,0)</f>
        <v xml:space="preserve">ARIGLEICE </v>
      </c>
      <c r="Q1169">
        <v>4</v>
      </c>
      <c r="S1169" t="s">
        <v>2861</v>
      </c>
      <c r="T1169" s="1">
        <v>45748</v>
      </c>
      <c r="U1169">
        <v>-0.9</v>
      </c>
      <c r="V1169">
        <v>-0.9</v>
      </c>
    </row>
    <row r="1170" spans="1:22" x14ac:dyDescent="0.3">
      <c r="A1170" t="s">
        <v>2862</v>
      </c>
      <c r="B1170" t="s">
        <v>2863</v>
      </c>
      <c r="C1170" t="s">
        <v>13</v>
      </c>
      <c r="D1170" t="s">
        <v>2731</v>
      </c>
      <c r="E1170" t="s">
        <v>15</v>
      </c>
      <c r="J1170" s="1">
        <v>44641</v>
      </c>
      <c r="K1170">
        <v>1443</v>
      </c>
      <c r="L1170" t="s">
        <v>2864</v>
      </c>
      <c r="M1170">
        <v>12</v>
      </c>
      <c r="N1170" t="str">
        <f>VLOOKUP(M1170,[1]LOJA!$A:$B,2,0)</f>
        <v>SOFNORTE</v>
      </c>
      <c r="O1170">
        <v>147</v>
      </c>
      <c r="P1170" t="str">
        <f>VLOOKUP(O1170,[1]OPERADORES!$A:$B,2,0)</f>
        <v>MICAELE DA CONCEIÇAO SILVA</v>
      </c>
      <c r="Q1170">
        <v>4</v>
      </c>
      <c r="S1170" t="s">
        <v>2865</v>
      </c>
      <c r="T1170" s="1">
        <v>44641</v>
      </c>
      <c r="U1170">
        <v>-66.400000000000006</v>
      </c>
      <c r="V1170">
        <v>-66.400000000000006</v>
      </c>
    </row>
    <row r="1171" spans="1:22" x14ac:dyDescent="0.3">
      <c r="A1171" t="s">
        <v>2866</v>
      </c>
      <c r="B1171" t="s">
        <v>2867</v>
      </c>
      <c r="C1171" t="s">
        <v>13</v>
      </c>
      <c r="D1171" t="s">
        <v>2868</v>
      </c>
      <c r="E1171" t="s">
        <v>15</v>
      </c>
      <c r="J1171" s="1">
        <v>45806</v>
      </c>
      <c r="K1171">
        <v>278</v>
      </c>
      <c r="L1171" t="s">
        <v>2869</v>
      </c>
      <c r="M1171">
        <v>13</v>
      </c>
      <c r="N1171" t="str">
        <f>VLOOKUP(M1171,[1]LOJA!$A:$B,2,0)</f>
        <v>CEILÂNDIA</v>
      </c>
      <c r="O1171">
        <v>67</v>
      </c>
      <c r="P1171" t="str">
        <f>VLOOKUP(O1171,[1]OPERADORES!$A:$B,2,0)</f>
        <v>ERIKA</v>
      </c>
      <c r="Q1171">
        <v>4</v>
      </c>
      <c r="S1171" t="s">
        <v>2870</v>
      </c>
      <c r="T1171" s="1">
        <v>45806</v>
      </c>
      <c r="U1171">
        <v>-0.51</v>
      </c>
      <c r="V1171">
        <v>-0.51</v>
      </c>
    </row>
    <row r="1172" spans="1:22" x14ac:dyDescent="0.3">
      <c r="A1172" t="s">
        <v>5829</v>
      </c>
      <c r="B1172" t="s">
        <v>32</v>
      </c>
      <c r="C1172" t="s">
        <v>13</v>
      </c>
      <c r="D1172" t="s">
        <v>5830</v>
      </c>
      <c r="E1172" t="s">
        <v>15</v>
      </c>
      <c r="J1172" s="1">
        <v>46084</v>
      </c>
      <c r="K1172">
        <v>0</v>
      </c>
      <c r="L1172" t="s">
        <v>5831</v>
      </c>
      <c r="M1172">
        <v>15</v>
      </c>
      <c r="N1172" t="str">
        <f>VLOOKUP(M1172,[1]LOJA!$A:$B,2,0)</f>
        <v>UNAÍ</v>
      </c>
      <c r="O1172">
        <v>232</v>
      </c>
      <c r="P1172" t="str">
        <f>VLOOKUP(O1172,[1]OPERADORES!$A:$B,2,0)</f>
        <v>JESSICA GUIMARÃES</v>
      </c>
      <c r="Q1172">
        <v>4</v>
      </c>
      <c r="S1172" t="s">
        <v>5832</v>
      </c>
      <c r="T1172" s="1">
        <v>46080</v>
      </c>
      <c r="U1172">
        <v>-1.72</v>
      </c>
      <c r="V1172">
        <v>-1.72</v>
      </c>
    </row>
    <row r="1173" spans="1:22" x14ac:dyDescent="0.3">
      <c r="A1173" t="s">
        <v>2871</v>
      </c>
      <c r="B1173" t="s">
        <v>2872</v>
      </c>
      <c r="C1173" t="s">
        <v>1238</v>
      </c>
      <c r="D1173" t="s">
        <v>5833</v>
      </c>
      <c r="E1173" t="s">
        <v>15</v>
      </c>
      <c r="J1173" s="1">
        <v>46064</v>
      </c>
      <c r="K1173">
        <v>20</v>
      </c>
      <c r="L1173" t="s">
        <v>2873</v>
      </c>
      <c r="M1173">
        <v>15</v>
      </c>
      <c r="N1173" t="str">
        <f>VLOOKUP(M1173,[1]LOJA!$A:$B,2,0)</f>
        <v>UNAÍ</v>
      </c>
      <c r="O1173">
        <v>232</v>
      </c>
      <c r="P1173" t="str">
        <f>VLOOKUP(O1173,[1]OPERADORES!$A:$B,2,0)</f>
        <v>JESSICA GUIMARÃES</v>
      </c>
      <c r="Q1173">
        <v>4</v>
      </c>
      <c r="S1173" t="s">
        <v>2874</v>
      </c>
      <c r="T1173" s="1">
        <v>46064</v>
      </c>
      <c r="U1173">
        <v>-45.2</v>
      </c>
      <c r="V1173">
        <v>-45.2</v>
      </c>
    </row>
    <row r="1174" spans="1:22" x14ac:dyDescent="0.3">
      <c r="A1174" t="s">
        <v>2875</v>
      </c>
      <c r="B1174" t="s">
        <v>2876</v>
      </c>
      <c r="C1174" t="s">
        <v>43</v>
      </c>
      <c r="D1174" t="s">
        <v>2877</v>
      </c>
      <c r="E1174" t="s">
        <v>15</v>
      </c>
      <c r="J1174" s="1">
        <v>45979</v>
      </c>
      <c r="K1174">
        <v>105</v>
      </c>
      <c r="L1174" t="s">
        <v>2878</v>
      </c>
      <c r="M1174">
        <v>16</v>
      </c>
      <c r="N1174" t="str">
        <f>VLOOKUP(M1174,[1]LOJA!$A:$B,2,0)</f>
        <v>AG LINDAS</v>
      </c>
      <c r="O1174">
        <v>107</v>
      </c>
      <c r="P1174" t="str">
        <f>VLOOKUP(O1174,[1]OPERADORES!$A:$B,2,0)</f>
        <v>DAIANA PORTELA</v>
      </c>
      <c r="Q1174">
        <v>7</v>
      </c>
      <c r="S1174" t="s">
        <v>2879</v>
      </c>
      <c r="T1174" s="1">
        <v>45979</v>
      </c>
      <c r="U1174">
        <v>-0.38</v>
      </c>
      <c r="V1174">
        <v>-0.38</v>
      </c>
    </row>
    <row r="1175" spans="1:22" x14ac:dyDescent="0.3">
      <c r="A1175" t="s">
        <v>2880</v>
      </c>
      <c r="B1175" t="s">
        <v>2881</v>
      </c>
      <c r="C1175" t="s">
        <v>13</v>
      </c>
      <c r="D1175" t="s">
        <v>316</v>
      </c>
      <c r="E1175" t="s">
        <v>15</v>
      </c>
      <c r="J1175" s="1">
        <v>44239</v>
      </c>
      <c r="K1175">
        <v>1845</v>
      </c>
      <c r="L1175" t="s">
        <v>2882</v>
      </c>
      <c r="M1175">
        <v>3</v>
      </c>
      <c r="N1175" t="e">
        <f>VLOOKUP(M1175,[1]LOJA!$A:$B,2,0)</f>
        <v>#N/A</v>
      </c>
      <c r="O1175">
        <v>104</v>
      </c>
      <c r="P1175" t="str">
        <f>VLOOKUP(O1175,[1]OPERADORES!$A:$B,2,0)</f>
        <v>GUSTAVO</v>
      </c>
      <c r="Q1175">
        <v>4</v>
      </c>
      <c r="S1175" t="s">
        <v>142</v>
      </c>
      <c r="T1175" s="1">
        <v>44239</v>
      </c>
      <c r="U1175">
        <v>-10</v>
      </c>
      <c r="V1175">
        <v>-10</v>
      </c>
    </row>
    <row r="1176" spans="1:22" x14ac:dyDescent="0.3">
      <c r="A1176" t="s">
        <v>2883</v>
      </c>
      <c r="B1176" t="s">
        <v>2884</v>
      </c>
      <c r="C1176" t="s">
        <v>1238</v>
      </c>
      <c r="D1176" t="s">
        <v>243</v>
      </c>
      <c r="E1176" t="s">
        <v>15</v>
      </c>
      <c r="J1176" s="1">
        <v>45404</v>
      </c>
      <c r="K1176">
        <v>680</v>
      </c>
      <c r="L1176" t="s">
        <v>2885</v>
      </c>
      <c r="M1176">
        <v>9</v>
      </c>
      <c r="N1176" t="str">
        <f>VLOOKUP(M1176,[1]LOJA!$A:$B,2,0)</f>
        <v>ÚNICA</v>
      </c>
      <c r="O1176">
        <v>211</v>
      </c>
      <c r="P1176" t="str">
        <f>VLOOKUP(O1176,[1]OPERADORES!$A:$B,2,0)</f>
        <v>SHEILA MIRANDA</v>
      </c>
      <c r="Q1176">
        <v>4</v>
      </c>
      <c r="S1176" t="s">
        <v>2886</v>
      </c>
      <c r="T1176" s="1">
        <v>45404</v>
      </c>
      <c r="U1176">
        <v>-0.2</v>
      </c>
      <c r="V1176">
        <v>-0.2</v>
      </c>
    </row>
    <row r="1177" spans="1:22" x14ac:dyDescent="0.3">
      <c r="A1177" t="s">
        <v>2887</v>
      </c>
      <c r="B1177" t="s">
        <v>32</v>
      </c>
      <c r="C1177" t="s">
        <v>13</v>
      </c>
      <c r="D1177" t="s">
        <v>890</v>
      </c>
      <c r="E1177" t="s">
        <v>15</v>
      </c>
      <c r="J1177" s="1">
        <v>45259</v>
      </c>
      <c r="K1177">
        <v>825</v>
      </c>
      <c r="L1177" t="s">
        <v>2888</v>
      </c>
      <c r="M1177">
        <v>9</v>
      </c>
      <c r="N1177" t="str">
        <f>VLOOKUP(M1177,[1]LOJA!$A:$B,2,0)</f>
        <v>ÚNICA</v>
      </c>
      <c r="O1177">
        <v>144</v>
      </c>
      <c r="P1177" t="str">
        <f>VLOOKUP(O1177,[1]OPERADORES!$A:$B,2,0)</f>
        <v>CINTIA DA SILVA CARLOS</v>
      </c>
      <c r="Q1177">
        <v>4</v>
      </c>
      <c r="S1177" t="s">
        <v>2889</v>
      </c>
      <c r="T1177" s="1">
        <v>45259</v>
      </c>
      <c r="U1177">
        <v>-0.5</v>
      </c>
      <c r="V1177">
        <v>-0.5</v>
      </c>
    </row>
    <row r="1178" spans="1:22" x14ac:dyDescent="0.3">
      <c r="A1178" t="s">
        <v>2887</v>
      </c>
      <c r="B1178" t="s">
        <v>32</v>
      </c>
      <c r="C1178" t="s">
        <v>13</v>
      </c>
      <c r="D1178" t="s">
        <v>890</v>
      </c>
      <c r="E1178" t="s">
        <v>15</v>
      </c>
      <c r="J1178" s="1">
        <v>45273</v>
      </c>
      <c r="K1178">
        <v>811</v>
      </c>
      <c r="L1178" t="s">
        <v>2890</v>
      </c>
      <c r="M1178">
        <v>9</v>
      </c>
      <c r="N1178" t="str">
        <f>VLOOKUP(M1178,[1]LOJA!$A:$B,2,0)</f>
        <v>ÚNICA</v>
      </c>
      <c r="O1178">
        <v>144</v>
      </c>
      <c r="P1178" t="str">
        <f>VLOOKUP(O1178,[1]OPERADORES!$A:$B,2,0)</f>
        <v>CINTIA DA SILVA CARLOS</v>
      </c>
      <c r="Q1178">
        <v>4</v>
      </c>
      <c r="S1178" t="s">
        <v>2889</v>
      </c>
      <c r="T1178" s="1">
        <v>45273</v>
      </c>
      <c r="U1178">
        <v>-0.5</v>
      </c>
      <c r="V1178">
        <v>-0.5</v>
      </c>
    </row>
    <row r="1179" spans="1:22" x14ac:dyDescent="0.3">
      <c r="A1179" t="s">
        <v>2887</v>
      </c>
      <c r="B1179" t="s">
        <v>32</v>
      </c>
      <c r="C1179" t="s">
        <v>13</v>
      </c>
      <c r="D1179" t="s">
        <v>890</v>
      </c>
      <c r="E1179" t="s">
        <v>15</v>
      </c>
      <c r="J1179" s="1">
        <v>45363</v>
      </c>
      <c r="K1179">
        <v>721</v>
      </c>
      <c r="L1179" t="s">
        <v>2891</v>
      </c>
      <c r="M1179">
        <v>9</v>
      </c>
      <c r="N1179" t="str">
        <f>VLOOKUP(M1179,[1]LOJA!$A:$B,2,0)</f>
        <v>ÚNICA</v>
      </c>
      <c r="O1179">
        <v>144</v>
      </c>
      <c r="P1179" t="str">
        <f>VLOOKUP(O1179,[1]OPERADORES!$A:$B,2,0)</f>
        <v>CINTIA DA SILVA CARLOS</v>
      </c>
      <c r="Q1179">
        <v>4</v>
      </c>
      <c r="S1179" t="s">
        <v>2889</v>
      </c>
      <c r="T1179" s="1">
        <v>45363</v>
      </c>
      <c r="U1179">
        <v>-12</v>
      </c>
      <c r="V1179">
        <v>-12</v>
      </c>
    </row>
    <row r="1180" spans="1:22" x14ac:dyDescent="0.3">
      <c r="A1180" t="s">
        <v>2892</v>
      </c>
      <c r="B1180" t="s">
        <v>2893</v>
      </c>
      <c r="C1180" t="s">
        <v>13</v>
      </c>
      <c r="D1180" t="s">
        <v>2894</v>
      </c>
      <c r="E1180" t="s">
        <v>15</v>
      </c>
      <c r="J1180" s="1">
        <v>45859</v>
      </c>
      <c r="K1180">
        <v>225</v>
      </c>
      <c r="L1180" t="s">
        <v>2895</v>
      </c>
      <c r="M1180">
        <v>24</v>
      </c>
      <c r="N1180" t="str">
        <f>VLOOKUP(M1180,[1]LOJA!$A:$B,2,0)</f>
        <v>LUZIÂNIA</v>
      </c>
      <c r="O1180">
        <v>170</v>
      </c>
      <c r="P1180" t="str">
        <f>VLOOKUP(O1180,[1]OPERADORES!$A:$B,2,0)</f>
        <v>MARIA LUISA</v>
      </c>
      <c r="Q1180">
        <v>4</v>
      </c>
      <c r="S1180" t="s">
        <v>2896</v>
      </c>
      <c r="T1180" s="1">
        <v>45857</v>
      </c>
      <c r="U1180">
        <v>-3.43</v>
      </c>
      <c r="V1180">
        <v>-3.43</v>
      </c>
    </row>
    <row r="1181" spans="1:22" x14ac:dyDescent="0.3">
      <c r="A1181" t="s">
        <v>2897</v>
      </c>
      <c r="B1181" t="s">
        <v>2898</v>
      </c>
      <c r="C1181" t="s">
        <v>13</v>
      </c>
      <c r="D1181" t="s">
        <v>2899</v>
      </c>
      <c r="E1181" t="s">
        <v>15</v>
      </c>
      <c r="J1181" s="1">
        <v>45343</v>
      </c>
      <c r="K1181">
        <v>741</v>
      </c>
      <c r="L1181" t="s">
        <v>2900</v>
      </c>
      <c r="M1181">
        <v>8</v>
      </c>
      <c r="N1181" t="str">
        <f>VLOOKUP(M1181,[1]LOJA!$A:$B,2,0)</f>
        <v>LUZIÂNIA</v>
      </c>
      <c r="O1181">
        <v>192</v>
      </c>
      <c r="P1181" t="str">
        <f>VLOOKUP(O1181,[1]OPERADORES!$A:$B,2,0)</f>
        <v>CIDA</v>
      </c>
      <c r="Q1181">
        <v>4</v>
      </c>
      <c r="S1181" t="s">
        <v>2901</v>
      </c>
      <c r="T1181" s="1">
        <v>45343</v>
      </c>
      <c r="U1181">
        <v>-35.72</v>
      </c>
      <c r="V1181">
        <v>-35.72</v>
      </c>
    </row>
    <row r="1182" spans="1:22" x14ac:dyDescent="0.3">
      <c r="A1182" t="s">
        <v>2897</v>
      </c>
      <c r="B1182" t="s">
        <v>2898</v>
      </c>
      <c r="C1182" t="s">
        <v>13</v>
      </c>
      <c r="D1182" t="s">
        <v>2899</v>
      </c>
      <c r="E1182" t="s">
        <v>15</v>
      </c>
      <c r="J1182" s="1">
        <v>45343</v>
      </c>
      <c r="K1182">
        <v>741</v>
      </c>
      <c r="L1182" t="s">
        <v>2902</v>
      </c>
      <c r="M1182">
        <v>8</v>
      </c>
      <c r="N1182" t="str">
        <f>VLOOKUP(M1182,[1]LOJA!$A:$B,2,0)</f>
        <v>LUZIÂNIA</v>
      </c>
      <c r="O1182">
        <v>192</v>
      </c>
      <c r="P1182" t="str">
        <f>VLOOKUP(O1182,[1]OPERADORES!$A:$B,2,0)</f>
        <v>CIDA</v>
      </c>
      <c r="Q1182">
        <v>4</v>
      </c>
      <c r="S1182" t="s">
        <v>2903</v>
      </c>
      <c r="T1182" s="1">
        <v>45343</v>
      </c>
      <c r="U1182">
        <v>-52.43</v>
      </c>
      <c r="V1182">
        <v>-52.43</v>
      </c>
    </row>
    <row r="1183" spans="1:22" x14ac:dyDescent="0.3">
      <c r="A1183" t="s">
        <v>2904</v>
      </c>
      <c r="B1183" t="s">
        <v>2905</v>
      </c>
      <c r="C1183" t="s">
        <v>13</v>
      </c>
      <c r="D1183" t="s">
        <v>2906</v>
      </c>
      <c r="E1183" t="s">
        <v>15</v>
      </c>
      <c r="J1183" s="1">
        <v>45859</v>
      </c>
      <c r="K1183">
        <v>225</v>
      </c>
      <c r="L1183" t="s">
        <v>2907</v>
      </c>
      <c r="M1183">
        <v>24</v>
      </c>
      <c r="N1183" t="str">
        <f>VLOOKUP(M1183,[1]LOJA!$A:$B,2,0)</f>
        <v>LUZIÂNIA</v>
      </c>
      <c r="O1183">
        <v>170</v>
      </c>
      <c r="P1183" t="str">
        <f>VLOOKUP(O1183,[1]OPERADORES!$A:$B,2,0)</f>
        <v>MARIA LUISA</v>
      </c>
      <c r="Q1183">
        <v>4</v>
      </c>
      <c r="S1183" t="s">
        <v>2908</v>
      </c>
      <c r="T1183" s="1">
        <v>45859</v>
      </c>
      <c r="U1183">
        <v>-9</v>
      </c>
      <c r="V1183">
        <v>-9</v>
      </c>
    </row>
    <row r="1184" spans="1:22" x14ac:dyDescent="0.3">
      <c r="A1184" t="s">
        <v>2904</v>
      </c>
      <c r="B1184" t="s">
        <v>2905</v>
      </c>
      <c r="C1184" t="s">
        <v>13</v>
      </c>
      <c r="D1184" t="s">
        <v>2906</v>
      </c>
      <c r="E1184" t="s">
        <v>15</v>
      </c>
      <c r="J1184" s="1">
        <v>45877</v>
      </c>
      <c r="K1184">
        <v>207</v>
      </c>
      <c r="L1184" t="s">
        <v>2909</v>
      </c>
      <c r="M1184">
        <v>24</v>
      </c>
      <c r="N1184" t="str">
        <f>VLOOKUP(M1184,[1]LOJA!$A:$B,2,0)</f>
        <v>LUZIÂNIA</v>
      </c>
      <c r="O1184">
        <v>170</v>
      </c>
      <c r="P1184" t="str">
        <f>VLOOKUP(O1184,[1]OPERADORES!$A:$B,2,0)</f>
        <v>MARIA LUISA</v>
      </c>
      <c r="Q1184">
        <v>4</v>
      </c>
      <c r="S1184" t="s">
        <v>2910</v>
      </c>
      <c r="T1184" s="1">
        <v>45877</v>
      </c>
      <c r="U1184">
        <v>-0.05</v>
      </c>
      <c r="V1184">
        <v>-0.05</v>
      </c>
    </row>
    <row r="1185" spans="1:22" x14ac:dyDescent="0.3">
      <c r="A1185" t="s">
        <v>2911</v>
      </c>
      <c r="B1185" t="s">
        <v>2912</v>
      </c>
      <c r="C1185" t="s">
        <v>13</v>
      </c>
      <c r="D1185" t="s">
        <v>2913</v>
      </c>
      <c r="E1185" t="s">
        <v>15</v>
      </c>
      <c r="J1185" s="1">
        <v>44242</v>
      </c>
      <c r="K1185">
        <v>1842</v>
      </c>
      <c r="L1185" t="s">
        <v>2914</v>
      </c>
      <c r="M1185">
        <v>6</v>
      </c>
      <c r="N1185" t="str">
        <f>VLOOKUP(M1185,[1]LOJA!$A:$B,2,0)</f>
        <v>GAMA</v>
      </c>
      <c r="O1185">
        <v>20</v>
      </c>
      <c r="P1185" t="str">
        <f>VLOOKUP(O1185,[1]OPERADORES!$A:$B,2,0)</f>
        <v>MAYARA</v>
      </c>
      <c r="Q1185">
        <v>12</v>
      </c>
      <c r="S1185" t="s">
        <v>2915</v>
      </c>
      <c r="T1185" s="1">
        <v>44230</v>
      </c>
      <c r="U1185" s="2">
        <v>1101.2</v>
      </c>
      <c r="V1185" s="2">
        <v>1101.2</v>
      </c>
    </row>
    <row r="1186" spans="1:22" x14ac:dyDescent="0.3">
      <c r="A1186" t="s">
        <v>2911</v>
      </c>
      <c r="B1186" t="s">
        <v>2912</v>
      </c>
      <c r="C1186" t="s">
        <v>13</v>
      </c>
      <c r="D1186" t="s">
        <v>2913</v>
      </c>
      <c r="E1186" t="s">
        <v>15</v>
      </c>
      <c r="J1186" s="1">
        <v>44294</v>
      </c>
      <c r="K1186">
        <v>1790</v>
      </c>
      <c r="L1186" t="s">
        <v>2916</v>
      </c>
      <c r="M1186">
        <v>6</v>
      </c>
      <c r="N1186" t="str">
        <f>VLOOKUP(M1186,[1]LOJA!$A:$B,2,0)</f>
        <v>GAMA</v>
      </c>
      <c r="O1186">
        <v>28</v>
      </c>
      <c r="P1186" t="str">
        <f>VLOOKUP(O1186,[1]OPERADORES!$A:$B,2,0)</f>
        <v>GABRIELA</v>
      </c>
      <c r="Q1186">
        <v>12</v>
      </c>
      <c r="S1186" t="s">
        <v>2917</v>
      </c>
      <c r="T1186" s="1">
        <v>44289</v>
      </c>
      <c r="U1186">
        <v>169.5</v>
      </c>
      <c r="V1186">
        <v>169.5</v>
      </c>
    </row>
    <row r="1187" spans="1:22" x14ac:dyDescent="0.3">
      <c r="A1187" t="s">
        <v>2918</v>
      </c>
      <c r="B1187" t="s">
        <v>2919</v>
      </c>
      <c r="C1187" t="s">
        <v>1995</v>
      </c>
      <c r="D1187" t="s">
        <v>5834</v>
      </c>
      <c r="E1187" t="s">
        <v>15</v>
      </c>
      <c r="J1187" s="1">
        <v>46056</v>
      </c>
      <c r="K1187">
        <v>28</v>
      </c>
      <c r="L1187" t="s">
        <v>2920</v>
      </c>
      <c r="M1187">
        <v>13</v>
      </c>
      <c r="N1187" t="str">
        <f>VLOOKUP(M1187,[1]LOJA!$A:$B,2,0)</f>
        <v>CEILÂNDIA</v>
      </c>
      <c r="O1187">
        <v>67</v>
      </c>
      <c r="P1187" t="str">
        <f>VLOOKUP(O1187,[1]OPERADORES!$A:$B,2,0)</f>
        <v>ERIKA</v>
      </c>
      <c r="Q1187">
        <v>10</v>
      </c>
      <c r="S1187" t="s">
        <v>5835</v>
      </c>
      <c r="T1187" s="1">
        <v>46056</v>
      </c>
      <c r="U1187">
        <v>-189.91</v>
      </c>
      <c r="V1187">
        <v>-189.91</v>
      </c>
    </row>
    <row r="1188" spans="1:22" x14ac:dyDescent="0.3">
      <c r="A1188" t="s">
        <v>2921</v>
      </c>
      <c r="B1188" t="s">
        <v>2922</v>
      </c>
      <c r="C1188" t="s">
        <v>226</v>
      </c>
      <c r="D1188" t="s">
        <v>2923</v>
      </c>
      <c r="E1188" t="s">
        <v>15</v>
      </c>
      <c r="J1188" s="1">
        <v>44529</v>
      </c>
      <c r="K1188">
        <v>1555</v>
      </c>
      <c r="L1188" t="s">
        <v>2924</v>
      </c>
      <c r="M1188">
        <v>14</v>
      </c>
      <c r="N1188" t="str">
        <f>VLOOKUP(M1188,[1]LOJA!$A:$B,2,0)</f>
        <v>S IA</v>
      </c>
      <c r="O1188">
        <v>144</v>
      </c>
      <c r="P1188" t="str">
        <f>VLOOKUP(O1188,[1]OPERADORES!$A:$B,2,0)</f>
        <v>CINTIA DA SILVA CARLOS</v>
      </c>
      <c r="Q1188">
        <v>10</v>
      </c>
      <c r="S1188" t="s">
        <v>2925</v>
      </c>
      <c r="T1188" s="1">
        <v>44529</v>
      </c>
      <c r="U1188">
        <v>-46</v>
      </c>
      <c r="V1188">
        <v>-46</v>
      </c>
    </row>
    <row r="1189" spans="1:22" x14ac:dyDescent="0.3">
      <c r="A1189" t="s">
        <v>2921</v>
      </c>
      <c r="B1189" t="s">
        <v>2922</v>
      </c>
      <c r="C1189" t="s">
        <v>226</v>
      </c>
      <c r="D1189" t="s">
        <v>2923</v>
      </c>
      <c r="E1189" t="s">
        <v>15</v>
      </c>
      <c r="J1189" s="1">
        <v>44648</v>
      </c>
      <c r="K1189">
        <v>1436</v>
      </c>
      <c r="L1189" t="s">
        <v>2926</v>
      </c>
      <c r="M1189">
        <v>14</v>
      </c>
      <c r="N1189" t="str">
        <f>VLOOKUP(M1189,[1]LOJA!$A:$B,2,0)</f>
        <v>S IA</v>
      </c>
      <c r="O1189">
        <v>16</v>
      </c>
      <c r="P1189" t="str">
        <f>VLOOKUP(O1189,[1]OPERADORES!$A:$B,2,0)</f>
        <v>AYSLAN</v>
      </c>
      <c r="Q1189">
        <v>4</v>
      </c>
      <c r="S1189" t="s">
        <v>2927</v>
      </c>
      <c r="T1189" s="1">
        <v>44648</v>
      </c>
      <c r="U1189">
        <v>-2.34</v>
      </c>
      <c r="V1189">
        <v>-2.34</v>
      </c>
    </row>
    <row r="1190" spans="1:22" x14ac:dyDescent="0.3">
      <c r="A1190" t="s">
        <v>2928</v>
      </c>
      <c r="B1190" t="s">
        <v>232</v>
      </c>
      <c r="C1190" t="s">
        <v>13</v>
      </c>
      <c r="D1190" t="s">
        <v>137</v>
      </c>
      <c r="E1190" t="s">
        <v>15</v>
      </c>
      <c r="J1190" s="1">
        <v>44589</v>
      </c>
      <c r="K1190">
        <v>1495</v>
      </c>
      <c r="L1190" t="s">
        <v>2929</v>
      </c>
      <c r="M1190">
        <v>13</v>
      </c>
      <c r="N1190" t="str">
        <f>VLOOKUP(M1190,[1]LOJA!$A:$B,2,0)</f>
        <v>CEILÂNDIA</v>
      </c>
      <c r="O1190">
        <v>67</v>
      </c>
      <c r="P1190" t="str">
        <f>VLOOKUP(O1190,[1]OPERADORES!$A:$B,2,0)</f>
        <v>ERIKA</v>
      </c>
      <c r="Q1190">
        <v>10</v>
      </c>
      <c r="S1190" t="s">
        <v>142</v>
      </c>
      <c r="T1190" s="1">
        <v>44589</v>
      </c>
      <c r="U1190">
        <v>-0.1</v>
      </c>
      <c r="V1190">
        <v>-0.1</v>
      </c>
    </row>
    <row r="1191" spans="1:22" x14ac:dyDescent="0.3">
      <c r="A1191" t="s">
        <v>2930</v>
      </c>
      <c r="B1191" t="s">
        <v>2931</v>
      </c>
      <c r="C1191" t="s">
        <v>13</v>
      </c>
      <c r="D1191" t="s">
        <v>2932</v>
      </c>
      <c r="E1191" t="s">
        <v>15</v>
      </c>
      <c r="J1191" s="1">
        <v>45855</v>
      </c>
      <c r="K1191">
        <v>229</v>
      </c>
      <c r="L1191" t="s">
        <v>2933</v>
      </c>
      <c r="M1191">
        <v>4</v>
      </c>
      <c r="N1191" t="str">
        <f>VLOOKUP(M1191,[1]LOJA!$A:$B,2,0)</f>
        <v>ADE</v>
      </c>
      <c r="O1191">
        <v>132</v>
      </c>
      <c r="P1191" t="str">
        <f>VLOOKUP(O1191,[1]OPERADORES!$A:$B,2,0)</f>
        <v>PAMELA GONÇALVES ROSA</v>
      </c>
      <c r="Q1191">
        <v>4</v>
      </c>
      <c r="S1191" t="s">
        <v>2934</v>
      </c>
      <c r="T1191" s="1">
        <v>45855</v>
      </c>
      <c r="U1191">
        <v>-12</v>
      </c>
      <c r="V1191">
        <v>-12</v>
      </c>
    </row>
    <row r="1192" spans="1:22" x14ac:dyDescent="0.3">
      <c r="A1192" t="s">
        <v>2935</v>
      </c>
      <c r="B1192" t="s">
        <v>2936</v>
      </c>
      <c r="C1192" t="s">
        <v>207</v>
      </c>
      <c r="D1192" t="s">
        <v>2937</v>
      </c>
      <c r="E1192" t="s">
        <v>15</v>
      </c>
      <c r="J1192" s="1">
        <v>45124</v>
      </c>
      <c r="K1192">
        <v>960</v>
      </c>
      <c r="L1192" t="s">
        <v>2938</v>
      </c>
      <c r="M1192">
        <v>14</v>
      </c>
      <c r="N1192" t="str">
        <f>VLOOKUP(M1192,[1]LOJA!$A:$B,2,0)</f>
        <v>S IA</v>
      </c>
      <c r="O1192">
        <v>54</v>
      </c>
      <c r="P1192" t="str">
        <f>VLOOKUP(O1192,[1]OPERADORES!$A:$B,2,0)</f>
        <v>ROBSON</v>
      </c>
      <c r="Q1192">
        <v>4</v>
      </c>
      <c r="S1192" t="s">
        <v>2939</v>
      </c>
      <c r="T1192" s="1">
        <v>45110</v>
      </c>
      <c r="U1192">
        <v>-10.82</v>
      </c>
      <c r="V1192">
        <v>-10.82</v>
      </c>
    </row>
    <row r="1193" spans="1:22" x14ac:dyDescent="0.3">
      <c r="A1193" t="s">
        <v>2935</v>
      </c>
      <c r="B1193" t="s">
        <v>2936</v>
      </c>
      <c r="C1193" t="s">
        <v>207</v>
      </c>
      <c r="D1193" t="s">
        <v>2937</v>
      </c>
      <c r="E1193" t="s">
        <v>15</v>
      </c>
      <c r="J1193" s="1">
        <v>45771</v>
      </c>
      <c r="K1193">
        <v>313</v>
      </c>
      <c r="L1193" t="s">
        <v>2940</v>
      </c>
      <c r="M1193">
        <v>14</v>
      </c>
      <c r="N1193" t="str">
        <f>VLOOKUP(M1193,[1]LOJA!$A:$B,2,0)</f>
        <v>S IA</v>
      </c>
      <c r="O1193">
        <v>54</v>
      </c>
      <c r="P1193" t="str">
        <f>VLOOKUP(O1193,[1]OPERADORES!$A:$B,2,0)</f>
        <v>ROBSON</v>
      </c>
      <c r="Q1193">
        <v>27</v>
      </c>
      <c r="R1193">
        <v>2000008331</v>
      </c>
      <c r="S1193" t="s">
        <v>87</v>
      </c>
      <c r="T1193" s="1">
        <v>45741</v>
      </c>
      <c r="U1193">
        <v>141.91</v>
      </c>
      <c r="V1193">
        <v>141.91</v>
      </c>
    </row>
    <row r="1194" spans="1:22" x14ac:dyDescent="0.3">
      <c r="A1194" t="s">
        <v>2935</v>
      </c>
      <c r="B1194" t="s">
        <v>2936</v>
      </c>
      <c r="C1194" t="s">
        <v>207</v>
      </c>
      <c r="D1194" t="s">
        <v>2937</v>
      </c>
      <c r="E1194" t="s">
        <v>15</v>
      </c>
      <c r="J1194" s="1">
        <v>45780</v>
      </c>
      <c r="K1194">
        <v>304</v>
      </c>
      <c r="L1194" t="s">
        <v>2941</v>
      </c>
      <c r="M1194">
        <v>14</v>
      </c>
      <c r="N1194" t="str">
        <f>VLOOKUP(M1194,[1]LOJA!$A:$B,2,0)</f>
        <v>S IA</v>
      </c>
      <c r="O1194">
        <v>227</v>
      </c>
      <c r="P1194" t="str">
        <f>VLOOKUP(O1194,[1]OPERADORES!$A:$B,2,0)</f>
        <v>WHALISSON</v>
      </c>
      <c r="Q1194">
        <v>27</v>
      </c>
      <c r="R1194">
        <v>2000008365</v>
      </c>
      <c r="S1194" t="s">
        <v>1445</v>
      </c>
      <c r="T1194" s="1">
        <v>45750</v>
      </c>
      <c r="U1194">
        <v>127.61</v>
      </c>
      <c r="V1194">
        <v>127.61</v>
      </c>
    </row>
    <row r="1195" spans="1:22" x14ac:dyDescent="0.3">
      <c r="A1195" t="s">
        <v>2935</v>
      </c>
      <c r="B1195" t="s">
        <v>2936</v>
      </c>
      <c r="C1195" t="s">
        <v>207</v>
      </c>
      <c r="D1195" t="s">
        <v>2937</v>
      </c>
      <c r="E1195" t="s">
        <v>15</v>
      </c>
      <c r="J1195" s="1">
        <v>45781</v>
      </c>
      <c r="K1195">
        <v>303</v>
      </c>
      <c r="L1195" t="s">
        <v>2942</v>
      </c>
      <c r="M1195">
        <v>14</v>
      </c>
      <c r="N1195" t="str">
        <f>VLOOKUP(M1195,[1]LOJA!$A:$B,2,0)</f>
        <v>S IA</v>
      </c>
      <c r="O1195">
        <v>20</v>
      </c>
      <c r="P1195" t="str">
        <f>VLOOKUP(O1195,[1]OPERADORES!$A:$B,2,0)</f>
        <v>MAYARA</v>
      </c>
      <c r="Q1195">
        <v>27</v>
      </c>
      <c r="R1195">
        <v>1000016228</v>
      </c>
      <c r="S1195" t="s">
        <v>2943</v>
      </c>
      <c r="T1195" s="1">
        <v>45751</v>
      </c>
      <c r="U1195">
        <v>154.76</v>
      </c>
      <c r="V1195">
        <v>154.76</v>
      </c>
    </row>
    <row r="1196" spans="1:22" x14ac:dyDescent="0.3">
      <c r="A1196" t="s">
        <v>2935</v>
      </c>
      <c r="B1196" t="s">
        <v>2936</v>
      </c>
      <c r="C1196" t="s">
        <v>207</v>
      </c>
      <c r="D1196" t="s">
        <v>2937</v>
      </c>
      <c r="E1196" t="s">
        <v>15</v>
      </c>
      <c r="J1196" s="1">
        <v>45782</v>
      </c>
      <c r="K1196">
        <v>302</v>
      </c>
      <c r="L1196" t="s">
        <v>2944</v>
      </c>
      <c r="M1196">
        <v>14</v>
      </c>
      <c r="N1196" t="str">
        <f>VLOOKUP(M1196,[1]LOJA!$A:$B,2,0)</f>
        <v>S IA</v>
      </c>
      <c r="O1196">
        <v>212</v>
      </c>
      <c r="P1196" t="str">
        <f>VLOOKUP(O1196,[1]OPERADORES!$A:$B,2,0)</f>
        <v>YASMIN</v>
      </c>
      <c r="Q1196">
        <v>4</v>
      </c>
      <c r="S1196" t="s">
        <v>2945</v>
      </c>
      <c r="T1196" s="1">
        <v>45782</v>
      </c>
      <c r="U1196">
        <v>-10</v>
      </c>
      <c r="V1196">
        <v>-10</v>
      </c>
    </row>
    <row r="1197" spans="1:22" x14ac:dyDescent="0.3">
      <c r="A1197" t="s">
        <v>2935</v>
      </c>
      <c r="B1197" t="s">
        <v>2936</v>
      </c>
      <c r="C1197" t="s">
        <v>207</v>
      </c>
      <c r="D1197" t="s">
        <v>2937</v>
      </c>
      <c r="E1197" t="s">
        <v>15</v>
      </c>
      <c r="J1197" s="1">
        <v>45787</v>
      </c>
      <c r="K1197">
        <v>297</v>
      </c>
      <c r="L1197" t="s">
        <v>2946</v>
      </c>
      <c r="M1197">
        <v>14</v>
      </c>
      <c r="N1197" t="str">
        <f>VLOOKUP(M1197,[1]LOJA!$A:$B,2,0)</f>
        <v>S IA</v>
      </c>
      <c r="O1197">
        <v>54</v>
      </c>
      <c r="P1197" t="str">
        <f>VLOOKUP(O1197,[1]OPERADORES!$A:$B,2,0)</f>
        <v>ROBSON</v>
      </c>
      <c r="Q1197">
        <v>27</v>
      </c>
      <c r="R1197">
        <v>2000008399</v>
      </c>
      <c r="S1197" t="s">
        <v>51</v>
      </c>
      <c r="T1197" s="1">
        <v>45757</v>
      </c>
      <c r="U1197">
        <v>246.24</v>
      </c>
      <c r="V1197">
        <v>246.24</v>
      </c>
    </row>
    <row r="1198" spans="1:22" x14ac:dyDescent="0.3">
      <c r="A1198" t="s">
        <v>2935</v>
      </c>
      <c r="B1198" t="s">
        <v>2936</v>
      </c>
      <c r="C1198" t="s">
        <v>207</v>
      </c>
      <c r="D1198" t="s">
        <v>2937</v>
      </c>
      <c r="E1198" t="s">
        <v>15</v>
      </c>
      <c r="J1198" s="1">
        <v>45790</v>
      </c>
      <c r="K1198">
        <v>294</v>
      </c>
      <c r="L1198" t="s">
        <v>2947</v>
      </c>
      <c r="M1198">
        <v>14</v>
      </c>
      <c r="N1198" t="str">
        <f>VLOOKUP(M1198,[1]LOJA!$A:$B,2,0)</f>
        <v>S IA</v>
      </c>
      <c r="O1198">
        <v>54</v>
      </c>
      <c r="P1198" t="str">
        <f>VLOOKUP(O1198,[1]OPERADORES!$A:$B,2,0)</f>
        <v>ROBSON</v>
      </c>
      <c r="Q1198">
        <v>27</v>
      </c>
      <c r="R1198">
        <v>2000008228</v>
      </c>
      <c r="S1198" t="s">
        <v>976</v>
      </c>
      <c r="T1198" s="1">
        <v>45700</v>
      </c>
      <c r="U1198">
        <v>152.75</v>
      </c>
      <c r="V1198">
        <v>152.75</v>
      </c>
    </row>
    <row r="1199" spans="1:22" x14ac:dyDescent="0.3">
      <c r="A1199" t="s">
        <v>2935</v>
      </c>
      <c r="B1199" t="s">
        <v>2936</v>
      </c>
      <c r="C1199" t="s">
        <v>207</v>
      </c>
      <c r="D1199" t="s">
        <v>2937</v>
      </c>
      <c r="E1199" t="s">
        <v>15</v>
      </c>
      <c r="J1199" s="1">
        <v>45790</v>
      </c>
      <c r="K1199">
        <v>294</v>
      </c>
      <c r="L1199" t="s">
        <v>2948</v>
      </c>
      <c r="M1199">
        <v>14</v>
      </c>
      <c r="N1199" t="str">
        <f>VLOOKUP(M1199,[1]LOJA!$A:$B,2,0)</f>
        <v>S IA</v>
      </c>
      <c r="O1199">
        <v>212</v>
      </c>
      <c r="P1199" t="str">
        <f>VLOOKUP(O1199,[1]OPERADORES!$A:$B,2,0)</f>
        <v>YASMIN</v>
      </c>
      <c r="Q1199">
        <v>4</v>
      </c>
      <c r="S1199" t="s">
        <v>2945</v>
      </c>
      <c r="T1199" s="1">
        <v>45790</v>
      </c>
      <c r="U1199">
        <v>-3.6</v>
      </c>
      <c r="V1199">
        <v>-3.6</v>
      </c>
    </row>
    <row r="1200" spans="1:22" x14ac:dyDescent="0.3">
      <c r="A1200" t="s">
        <v>2935</v>
      </c>
      <c r="B1200" t="s">
        <v>2936</v>
      </c>
      <c r="C1200" t="s">
        <v>207</v>
      </c>
      <c r="D1200" t="s">
        <v>2937</v>
      </c>
      <c r="E1200" t="s">
        <v>15</v>
      </c>
      <c r="J1200" s="1">
        <v>45794</v>
      </c>
      <c r="K1200">
        <v>290</v>
      </c>
      <c r="L1200" t="s">
        <v>2949</v>
      </c>
      <c r="M1200">
        <v>14</v>
      </c>
      <c r="N1200" t="str">
        <f>VLOOKUP(M1200,[1]LOJA!$A:$B,2,0)</f>
        <v>S IA</v>
      </c>
      <c r="O1200">
        <v>54</v>
      </c>
      <c r="P1200" t="str">
        <f>VLOOKUP(O1200,[1]OPERADORES!$A:$B,2,0)</f>
        <v>ROBSON</v>
      </c>
      <c r="Q1200">
        <v>27</v>
      </c>
      <c r="R1200">
        <v>2000008313</v>
      </c>
      <c r="S1200" t="s">
        <v>972</v>
      </c>
      <c r="T1200" s="1">
        <v>45734</v>
      </c>
      <c r="U1200">
        <v>209.29</v>
      </c>
      <c r="V1200">
        <v>209.29</v>
      </c>
    </row>
    <row r="1201" spans="1:22" x14ac:dyDescent="0.3">
      <c r="A1201" t="s">
        <v>2935</v>
      </c>
      <c r="B1201" t="s">
        <v>2936</v>
      </c>
      <c r="C1201" t="s">
        <v>207</v>
      </c>
      <c r="D1201" t="s">
        <v>2937</v>
      </c>
      <c r="E1201" t="s">
        <v>15</v>
      </c>
      <c r="J1201" s="1">
        <v>45806</v>
      </c>
      <c r="K1201">
        <v>278</v>
      </c>
      <c r="L1201" t="s">
        <v>2950</v>
      </c>
      <c r="M1201">
        <v>14</v>
      </c>
      <c r="N1201" t="str">
        <f>VLOOKUP(M1201,[1]LOJA!$A:$B,2,0)</f>
        <v>S IA</v>
      </c>
      <c r="O1201">
        <v>54</v>
      </c>
      <c r="P1201" t="str">
        <f>VLOOKUP(O1201,[1]OPERADORES!$A:$B,2,0)</f>
        <v>ROBSON</v>
      </c>
      <c r="Q1201">
        <v>27</v>
      </c>
      <c r="R1201">
        <v>2000008182</v>
      </c>
      <c r="S1201" t="s">
        <v>780</v>
      </c>
      <c r="T1201" s="1">
        <v>45686</v>
      </c>
      <c r="U1201">
        <v>257.69</v>
      </c>
      <c r="V1201">
        <v>257.69</v>
      </c>
    </row>
    <row r="1202" spans="1:22" x14ac:dyDescent="0.3">
      <c r="A1202" t="s">
        <v>2935</v>
      </c>
      <c r="B1202" t="s">
        <v>2936</v>
      </c>
      <c r="C1202" t="s">
        <v>207</v>
      </c>
      <c r="D1202" t="s">
        <v>2937</v>
      </c>
      <c r="E1202" t="s">
        <v>15</v>
      </c>
      <c r="J1202" s="1">
        <v>45807</v>
      </c>
      <c r="K1202">
        <v>277</v>
      </c>
      <c r="L1202" t="s">
        <v>2951</v>
      </c>
      <c r="M1202">
        <v>14</v>
      </c>
      <c r="N1202" t="str">
        <f>VLOOKUP(M1202,[1]LOJA!$A:$B,2,0)</f>
        <v>S IA</v>
      </c>
      <c r="O1202">
        <v>54</v>
      </c>
      <c r="P1202" t="str">
        <f>VLOOKUP(O1202,[1]OPERADORES!$A:$B,2,0)</f>
        <v>ROBSON</v>
      </c>
      <c r="Q1202">
        <v>27</v>
      </c>
      <c r="R1202">
        <v>2000008432</v>
      </c>
      <c r="S1202" t="s">
        <v>51</v>
      </c>
      <c r="T1202" s="1">
        <v>45777</v>
      </c>
      <c r="U1202">
        <v>142.05000000000001</v>
      </c>
      <c r="V1202">
        <v>142.05000000000001</v>
      </c>
    </row>
    <row r="1203" spans="1:22" x14ac:dyDescent="0.3">
      <c r="A1203" t="s">
        <v>2935</v>
      </c>
      <c r="B1203" t="s">
        <v>2936</v>
      </c>
      <c r="C1203" t="s">
        <v>207</v>
      </c>
      <c r="D1203" t="s">
        <v>2937</v>
      </c>
      <c r="E1203" t="s">
        <v>15</v>
      </c>
      <c r="J1203" s="1">
        <v>45807</v>
      </c>
      <c r="K1203">
        <v>277</v>
      </c>
      <c r="L1203" t="s">
        <v>2952</v>
      </c>
      <c r="M1203">
        <v>14</v>
      </c>
      <c r="N1203" t="str">
        <f>VLOOKUP(M1203,[1]LOJA!$A:$B,2,0)</f>
        <v>S IA</v>
      </c>
      <c r="O1203">
        <v>54</v>
      </c>
      <c r="P1203" t="str">
        <f>VLOOKUP(O1203,[1]OPERADORES!$A:$B,2,0)</f>
        <v>ROBSON</v>
      </c>
      <c r="Q1203">
        <v>27</v>
      </c>
      <c r="R1203">
        <v>2000008440</v>
      </c>
      <c r="S1203" t="s">
        <v>87</v>
      </c>
      <c r="T1203" s="1">
        <v>45777</v>
      </c>
      <c r="U1203">
        <v>148.24</v>
      </c>
      <c r="V1203">
        <v>148.24</v>
      </c>
    </row>
    <row r="1204" spans="1:22" x14ac:dyDescent="0.3">
      <c r="A1204" t="s">
        <v>2935</v>
      </c>
      <c r="B1204" t="s">
        <v>2936</v>
      </c>
      <c r="C1204" t="s">
        <v>207</v>
      </c>
      <c r="D1204" t="s">
        <v>2937</v>
      </c>
      <c r="E1204" t="s">
        <v>15</v>
      </c>
      <c r="J1204" s="1">
        <v>45810</v>
      </c>
      <c r="K1204">
        <v>274</v>
      </c>
      <c r="L1204" t="s">
        <v>2953</v>
      </c>
      <c r="M1204">
        <v>14</v>
      </c>
      <c r="N1204" t="str">
        <f>VLOOKUP(M1204,[1]LOJA!$A:$B,2,0)</f>
        <v>S IA</v>
      </c>
      <c r="O1204">
        <v>227</v>
      </c>
      <c r="P1204" t="str">
        <f>VLOOKUP(O1204,[1]OPERADORES!$A:$B,2,0)</f>
        <v>WHALISSON</v>
      </c>
      <c r="Q1204">
        <v>27</v>
      </c>
      <c r="R1204">
        <v>2000008366</v>
      </c>
      <c r="S1204" t="s">
        <v>46</v>
      </c>
      <c r="T1204" s="1">
        <v>45750</v>
      </c>
      <c r="U1204">
        <v>127.6</v>
      </c>
      <c r="V1204">
        <v>127.6</v>
      </c>
    </row>
    <row r="1205" spans="1:22" x14ac:dyDescent="0.3">
      <c r="A1205" t="s">
        <v>2935</v>
      </c>
      <c r="B1205" t="s">
        <v>2936</v>
      </c>
      <c r="C1205" t="s">
        <v>207</v>
      </c>
      <c r="D1205" t="s">
        <v>2937</v>
      </c>
      <c r="E1205" t="s">
        <v>15</v>
      </c>
      <c r="J1205" s="1">
        <v>45811</v>
      </c>
      <c r="K1205">
        <v>273</v>
      </c>
      <c r="L1205" t="s">
        <v>2954</v>
      </c>
      <c r="M1205">
        <v>14</v>
      </c>
      <c r="N1205" t="str">
        <f>VLOOKUP(M1205,[1]LOJA!$A:$B,2,0)</f>
        <v>S IA</v>
      </c>
      <c r="O1205">
        <v>54</v>
      </c>
      <c r="P1205" t="str">
        <f>VLOOKUP(O1205,[1]OPERADORES!$A:$B,2,0)</f>
        <v>ROBSON</v>
      </c>
      <c r="Q1205">
        <v>27</v>
      </c>
      <c r="R1205">
        <v>2000008286</v>
      </c>
      <c r="S1205" t="s">
        <v>55</v>
      </c>
      <c r="T1205" s="1">
        <v>45721</v>
      </c>
      <c r="U1205">
        <v>137.51</v>
      </c>
      <c r="V1205">
        <v>137.51</v>
      </c>
    </row>
    <row r="1206" spans="1:22" x14ac:dyDescent="0.3">
      <c r="A1206" t="s">
        <v>2935</v>
      </c>
      <c r="B1206" t="s">
        <v>2936</v>
      </c>
      <c r="C1206" t="s">
        <v>207</v>
      </c>
      <c r="D1206" t="s">
        <v>2937</v>
      </c>
      <c r="E1206" t="s">
        <v>15</v>
      </c>
      <c r="J1206" s="1">
        <v>45817</v>
      </c>
      <c r="K1206">
        <v>267</v>
      </c>
      <c r="L1206" t="s">
        <v>2955</v>
      </c>
      <c r="M1206">
        <v>14</v>
      </c>
      <c r="N1206" t="str">
        <f>VLOOKUP(M1206,[1]LOJA!$A:$B,2,0)</f>
        <v>S IA</v>
      </c>
      <c r="O1206">
        <v>54</v>
      </c>
      <c r="P1206" t="str">
        <f>VLOOKUP(O1206,[1]OPERADORES!$A:$B,2,0)</f>
        <v>ROBSON</v>
      </c>
      <c r="Q1206">
        <v>27</v>
      </c>
      <c r="R1206">
        <v>2000008400</v>
      </c>
      <c r="S1206" t="s">
        <v>53</v>
      </c>
      <c r="T1206" s="1">
        <v>45757</v>
      </c>
      <c r="U1206">
        <v>246.23</v>
      </c>
      <c r="V1206">
        <v>246.23</v>
      </c>
    </row>
    <row r="1207" spans="1:22" x14ac:dyDescent="0.3">
      <c r="A1207" t="s">
        <v>2935</v>
      </c>
      <c r="B1207" t="s">
        <v>2936</v>
      </c>
      <c r="C1207" t="s">
        <v>207</v>
      </c>
      <c r="D1207" t="s">
        <v>2937</v>
      </c>
      <c r="E1207" t="s">
        <v>15</v>
      </c>
      <c r="J1207" s="1">
        <v>45820</v>
      </c>
      <c r="K1207">
        <v>264</v>
      </c>
      <c r="L1207" t="s">
        <v>2956</v>
      </c>
      <c r="M1207">
        <v>14</v>
      </c>
      <c r="N1207" t="str">
        <f>VLOOKUP(M1207,[1]LOJA!$A:$B,2,0)</f>
        <v>S IA</v>
      </c>
      <c r="O1207">
        <v>54</v>
      </c>
      <c r="P1207" t="str">
        <f>VLOOKUP(O1207,[1]OPERADORES!$A:$B,2,0)</f>
        <v>ROBSON</v>
      </c>
      <c r="Q1207">
        <v>27</v>
      </c>
      <c r="R1207">
        <v>2000008229</v>
      </c>
      <c r="S1207" t="s">
        <v>780</v>
      </c>
      <c r="T1207" s="1">
        <v>45700</v>
      </c>
      <c r="U1207">
        <v>152.74</v>
      </c>
      <c r="V1207">
        <v>152.74</v>
      </c>
    </row>
    <row r="1208" spans="1:22" x14ac:dyDescent="0.3">
      <c r="A1208" t="s">
        <v>2935</v>
      </c>
      <c r="B1208" t="s">
        <v>2936</v>
      </c>
      <c r="C1208" t="s">
        <v>207</v>
      </c>
      <c r="D1208" t="s">
        <v>2937</v>
      </c>
      <c r="E1208" t="s">
        <v>15</v>
      </c>
      <c r="J1208" s="1">
        <v>45820</v>
      </c>
      <c r="K1208">
        <v>264</v>
      </c>
      <c r="L1208" t="s">
        <v>2957</v>
      </c>
      <c r="M1208">
        <v>14</v>
      </c>
      <c r="N1208" t="str">
        <f>VLOOKUP(M1208,[1]LOJA!$A:$B,2,0)</f>
        <v>S IA</v>
      </c>
      <c r="O1208">
        <v>54</v>
      </c>
      <c r="P1208" t="str">
        <f>VLOOKUP(O1208,[1]OPERADORES!$A:$B,2,0)</f>
        <v>ROBSON</v>
      </c>
      <c r="Q1208">
        <v>27</v>
      </c>
      <c r="R1208">
        <v>2000008463</v>
      </c>
      <c r="S1208" t="s">
        <v>51</v>
      </c>
      <c r="T1208" s="1">
        <v>45790</v>
      </c>
      <c r="U1208">
        <v>145.86000000000001</v>
      </c>
      <c r="V1208">
        <v>145.86000000000001</v>
      </c>
    </row>
    <row r="1209" spans="1:22" x14ac:dyDescent="0.3">
      <c r="A1209" t="s">
        <v>2935</v>
      </c>
      <c r="B1209" t="s">
        <v>2936</v>
      </c>
      <c r="C1209" t="s">
        <v>207</v>
      </c>
      <c r="D1209" t="s">
        <v>2937</v>
      </c>
      <c r="E1209" t="s">
        <v>15</v>
      </c>
      <c r="J1209" s="1">
        <v>45823</v>
      </c>
      <c r="K1209">
        <v>261</v>
      </c>
      <c r="L1209" t="s">
        <v>2958</v>
      </c>
      <c r="M1209">
        <v>14</v>
      </c>
      <c r="N1209" t="str">
        <f>VLOOKUP(M1209,[1]LOJA!$A:$B,2,0)</f>
        <v>S IA</v>
      </c>
      <c r="O1209">
        <v>212</v>
      </c>
      <c r="P1209" t="str">
        <f>VLOOKUP(O1209,[1]OPERADORES!$A:$B,2,0)</f>
        <v>YASMIN</v>
      </c>
      <c r="Q1209">
        <v>27</v>
      </c>
      <c r="R1209">
        <v>2000008476</v>
      </c>
      <c r="S1209" t="s">
        <v>87</v>
      </c>
      <c r="T1209" s="1">
        <v>45793</v>
      </c>
      <c r="U1209">
        <v>145.63</v>
      </c>
      <c r="V1209">
        <v>145.63</v>
      </c>
    </row>
    <row r="1210" spans="1:22" x14ac:dyDescent="0.3">
      <c r="A1210" t="s">
        <v>2935</v>
      </c>
      <c r="B1210" t="s">
        <v>2936</v>
      </c>
      <c r="C1210" t="s">
        <v>207</v>
      </c>
      <c r="D1210" t="s">
        <v>2937</v>
      </c>
      <c r="E1210" t="s">
        <v>15</v>
      </c>
      <c r="J1210" s="1">
        <v>45824</v>
      </c>
      <c r="K1210">
        <v>260</v>
      </c>
      <c r="L1210" t="s">
        <v>2959</v>
      </c>
      <c r="M1210">
        <v>14</v>
      </c>
      <c r="N1210" t="str">
        <f>VLOOKUP(M1210,[1]LOJA!$A:$B,2,0)</f>
        <v>S IA</v>
      </c>
      <c r="O1210">
        <v>54</v>
      </c>
      <c r="P1210" t="str">
        <f>VLOOKUP(O1210,[1]OPERADORES!$A:$B,2,0)</f>
        <v>ROBSON</v>
      </c>
      <c r="Q1210">
        <v>27</v>
      </c>
      <c r="R1210">
        <v>2000008314</v>
      </c>
      <c r="S1210" t="s">
        <v>976</v>
      </c>
      <c r="T1210" s="1">
        <v>45734</v>
      </c>
      <c r="U1210">
        <v>209.29</v>
      </c>
      <c r="V1210">
        <v>209.29</v>
      </c>
    </row>
    <row r="1211" spans="1:22" x14ac:dyDescent="0.3">
      <c r="A1211" t="s">
        <v>2935</v>
      </c>
      <c r="B1211" t="s">
        <v>2936</v>
      </c>
      <c r="C1211" t="s">
        <v>207</v>
      </c>
      <c r="D1211" t="s">
        <v>2937</v>
      </c>
      <c r="E1211" t="s">
        <v>15</v>
      </c>
      <c r="J1211" s="1">
        <v>45826</v>
      </c>
      <c r="K1211">
        <v>258</v>
      </c>
      <c r="L1211" t="s">
        <v>2960</v>
      </c>
      <c r="M1211">
        <v>14</v>
      </c>
      <c r="N1211" t="str">
        <f>VLOOKUP(M1211,[1]LOJA!$A:$B,2,0)</f>
        <v>S IA</v>
      </c>
      <c r="O1211">
        <v>54</v>
      </c>
      <c r="P1211" t="str">
        <f>VLOOKUP(O1211,[1]OPERADORES!$A:$B,2,0)</f>
        <v>ROBSON</v>
      </c>
      <c r="Q1211">
        <v>27</v>
      </c>
      <c r="R1211">
        <v>2000008481</v>
      </c>
      <c r="S1211" t="s">
        <v>87</v>
      </c>
      <c r="T1211" s="1">
        <v>45796</v>
      </c>
      <c r="U1211">
        <v>176.58</v>
      </c>
      <c r="V1211">
        <v>176.58</v>
      </c>
    </row>
    <row r="1212" spans="1:22" x14ac:dyDescent="0.3">
      <c r="A1212" t="s">
        <v>2935</v>
      </c>
      <c r="B1212" t="s">
        <v>2936</v>
      </c>
      <c r="C1212" t="s">
        <v>207</v>
      </c>
      <c r="D1212" t="s">
        <v>2937</v>
      </c>
      <c r="E1212" t="s">
        <v>15</v>
      </c>
      <c r="J1212" s="1">
        <v>45837</v>
      </c>
      <c r="K1212">
        <v>247</v>
      </c>
      <c r="L1212" t="s">
        <v>2961</v>
      </c>
      <c r="M1212">
        <v>14</v>
      </c>
      <c r="N1212" t="str">
        <f>VLOOKUP(M1212,[1]LOJA!$A:$B,2,0)</f>
        <v>S IA</v>
      </c>
      <c r="O1212">
        <v>54</v>
      </c>
      <c r="P1212" t="str">
        <f>VLOOKUP(O1212,[1]OPERADORES!$A:$B,2,0)</f>
        <v>ROBSON</v>
      </c>
      <c r="Q1212">
        <v>27</v>
      </c>
      <c r="R1212">
        <v>2000008433</v>
      </c>
      <c r="S1212" t="s">
        <v>53</v>
      </c>
      <c r="T1212" s="1">
        <v>45777</v>
      </c>
      <c r="U1212">
        <v>142.05000000000001</v>
      </c>
      <c r="V1212">
        <v>142.05000000000001</v>
      </c>
    </row>
    <row r="1213" spans="1:22" x14ac:dyDescent="0.3">
      <c r="A1213" t="s">
        <v>2935</v>
      </c>
      <c r="B1213" t="s">
        <v>2936</v>
      </c>
      <c r="C1213" t="s">
        <v>207</v>
      </c>
      <c r="D1213" t="s">
        <v>2937</v>
      </c>
      <c r="E1213" t="s">
        <v>15</v>
      </c>
      <c r="J1213" s="1">
        <v>45840</v>
      </c>
      <c r="K1213">
        <v>244</v>
      </c>
      <c r="L1213" t="s">
        <v>2962</v>
      </c>
      <c r="M1213">
        <v>14</v>
      </c>
      <c r="N1213" t="str">
        <f>VLOOKUP(M1213,[1]LOJA!$A:$B,2,0)</f>
        <v>S IA</v>
      </c>
      <c r="O1213">
        <v>54</v>
      </c>
      <c r="P1213" t="str">
        <f>VLOOKUP(O1213,[1]OPERADORES!$A:$B,2,0)</f>
        <v>ROBSON</v>
      </c>
      <c r="Q1213">
        <v>27</v>
      </c>
      <c r="R1213">
        <v>2000008511</v>
      </c>
      <c r="S1213" t="s">
        <v>1169</v>
      </c>
      <c r="T1213" s="1">
        <v>45810</v>
      </c>
      <c r="U1213">
        <v>221.5</v>
      </c>
      <c r="V1213">
        <v>221.5</v>
      </c>
    </row>
    <row r="1214" spans="1:22" x14ac:dyDescent="0.3">
      <c r="A1214" t="s">
        <v>2935</v>
      </c>
      <c r="B1214" t="s">
        <v>2936</v>
      </c>
      <c r="C1214" t="s">
        <v>207</v>
      </c>
      <c r="D1214" t="s">
        <v>2937</v>
      </c>
      <c r="E1214" t="s">
        <v>15</v>
      </c>
      <c r="J1214" s="1">
        <v>45847</v>
      </c>
      <c r="K1214">
        <v>237</v>
      </c>
      <c r="L1214" t="s">
        <v>2963</v>
      </c>
      <c r="M1214">
        <v>14</v>
      </c>
      <c r="N1214" t="str">
        <f>VLOOKUP(M1214,[1]LOJA!$A:$B,2,0)</f>
        <v>S IA</v>
      </c>
      <c r="O1214">
        <v>54</v>
      </c>
      <c r="P1214" t="str">
        <f>VLOOKUP(O1214,[1]OPERADORES!$A:$B,2,0)</f>
        <v>ROBSON</v>
      </c>
      <c r="Q1214">
        <v>27</v>
      </c>
      <c r="R1214">
        <v>2000008401</v>
      </c>
      <c r="S1214" t="s">
        <v>55</v>
      </c>
      <c r="T1214" s="1">
        <v>45757</v>
      </c>
      <c r="U1214">
        <v>246.23</v>
      </c>
      <c r="V1214">
        <v>246.23</v>
      </c>
    </row>
    <row r="1215" spans="1:22" x14ac:dyDescent="0.3">
      <c r="A1215" t="s">
        <v>2935</v>
      </c>
      <c r="B1215" t="s">
        <v>2936</v>
      </c>
      <c r="C1215" t="s">
        <v>207</v>
      </c>
      <c r="D1215" t="s">
        <v>2937</v>
      </c>
      <c r="E1215" t="s">
        <v>15</v>
      </c>
      <c r="J1215" s="1">
        <v>45850</v>
      </c>
      <c r="K1215">
        <v>234</v>
      </c>
      <c r="L1215" t="s">
        <v>2964</v>
      </c>
      <c r="M1215">
        <v>14</v>
      </c>
      <c r="N1215" t="str">
        <f>VLOOKUP(M1215,[1]LOJA!$A:$B,2,0)</f>
        <v>S IA</v>
      </c>
      <c r="O1215">
        <v>54</v>
      </c>
      <c r="P1215" t="str">
        <f>VLOOKUP(O1215,[1]OPERADORES!$A:$B,2,0)</f>
        <v>ROBSON</v>
      </c>
      <c r="Q1215">
        <v>27</v>
      </c>
      <c r="R1215">
        <v>2000008464</v>
      </c>
      <c r="S1215" t="s">
        <v>53</v>
      </c>
      <c r="T1215" s="1">
        <v>45790</v>
      </c>
      <c r="U1215">
        <v>145.85</v>
      </c>
      <c r="V1215">
        <v>145.85</v>
      </c>
    </row>
    <row r="1216" spans="1:22" x14ac:dyDescent="0.3">
      <c r="A1216" t="s">
        <v>2935</v>
      </c>
      <c r="B1216" t="s">
        <v>2936</v>
      </c>
      <c r="C1216" t="s">
        <v>207</v>
      </c>
      <c r="D1216" t="s">
        <v>2937</v>
      </c>
      <c r="E1216" t="s">
        <v>15</v>
      </c>
      <c r="J1216" s="1">
        <v>45854</v>
      </c>
      <c r="K1216">
        <v>230</v>
      </c>
      <c r="L1216" t="s">
        <v>2965</v>
      </c>
      <c r="M1216">
        <v>14</v>
      </c>
      <c r="N1216" t="str">
        <f>VLOOKUP(M1216,[1]LOJA!$A:$B,2,0)</f>
        <v>S IA</v>
      </c>
      <c r="O1216">
        <v>54</v>
      </c>
      <c r="P1216" t="str">
        <f>VLOOKUP(O1216,[1]OPERADORES!$A:$B,2,0)</f>
        <v>ROBSON</v>
      </c>
      <c r="Q1216">
        <v>27</v>
      </c>
      <c r="R1216">
        <v>2000008315</v>
      </c>
      <c r="S1216" t="s">
        <v>780</v>
      </c>
      <c r="T1216" s="1">
        <v>45734</v>
      </c>
      <c r="U1216">
        <v>209.28</v>
      </c>
      <c r="V1216">
        <v>209.28</v>
      </c>
    </row>
    <row r="1217" spans="1:22" x14ac:dyDescent="0.3">
      <c r="A1217" t="s">
        <v>2935</v>
      </c>
      <c r="B1217" t="s">
        <v>2936</v>
      </c>
      <c r="C1217" t="s">
        <v>207</v>
      </c>
      <c r="D1217" t="s">
        <v>2937</v>
      </c>
      <c r="E1217" t="s">
        <v>15</v>
      </c>
      <c r="J1217" s="1">
        <v>45867</v>
      </c>
      <c r="K1217">
        <v>217</v>
      </c>
      <c r="L1217" t="s">
        <v>2966</v>
      </c>
      <c r="M1217">
        <v>14</v>
      </c>
      <c r="N1217" t="str">
        <f>VLOOKUP(M1217,[1]LOJA!$A:$B,2,0)</f>
        <v>S IA</v>
      </c>
      <c r="O1217">
        <v>54</v>
      </c>
      <c r="P1217" t="str">
        <f>VLOOKUP(O1217,[1]OPERADORES!$A:$B,2,0)</f>
        <v>ROBSON</v>
      </c>
      <c r="Q1217">
        <v>27</v>
      </c>
      <c r="R1217">
        <v>2000008434</v>
      </c>
      <c r="S1217" t="s">
        <v>55</v>
      </c>
      <c r="T1217" s="1">
        <v>45777</v>
      </c>
      <c r="U1217">
        <v>142.05000000000001</v>
      </c>
      <c r="V1217">
        <v>142.05000000000001</v>
      </c>
    </row>
    <row r="1218" spans="1:22" x14ac:dyDescent="0.3">
      <c r="A1218" t="s">
        <v>2935</v>
      </c>
      <c r="B1218" t="s">
        <v>2936</v>
      </c>
      <c r="C1218" t="s">
        <v>207</v>
      </c>
      <c r="D1218" t="s">
        <v>2937</v>
      </c>
      <c r="E1218" t="s">
        <v>15</v>
      </c>
      <c r="J1218" s="1">
        <v>45870</v>
      </c>
      <c r="K1218">
        <v>214</v>
      </c>
      <c r="L1218" t="s">
        <v>2967</v>
      </c>
      <c r="M1218">
        <v>14</v>
      </c>
      <c r="N1218" t="str">
        <f>VLOOKUP(M1218,[1]LOJA!$A:$B,2,0)</f>
        <v>S IA</v>
      </c>
      <c r="O1218">
        <v>54</v>
      </c>
      <c r="P1218" t="str">
        <f>VLOOKUP(O1218,[1]OPERADORES!$A:$B,2,0)</f>
        <v>ROBSON</v>
      </c>
      <c r="Q1218">
        <v>27</v>
      </c>
      <c r="R1218">
        <v>2000008512</v>
      </c>
      <c r="S1218" t="s">
        <v>972</v>
      </c>
      <c r="T1218" s="1">
        <v>45810</v>
      </c>
      <c r="U1218">
        <v>221.5</v>
      </c>
      <c r="V1218">
        <v>221.5</v>
      </c>
    </row>
    <row r="1219" spans="1:22" x14ac:dyDescent="0.3">
      <c r="A1219" t="s">
        <v>2935</v>
      </c>
      <c r="B1219" t="s">
        <v>2936</v>
      </c>
      <c r="C1219" t="s">
        <v>207</v>
      </c>
      <c r="D1219" t="s">
        <v>2937</v>
      </c>
      <c r="E1219" t="s">
        <v>15</v>
      </c>
      <c r="J1219" s="1">
        <v>45875</v>
      </c>
      <c r="K1219">
        <v>209</v>
      </c>
      <c r="L1219" t="s">
        <v>2968</v>
      </c>
      <c r="M1219">
        <v>14</v>
      </c>
      <c r="N1219" t="str">
        <f>VLOOKUP(M1219,[1]LOJA!$A:$B,2,0)</f>
        <v>S IA</v>
      </c>
      <c r="O1219">
        <v>54</v>
      </c>
      <c r="P1219" t="str">
        <f>VLOOKUP(O1219,[1]OPERADORES!$A:$B,2,0)</f>
        <v>ROBSON</v>
      </c>
      <c r="Q1219">
        <v>27</v>
      </c>
      <c r="R1219">
        <v>2000008580</v>
      </c>
      <c r="S1219" t="s">
        <v>1445</v>
      </c>
      <c r="T1219" s="1">
        <v>45845</v>
      </c>
      <c r="U1219">
        <v>137.05000000000001</v>
      </c>
      <c r="V1219">
        <v>137.05000000000001</v>
      </c>
    </row>
    <row r="1220" spans="1:22" x14ac:dyDescent="0.3">
      <c r="A1220" t="s">
        <v>2935</v>
      </c>
      <c r="B1220" t="s">
        <v>2936</v>
      </c>
      <c r="C1220" t="s">
        <v>207</v>
      </c>
      <c r="D1220" t="s">
        <v>2937</v>
      </c>
      <c r="E1220" t="s">
        <v>15</v>
      </c>
      <c r="J1220" s="1">
        <v>45880</v>
      </c>
      <c r="K1220">
        <v>204</v>
      </c>
      <c r="L1220" t="s">
        <v>2969</v>
      </c>
      <c r="M1220">
        <v>14</v>
      </c>
      <c r="N1220" t="str">
        <f>VLOOKUP(M1220,[1]LOJA!$A:$B,2,0)</f>
        <v>S IA</v>
      </c>
      <c r="O1220">
        <v>54</v>
      </c>
      <c r="P1220" t="str">
        <f>VLOOKUP(O1220,[1]OPERADORES!$A:$B,2,0)</f>
        <v>ROBSON</v>
      </c>
      <c r="Q1220">
        <v>27</v>
      </c>
      <c r="R1220">
        <v>2000008465</v>
      </c>
      <c r="S1220" t="s">
        <v>55</v>
      </c>
      <c r="T1220" s="1">
        <v>45790</v>
      </c>
      <c r="U1220">
        <v>145.85</v>
      </c>
      <c r="V1220">
        <v>145.85</v>
      </c>
    </row>
    <row r="1221" spans="1:22" x14ac:dyDescent="0.3">
      <c r="A1221" t="s">
        <v>2935</v>
      </c>
      <c r="B1221" t="s">
        <v>2936</v>
      </c>
      <c r="C1221" t="s">
        <v>207</v>
      </c>
      <c r="D1221" t="s">
        <v>2937</v>
      </c>
      <c r="E1221" t="s">
        <v>15</v>
      </c>
      <c r="J1221" s="1">
        <v>45900</v>
      </c>
      <c r="K1221">
        <v>184</v>
      </c>
      <c r="L1221" t="s">
        <v>2970</v>
      </c>
      <c r="M1221">
        <v>14</v>
      </c>
      <c r="N1221" t="str">
        <f>VLOOKUP(M1221,[1]LOJA!$A:$B,2,0)</f>
        <v>S IA</v>
      </c>
      <c r="O1221">
        <v>54</v>
      </c>
      <c r="P1221" t="str">
        <f>VLOOKUP(O1221,[1]OPERADORES!$A:$B,2,0)</f>
        <v>ROBSON</v>
      </c>
      <c r="Q1221">
        <v>27</v>
      </c>
      <c r="R1221">
        <v>2000008513</v>
      </c>
      <c r="S1221" t="s">
        <v>976</v>
      </c>
      <c r="T1221" s="1">
        <v>45810</v>
      </c>
      <c r="U1221">
        <v>221.5</v>
      </c>
      <c r="V1221">
        <v>221.5</v>
      </c>
    </row>
    <row r="1222" spans="1:22" x14ac:dyDescent="0.3">
      <c r="A1222" t="s">
        <v>2935</v>
      </c>
      <c r="B1222" t="s">
        <v>2936</v>
      </c>
      <c r="C1222" t="s">
        <v>207</v>
      </c>
      <c r="D1222" t="s">
        <v>2937</v>
      </c>
      <c r="E1222" t="s">
        <v>15</v>
      </c>
      <c r="J1222" s="1">
        <v>45905</v>
      </c>
      <c r="K1222">
        <v>179</v>
      </c>
      <c r="L1222" t="s">
        <v>2971</v>
      </c>
      <c r="M1222">
        <v>14</v>
      </c>
      <c r="N1222" t="str">
        <f>VLOOKUP(M1222,[1]LOJA!$A:$B,2,0)</f>
        <v>S IA</v>
      </c>
      <c r="O1222">
        <v>54</v>
      </c>
      <c r="P1222" t="str">
        <f>VLOOKUP(O1222,[1]OPERADORES!$A:$B,2,0)</f>
        <v>ROBSON</v>
      </c>
      <c r="Q1222">
        <v>27</v>
      </c>
      <c r="R1222">
        <v>2000008581</v>
      </c>
      <c r="S1222" t="s">
        <v>46</v>
      </c>
      <c r="T1222" s="1">
        <v>45845</v>
      </c>
      <c r="U1222">
        <v>137.05000000000001</v>
      </c>
      <c r="V1222">
        <v>137.05000000000001</v>
      </c>
    </row>
    <row r="1223" spans="1:22" x14ac:dyDescent="0.3">
      <c r="A1223" t="s">
        <v>2935</v>
      </c>
      <c r="B1223" t="s">
        <v>2936</v>
      </c>
      <c r="C1223" t="s">
        <v>207</v>
      </c>
      <c r="D1223" t="s">
        <v>2937</v>
      </c>
      <c r="E1223" t="s">
        <v>15</v>
      </c>
      <c r="J1223" s="1">
        <v>45930</v>
      </c>
      <c r="K1223">
        <v>154</v>
      </c>
      <c r="L1223" t="s">
        <v>2972</v>
      </c>
      <c r="M1223">
        <v>14</v>
      </c>
      <c r="N1223" t="str">
        <f>VLOOKUP(M1223,[1]LOJA!$A:$B,2,0)</f>
        <v>S IA</v>
      </c>
      <c r="O1223">
        <v>54</v>
      </c>
      <c r="P1223" t="str">
        <f>VLOOKUP(O1223,[1]OPERADORES!$A:$B,2,0)</f>
        <v>ROBSON</v>
      </c>
      <c r="Q1223">
        <v>27</v>
      </c>
      <c r="R1223">
        <v>2000008514</v>
      </c>
      <c r="S1223" t="s">
        <v>780</v>
      </c>
      <c r="T1223" s="1">
        <v>45810</v>
      </c>
      <c r="U1223">
        <v>221.49</v>
      </c>
      <c r="V1223">
        <v>221.49</v>
      </c>
    </row>
    <row r="1224" spans="1:22" x14ac:dyDescent="0.3">
      <c r="A1224" t="s">
        <v>2973</v>
      </c>
      <c r="B1224" t="s">
        <v>2974</v>
      </c>
      <c r="C1224" t="s">
        <v>13</v>
      </c>
      <c r="D1224" t="s">
        <v>5836</v>
      </c>
      <c r="E1224" t="s">
        <v>15</v>
      </c>
      <c r="J1224" s="1">
        <v>46059</v>
      </c>
      <c r="K1224">
        <v>25</v>
      </c>
      <c r="L1224" t="s">
        <v>2975</v>
      </c>
      <c r="M1224">
        <v>12</v>
      </c>
      <c r="N1224" t="str">
        <f>VLOOKUP(M1224,[1]LOJA!$A:$B,2,0)</f>
        <v>SOFNORTE</v>
      </c>
      <c r="O1224">
        <v>209</v>
      </c>
      <c r="P1224" t="str">
        <f>VLOOKUP(O1224,[1]OPERADORES!$A:$B,2,0)</f>
        <v>MARIA WITHALINA CUNHA DE SOUZA</v>
      </c>
      <c r="Q1224">
        <v>4</v>
      </c>
      <c r="S1224" t="s">
        <v>2976</v>
      </c>
      <c r="T1224" s="1">
        <v>46059</v>
      </c>
      <c r="U1224">
        <v>-0.2</v>
      </c>
      <c r="V1224">
        <v>-0.2</v>
      </c>
    </row>
    <row r="1225" spans="1:22" x14ac:dyDescent="0.3">
      <c r="A1225" t="s">
        <v>2973</v>
      </c>
      <c r="B1225" t="s">
        <v>2974</v>
      </c>
      <c r="C1225" t="s">
        <v>13</v>
      </c>
      <c r="D1225" t="s">
        <v>5836</v>
      </c>
      <c r="E1225" t="s">
        <v>15</v>
      </c>
      <c r="J1225" s="1">
        <v>46080</v>
      </c>
      <c r="K1225">
        <v>4</v>
      </c>
      <c r="L1225" t="s">
        <v>5837</v>
      </c>
      <c r="M1225">
        <v>12</v>
      </c>
      <c r="N1225" t="str">
        <f>VLOOKUP(M1225,[1]LOJA!$A:$B,2,0)</f>
        <v>SOFNORTE</v>
      </c>
      <c r="O1225">
        <v>209</v>
      </c>
      <c r="P1225" t="str">
        <f>VLOOKUP(O1225,[1]OPERADORES!$A:$B,2,0)</f>
        <v>MARIA WITHALINA CUNHA DE SOUZA</v>
      </c>
      <c r="Q1225">
        <v>4</v>
      </c>
      <c r="S1225" t="s">
        <v>5838</v>
      </c>
      <c r="T1225" s="1">
        <v>46080</v>
      </c>
      <c r="U1225">
        <v>-0.1</v>
      </c>
      <c r="V1225">
        <v>-0.1</v>
      </c>
    </row>
    <row r="1226" spans="1:22" x14ac:dyDescent="0.3">
      <c r="A1226" t="s">
        <v>2977</v>
      </c>
      <c r="B1226" t="s">
        <v>2978</v>
      </c>
      <c r="C1226" t="s">
        <v>2979</v>
      </c>
      <c r="D1226" t="s">
        <v>5839</v>
      </c>
      <c r="E1226" t="s">
        <v>15</v>
      </c>
      <c r="J1226" s="1">
        <v>46044</v>
      </c>
      <c r="K1226">
        <v>40</v>
      </c>
      <c r="L1226" t="s">
        <v>2980</v>
      </c>
      <c r="M1226">
        <v>9</v>
      </c>
      <c r="N1226" t="str">
        <f>VLOOKUP(M1226,[1]LOJA!$A:$B,2,0)</f>
        <v>ÚNICA</v>
      </c>
      <c r="O1226">
        <v>174</v>
      </c>
      <c r="P1226" t="str">
        <f>VLOOKUP(O1226,[1]OPERADORES!$A:$B,2,0)</f>
        <v>MIRIÃ LOBATO RODRIGUES</v>
      </c>
      <c r="Q1226">
        <v>4</v>
      </c>
      <c r="S1226" t="s">
        <v>2981</v>
      </c>
      <c r="T1226" s="1">
        <v>46044</v>
      </c>
      <c r="U1226" s="2">
        <v>-2660.4</v>
      </c>
      <c r="V1226" s="2">
        <v>-2660.4</v>
      </c>
    </row>
    <row r="1227" spans="1:22" x14ac:dyDescent="0.3">
      <c r="A1227" t="s">
        <v>2977</v>
      </c>
      <c r="B1227" t="s">
        <v>2978</v>
      </c>
      <c r="C1227" t="s">
        <v>2979</v>
      </c>
      <c r="D1227" t="s">
        <v>5839</v>
      </c>
      <c r="E1227" t="s">
        <v>15</v>
      </c>
      <c r="J1227" s="1">
        <v>46073</v>
      </c>
      <c r="K1227">
        <v>11</v>
      </c>
      <c r="L1227" t="s">
        <v>5840</v>
      </c>
      <c r="M1227">
        <v>9</v>
      </c>
      <c r="N1227" t="str">
        <f>VLOOKUP(M1227,[1]LOJA!$A:$B,2,0)</f>
        <v>ÚNICA</v>
      </c>
      <c r="O1227">
        <v>174</v>
      </c>
      <c r="P1227" t="str">
        <f>VLOOKUP(O1227,[1]OPERADORES!$A:$B,2,0)</f>
        <v>MIRIÃ LOBATO RODRIGUES</v>
      </c>
      <c r="Q1227">
        <v>23</v>
      </c>
      <c r="R1227">
        <v>215008</v>
      </c>
      <c r="S1227" t="s">
        <v>51</v>
      </c>
      <c r="T1227" s="1">
        <v>46043</v>
      </c>
      <c r="U1227">
        <v>886.8</v>
      </c>
      <c r="V1227">
        <v>886.8</v>
      </c>
    </row>
    <row r="1228" spans="1:22" x14ac:dyDescent="0.3">
      <c r="A1228" t="s">
        <v>2982</v>
      </c>
      <c r="B1228" t="s">
        <v>2983</v>
      </c>
      <c r="C1228" t="s">
        <v>2984</v>
      </c>
      <c r="D1228" t="s">
        <v>2985</v>
      </c>
      <c r="E1228" t="s">
        <v>15</v>
      </c>
      <c r="J1228" s="1">
        <v>45232</v>
      </c>
      <c r="K1228">
        <v>852</v>
      </c>
      <c r="L1228" t="s">
        <v>2986</v>
      </c>
      <c r="M1228">
        <v>6</v>
      </c>
      <c r="N1228" t="str">
        <f>VLOOKUP(M1228,[1]LOJA!$A:$B,2,0)</f>
        <v>GAMA</v>
      </c>
      <c r="O1228">
        <v>20</v>
      </c>
      <c r="P1228" t="str">
        <f>VLOOKUP(O1228,[1]OPERADORES!$A:$B,2,0)</f>
        <v>MAYARA</v>
      </c>
      <c r="Q1228">
        <v>20</v>
      </c>
      <c r="R1228">
        <v>6000006623</v>
      </c>
      <c r="S1228" t="s">
        <v>2987</v>
      </c>
      <c r="T1228" s="1">
        <v>45142</v>
      </c>
      <c r="U1228" s="2">
        <v>2159.75</v>
      </c>
      <c r="V1228" s="2">
        <v>2159.75</v>
      </c>
    </row>
    <row r="1229" spans="1:22" x14ac:dyDescent="0.3">
      <c r="A1229" t="s">
        <v>2982</v>
      </c>
      <c r="B1229" t="s">
        <v>2983</v>
      </c>
      <c r="C1229" t="s">
        <v>2984</v>
      </c>
      <c r="D1229" t="s">
        <v>2985</v>
      </c>
      <c r="E1229" t="s">
        <v>15</v>
      </c>
      <c r="J1229" s="1">
        <v>45234</v>
      </c>
      <c r="K1229">
        <v>850</v>
      </c>
      <c r="L1229" t="s">
        <v>2988</v>
      </c>
      <c r="M1229">
        <v>6</v>
      </c>
      <c r="N1229" t="str">
        <f>VLOOKUP(M1229,[1]LOJA!$A:$B,2,0)</f>
        <v>GAMA</v>
      </c>
      <c r="O1229">
        <v>20</v>
      </c>
      <c r="P1229" t="str">
        <f>VLOOKUP(O1229,[1]OPERADORES!$A:$B,2,0)</f>
        <v>MAYARA</v>
      </c>
      <c r="Q1229">
        <v>20</v>
      </c>
      <c r="R1229">
        <v>6000006640</v>
      </c>
      <c r="S1229" t="s">
        <v>2989</v>
      </c>
      <c r="T1229" s="1">
        <v>45173</v>
      </c>
      <c r="U1229" s="2">
        <v>2825</v>
      </c>
      <c r="V1229" s="2">
        <v>2825</v>
      </c>
    </row>
    <row r="1230" spans="1:22" x14ac:dyDescent="0.3">
      <c r="A1230" t="s">
        <v>2982</v>
      </c>
      <c r="B1230" t="s">
        <v>2983</v>
      </c>
      <c r="C1230" t="s">
        <v>2984</v>
      </c>
      <c r="D1230" t="s">
        <v>2985</v>
      </c>
      <c r="E1230" t="s">
        <v>15</v>
      </c>
      <c r="J1230" s="1">
        <v>45235</v>
      </c>
      <c r="K1230">
        <v>849</v>
      </c>
      <c r="L1230" t="s">
        <v>2990</v>
      </c>
      <c r="M1230">
        <v>6</v>
      </c>
      <c r="N1230" t="str">
        <f>VLOOKUP(M1230,[1]LOJA!$A:$B,2,0)</f>
        <v>GAMA</v>
      </c>
      <c r="O1230">
        <v>20</v>
      </c>
      <c r="P1230" t="str">
        <f>VLOOKUP(O1230,[1]OPERADORES!$A:$B,2,0)</f>
        <v>MAYARA</v>
      </c>
      <c r="Q1230">
        <v>20</v>
      </c>
      <c r="R1230">
        <v>6000006661</v>
      </c>
      <c r="S1230" t="s">
        <v>2991</v>
      </c>
      <c r="T1230" s="1">
        <v>45204</v>
      </c>
      <c r="U1230" s="2">
        <v>2303.2399999999998</v>
      </c>
      <c r="V1230" s="2">
        <v>2303.2399999999998</v>
      </c>
    </row>
    <row r="1231" spans="1:22" x14ac:dyDescent="0.3">
      <c r="A1231" t="s">
        <v>2982</v>
      </c>
      <c r="B1231" t="s">
        <v>2983</v>
      </c>
      <c r="C1231" t="s">
        <v>2984</v>
      </c>
      <c r="D1231" t="s">
        <v>2985</v>
      </c>
      <c r="E1231" t="s">
        <v>15</v>
      </c>
      <c r="J1231" s="1">
        <v>45261</v>
      </c>
      <c r="K1231">
        <v>823</v>
      </c>
      <c r="L1231" t="s">
        <v>2992</v>
      </c>
      <c r="M1231">
        <v>6</v>
      </c>
      <c r="N1231" t="str">
        <f>VLOOKUP(M1231,[1]LOJA!$A:$B,2,0)</f>
        <v>GAMA</v>
      </c>
      <c r="O1231">
        <v>20</v>
      </c>
      <c r="P1231" t="str">
        <f>VLOOKUP(O1231,[1]OPERADORES!$A:$B,2,0)</f>
        <v>MAYARA</v>
      </c>
      <c r="Q1231">
        <v>20</v>
      </c>
      <c r="R1231">
        <v>6000006611</v>
      </c>
      <c r="S1231" t="s">
        <v>2993</v>
      </c>
      <c r="T1231" s="1">
        <v>45111</v>
      </c>
      <c r="U1231" s="2">
        <v>3522</v>
      </c>
      <c r="V1231" s="2">
        <v>3522</v>
      </c>
    </row>
    <row r="1232" spans="1:22" x14ac:dyDescent="0.3">
      <c r="A1232" t="s">
        <v>2982</v>
      </c>
      <c r="B1232" t="s">
        <v>2983</v>
      </c>
      <c r="C1232" t="s">
        <v>2984</v>
      </c>
      <c r="D1232" t="s">
        <v>2985</v>
      </c>
      <c r="E1232" t="s">
        <v>15</v>
      </c>
      <c r="J1232" s="1">
        <v>45262</v>
      </c>
      <c r="K1232">
        <v>822</v>
      </c>
      <c r="L1232" t="s">
        <v>2994</v>
      </c>
      <c r="M1232">
        <v>6</v>
      </c>
      <c r="N1232" t="str">
        <f>VLOOKUP(M1232,[1]LOJA!$A:$B,2,0)</f>
        <v>GAMA</v>
      </c>
      <c r="O1232">
        <v>20</v>
      </c>
      <c r="P1232" t="str">
        <f>VLOOKUP(O1232,[1]OPERADORES!$A:$B,2,0)</f>
        <v>MAYARA</v>
      </c>
      <c r="Q1232">
        <v>20</v>
      </c>
      <c r="R1232">
        <v>6000006624</v>
      </c>
      <c r="S1232" t="s">
        <v>2995</v>
      </c>
      <c r="T1232" s="1">
        <v>45142</v>
      </c>
      <c r="U1232" s="2">
        <v>2679</v>
      </c>
      <c r="V1232" s="2">
        <v>2679</v>
      </c>
    </row>
    <row r="1233" spans="1:22" x14ac:dyDescent="0.3">
      <c r="A1233" t="s">
        <v>2982</v>
      </c>
      <c r="B1233" t="s">
        <v>2983</v>
      </c>
      <c r="C1233" t="s">
        <v>2984</v>
      </c>
      <c r="D1233" t="s">
        <v>2985</v>
      </c>
      <c r="E1233" t="s">
        <v>15</v>
      </c>
      <c r="J1233" s="1">
        <v>45264</v>
      </c>
      <c r="K1233">
        <v>820</v>
      </c>
      <c r="L1233" t="s">
        <v>2996</v>
      </c>
      <c r="M1233">
        <v>6</v>
      </c>
      <c r="N1233" t="str">
        <f>VLOOKUP(M1233,[1]LOJA!$A:$B,2,0)</f>
        <v>GAMA</v>
      </c>
      <c r="O1233">
        <v>20</v>
      </c>
      <c r="P1233" t="str">
        <f>VLOOKUP(O1233,[1]OPERADORES!$A:$B,2,0)</f>
        <v>MAYARA</v>
      </c>
      <c r="Q1233">
        <v>20</v>
      </c>
      <c r="R1233">
        <v>6000006641</v>
      </c>
      <c r="S1233" t="s">
        <v>2997</v>
      </c>
      <c r="T1233" s="1">
        <v>45173</v>
      </c>
      <c r="U1233" s="2">
        <v>2825</v>
      </c>
      <c r="V1233" s="2">
        <v>2825</v>
      </c>
    </row>
    <row r="1234" spans="1:22" x14ac:dyDescent="0.3">
      <c r="A1234" t="s">
        <v>2982</v>
      </c>
      <c r="B1234" t="s">
        <v>2983</v>
      </c>
      <c r="C1234" t="s">
        <v>2984</v>
      </c>
      <c r="D1234" t="s">
        <v>2985</v>
      </c>
      <c r="E1234" t="s">
        <v>15</v>
      </c>
      <c r="J1234" s="1">
        <v>45265</v>
      </c>
      <c r="K1234">
        <v>819</v>
      </c>
      <c r="L1234" t="s">
        <v>2998</v>
      </c>
      <c r="M1234">
        <v>6</v>
      </c>
      <c r="N1234" t="str">
        <f>VLOOKUP(M1234,[1]LOJA!$A:$B,2,0)</f>
        <v>GAMA</v>
      </c>
      <c r="O1234">
        <v>20</v>
      </c>
      <c r="P1234" t="str">
        <f>VLOOKUP(O1234,[1]OPERADORES!$A:$B,2,0)</f>
        <v>MAYARA</v>
      </c>
      <c r="Q1234">
        <v>20</v>
      </c>
      <c r="R1234">
        <v>6000006662</v>
      </c>
      <c r="S1234" t="s">
        <v>2999</v>
      </c>
      <c r="T1234" s="1">
        <v>45204</v>
      </c>
      <c r="U1234" s="2">
        <v>2301</v>
      </c>
      <c r="V1234" s="2">
        <v>2301</v>
      </c>
    </row>
    <row r="1235" spans="1:22" x14ac:dyDescent="0.3">
      <c r="A1235" t="s">
        <v>2982</v>
      </c>
      <c r="B1235" t="s">
        <v>2983</v>
      </c>
      <c r="C1235" t="s">
        <v>2984</v>
      </c>
      <c r="D1235" t="s">
        <v>2985</v>
      </c>
      <c r="E1235" t="s">
        <v>15</v>
      </c>
      <c r="J1235" s="1">
        <v>45266</v>
      </c>
      <c r="K1235">
        <v>818</v>
      </c>
      <c r="L1235" t="s">
        <v>3000</v>
      </c>
      <c r="M1235">
        <v>6</v>
      </c>
      <c r="N1235" t="str">
        <f>VLOOKUP(M1235,[1]LOJA!$A:$B,2,0)</f>
        <v>GAMA</v>
      </c>
      <c r="O1235">
        <v>20</v>
      </c>
      <c r="P1235" t="str">
        <f>VLOOKUP(O1235,[1]OPERADORES!$A:$B,2,0)</f>
        <v>MAYARA</v>
      </c>
      <c r="Q1235">
        <v>20</v>
      </c>
      <c r="R1235">
        <v>6000006703</v>
      </c>
      <c r="S1235" t="s">
        <v>3001</v>
      </c>
      <c r="T1235" s="1">
        <v>45236</v>
      </c>
      <c r="U1235" s="2">
        <v>2311.35</v>
      </c>
      <c r="V1235" s="2">
        <v>2311.35</v>
      </c>
    </row>
    <row r="1236" spans="1:22" x14ac:dyDescent="0.3">
      <c r="A1236" t="s">
        <v>2982</v>
      </c>
      <c r="B1236" t="s">
        <v>2983</v>
      </c>
      <c r="C1236" t="s">
        <v>2984</v>
      </c>
      <c r="D1236" t="s">
        <v>2985</v>
      </c>
      <c r="E1236" t="s">
        <v>15</v>
      </c>
      <c r="J1236" s="1">
        <v>45292</v>
      </c>
      <c r="K1236">
        <v>792</v>
      </c>
      <c r="L1236" t="s">
        <v>3002</v>
      </c>
      <c r="M1236">
        <v>6</v>
      </c>
      <c r="N1236" t="str">
        <f>VLOOKUP(M1236,[1]LOJA!$A:$B,2,0)</f>
        <v>GAMA</v>
      </c>
      <c r="O1236">
        <v>20</v>
      </c>
      <c r="P1236" t="str">
        <f>VLOOKUP(O1236,[1]OPERADORES!$A:$B,2,0)</f>
        <v>MAYARA</v>
      </c>
      <c r="Q1236">
        <v>20</v>
      </c>
      <c r="R1236">
        <v>6000006625</v>
      </c>
      <c r="S1236" t="s">
        <v>3003</v>
      </c>
      <c r="T1236" s="1">
        <v>45142</v>
      </c>
      <c r="U1236" s="2">
        <v>2679</v>
      </c>
      <c r="V1236" s="2">
        <v>2679</v>
      </c>
    </row>
    <row r="1237" spans="1:22" x14ac:dyDescent="0.3">
      <c r="A1237" t="s">
        <v>2982</v>
      </c>
      <c r="B1237" t="s">
        <v>2983</v>
      </c>
      <c r="C1237" t="s">
        <v>2984</v>
      </c>
      <c r="D1237" t="s">
        <v>2985</v>
      </c>
      <c r="E1237" t="s">
        <v>15</v>
      </c>
      <c r="J1237" s="1">
        <v>45295</v>
      </c>
      <c r="K1237">
        <v>789</v>
      </c>
      <c r="L1237" t="s">
        <v>3004</v>
      </c>
      <c r="M1237">
        <v>6</v>
      </c>
      <c r="N1237" t="str">
        <f>VLOOKUP(M1237,[1]LOJA!$A:$B,2,0)</f>
        <v>GAMA</v>
      </c>
      <c r="O1237">
        <v>20</v>
      </c>
      <c r="P1237" t="str">
        <f>VLOOKUP(O1237,[1]OPERADORES!$A:$B,2,0)</f>
        <v>MAYARA</v>
      </c>
      <c r="Q1237">
        <v>20</v>
      </c>
      <c r="R1237">
        <v>6000006642</v>
      </c>
      <c r="S1237" t="s">
        <v>3005</v>
      </c>
      <c r="T1237" s="1">
        <v>45173</v>
      </c>
      <c r="U1237" s="2">
        <v>2825</v>
      </c>
      <c r="V1237" s="2">
        <v>2825</v>
      </c>
    </row>
    <row r="1238" spans="1:22" x14ac:dyDescent="0.3">
      <c r="A1238" t="s">
        <v>2982</v>
      </c>
      <c r="B1238" t="s">
        <v>2983</v>
      </c>
      <c r="C1238" t="s">
        <v>2984</v>
      </c>
      <c r="D1238" t="s">
        <v>2985</v>
      </c>
      <c r="E1238" t="s">
        <v>15</v>
      </c>
      <c r="J1238" s="1">
        <v>45296</v>
      </c>
      <c r="K1238">
        <v>788</v>
      </c>
      <c r="L1238" t="s">
        <v>3006</v>
      </c>
      <c r="M1238">
        <v>6</v>
      </c>
      <c r="N1238" t="str">
        <f>VLOOKUP(M1238,[1]LOJA!$A:$B,2,0)</f>
        <v>GAMA</v>
      </c>
      <c r="O1238">
        <v>20</v>
      </c>
      <c r="P1238" t="str">
        <f>VLOOKUP(O1238,[1]OPERADORES!$A:$B,2,0)</f>
        <v>MAYARA</v>
      </c>
      <c r="Q1238">
        <v>20</v>
      </c>
      <c r="R1238">
        <v>6000006663</v>
      </c>
      <c r="S1238" t="s">
        <v>3007</v>
      </c>
      <c r="T1238" s="1">
        <v>45204</v>
      </c>
      <c r="U1238" s="2">
        <v>2301</v>
      </c>
      <c r="V1238" s="2">
        <v>2301</v>
      </c>
    </row>
    <row r="1239" spans="1:22" x14ac:dyDescent="0.3">
      <c r="A1239" t="s">
        <v>2982</v>
      </c>
      <c r="B1239" t="s">
        <v>2983</v>
      </c>
      <c r="C1239" t="s">
        <v>2984</v>
      </c>
      <c r="D1239" t="s">
        <v>2985</v>
      </c>
      <c r="E1239" t="s">
        <v>15</v>
      </c>
      <c r="J1239" s="1">
        <v>45296</v>
      </c>
      <c r="K1239">
        <v>788</v>
      </c>
      <c r="L1239" t="s">
        <v>3008</v>
      </c>
      <c r="M1239">
        <v>6</v>
      </c>
      <c r="N1239" t="str">
        <f>VLOOKUP(M1239,[1]LOJA!$A:$B,2,0)</f>
        <v>GAMA</v>
      </c>
      <c r="O1239">
        <v>20</v>
      </c>
      <c r="P1239" t="str">
        <f>VLOOKUP(O1239,[1]OPERADORES!$A:$B,2,0)</f>
        <v>MAYARA</v>
      </c>
      <c r="Q1239">
        <v>20</v>
      </c>
      <c r="R1239">
        <v>6000006704</v>
      </c>
      <c r="S1239" t="s">
        <v>3009</v>
      </c>
      <c r="T1239" s="1">
        <v>45236</v>
      </c>
      <c r="U1239" s="2">
        <v>2307</v>
      </c>
      <c r="V1239" s="2">
        <v>2307</v>
      </c>
    </row>
    <row r="1240" spans="1:22" x14ac:dyDescent="0.3">
      <c r="A1240" t="s">
        <v>2982</v>
      </c>
      <c r="B1240" t="s">
        <v>2983</v>
      </c>
      <c r="C1240" t="s">
        <v>2984</v>
      </c>
      <c r="D1240" t="s">
        <v>2985</v>
      </c>
      <c r="E1240" t="s">
        <v>15</v>
      </c>
      <c r="J1240" s="1">
        <v>45297</v>
      </c>
      <c r="K1240">
        <v>787</v>
      </c>
      <c r="L1240" t="s">
        <v>3010</v>
      </c>
      <c r="M1240">
        <v>6</v>
      </c>
      <c r="N1240" t="str">
        <f>VLOOKUP(M1240,[1]LOJA!$A:$B,2,0)</f>
        <v>GAMA</v>
      </c>
      <c r="O1240">
        <v>20</v>
      </c>
      <c r="P1240" t="str">
        <f>VLOOKUP(O1240,[1]OPERADORES!$A:$B,2,0)</f>
        <v>MAYARA</v>
      </c>
      <c r="Q1240">
        <v>20</v>
      </c>
      <c r="R1240">
        <v>6000006724</v>
      </c>
      <c r="S1240" t="s">
        <v>3011</v>
      </c>
      <c r="T1240" s="1">
        <v>45267</v>
      </c>
      <c r="U1240" s="2">
        <v>2794.96</v>
      </c>
      <c r="V1240" s="2">
        <v>2794.96</v>
      </c>
    </row>
    <row r="1241" spans="1:22" x14ac:dyDescent="0.3">
      <c r="A1241" t="s">
        <v>2982</v>
      </c>
      <c r="B1241" t="s">
        <v>2983</v>
      </c>
      <c r="C1241" t="s">
        <v>2984</v>
      </c>
      <c r="D1241" t="s">
        <v>2985</v>
      </c>
      <c r="E1241" t="s">
        <v>15</v>
      </c>
      <c r="J1241" s="1">
        <v>45325</v>
      </c>
      <c r="K1241">
        <v>759</v>
      </c>
      <c r="L1241" t="s">
        <v>3012</v>
      </c>
      <c r="M1241">
        <v>6</v>
      </c>
      <c r="N1241" t="str">
        <f>VLOOKUP(M1241,[1]LOJA!$A:$B,2,0)</f>
        <v>GAMA</v>
      </c>
      <c r="O1241">
        <v>20</v>
      </c>
      <c r="P1241" t="str">
        <f>VLOOKUP(O1241,[1]OPERADORES!$A:$B,2,0)</f>
        <v>MAYARA</v>
      </c>
      <c r="Q1241">
        <v>20</v>
      </c>
      <c r="R1241">
        <v>6000006742</v>
      </c>
      <c r="S1241" t="s">
        <v>3013</v>
      </c>
      <c r="T1241" s="1">
        <v>45295</v>
      </c>
      <c r="U1241" s="2">
        <v>1760.73</v>
      </c>
      <c r="V1241" s="2">
        <v>1760.73</v>
      </c>
    </row>
    <row r="1242" spans="1:22" x14ac:dyDescent="0.3">
      <c r="A1242" t="s">
        <v>2982</v>
      </c>
      <c r="B1242" t="s">
        <v>2983</v>
      </c>
      <c r="C1242" t="s">
        <v>2984</v>
      </c>
      <c r="D1242" t="s">
        <v>2985</v>
      </c>
      <c r="E1242" t="s">
        <v>15</v>
      </c>
      <c r="J1242" s="1">
        <v>45326</v>
      </c>
      <c r="K1242">
        <v>758</v>
      </c>
      <c r="L1242" t="s">
        <v>3014</v>
      </c>
      <c r="M1242">
        <v>6</v>
      </c>
      <c r="N1242" t="str">
        <f>VLOOKUP(M1242,[1]LOJA!$A:$B,2,0)</f>
        <v>GAMA</v>
      </c>
      <c r="O1242">
        <v>20</v>
      </c>
      <c r="P1242" t="str">
        <f>VLOOKUP(O1242,[1]OPERADORES!$A:$B,2,0)</f>
        <v>MAYARA</v>
      </c>
      <c r="Q1242">
        <v>20</v>
      </c>
      <c r="R1242">
        <v>6000006643</v>
      </c>
      <c r="S1242" t="s">
        <v>3015</v>
      </c>
      <c r="T1242" s="1">
        <v>45173</v>
      </c>
      <c r="U1242" s="2">
        <v>2825</v>
      </c>
      <c r="V1242" s="2">
        <v>2825</v>
      </c>
    </row>
    <row r="1243" spans="1:22" x14ac:dyDescent="0.3">
      <c r="A1243" t="s">
        <v>2982</v>
      </c>
      <c r="B1243" t="s">
        <v>2983</v>
      </c>
      <c r="C1243" t="s">
        <v>2984</v>
      </c>
      <c r="D1243" t="s">
        <v>2985</v>
      </c>
      <c r="E1243" t="s">
        <v>15</v>
      </c>
      <c r="J1243" s="1">
        <v>45327</v>
      </c>
      <c r="K1243">
        <v>757</v>
      </c>
      <c r="L1243" t="s">
        <v>3016</v>
      </c>
      <c r="M1243">
        <v>6</v>
      </c>
      <c r="N1243" t="str">
        <f>VLOOKUP(M1243,[1]LOJA!$A:$B,2,0)</f>
        <v>GAMA</v>
      </c>
      <c r="O1243">
        <v>20</v>
      </c>
      <c r="P1243" t="str">
        <f>VLOOKUP(O1243,[1]OPERADORES!$A:$B,2,0)</f>
        <v>MAYARA</v>
      </c>
      <c r="Q1243">
        <v>20</v>
      </c>
      <c r="R1243">
        <v>6000006664</v>
      </c>
      <c r="S1243" t="s">
        <v>3017</v>
      </c>
      <c r="T1243" s="1">
        <v>45204</v>
      </c>
      <c r="U1243" s="2">
        <v>2301</v>
      </c>
      <c r="V1243" s="2">
        <v>2301</v>
      </c>
    </row>
    <row r="1244" spans="1:22" x14ac:dyDescent="0.3">
      <c r="A1244" t="s">
        <v>2982</v>
      </c>
      <c r="B1244" t="s">
        <v>2983</v>
      </c>
      <c r="C1244" t="s">
        <v>2984</v>
      </c>
      <c r="D1244" t="s">
        <v>2985</v>
      </c>
      <c r="E1244" t="s">
        <v>15</v>
      </c>
      <c r="J1244" s="1">
        <v>45327</v>
      </c>
      <c r="K1244">
        <v>757</v>
      </c>
      <c r="L1244" t="s">
        <v>3018</v>
      </c>
      <c r="M1244">
        <v>6</v>
      </c>
      <c r="N1244" t="str">
        <f>VLOOKUP(M1244,[1]LOJA!$A:$B,2,0)</f>
        <v>GAMA</v>
      </c>
      <c r="O1244">
        <v>20</v>
      </c>
      <c r="P1244" t="str">
        <f>VLOOKUP(O1244,[1]OPERADORES!$A:$B,2,0)</f>
        <v>MAYARA</v>
      </c>
      <c r="Q1244">
        <v>20</v>
      </c>
      <c r="R1244">
        <v>6000006705</v>
      </c>
      <c r="S1244" t="s">
        <v>3019</v>
      </c>
      <c r="T1244" s="1">
        <v>45236</v>
      </c>
      <c r="U1244" s="2">
        <v>2307</v>
      </c>
      <c r="V1244" s="2">
        <v>2307</v>
      </c>
    </row>
    <row r="1245" spans="1:22" x14ac:dyDescent="0.3">
      <c r="A1245" t="s">
        <v>2982</v>
      </c>
      <c r="B1245" t="s">
        <v>2983</v>
      </c>
      <c r="C1245" t="s">
        <v>2984</v>
      </c>
      <c r="D1245" t="s">
        <v>2985</v>
      </c>
      <c r="E1245" t="s">
        <v>15</v>
      </c>
      <c r="J1245" s="1">
        <v>45328</v>
      </c>
      <c r="K1245">
        <v>756</v>
      </c>
      <c r="L1245" t="s">
        <v>3020</v>
      </c>
      <c r="M1245">
        <v>6</v>
      </c>
      <c r="N1245" t="str">
        <f>VLOOKUP(M1245,[1]LOJA!$A:$B,2,0)</f>
        <v>GAMA</v>
      </c>
      <c r="O1245">
        <v>20</v>
      </c>
      <c r="P1245" t="str">
        <f>VLOOKUP(O1245,[1]OPERADORES!$A:$B,2,0)</f>
        <v>MAYARA</v>
      </c>
      <c r="Q1245">
        <v>20</v>
      </c>
      <c r="R1245">
        <v>6000006725</v>
      </c>
      <c r="S1245" t="s">
        <v>3021</v>
      </c>
      <c r="T1245" s="1">
        <v>45267</v>
      </c>
      <c r="U1245" s="2">
        <v>2794</v>
      </c>
      <c r="V1245" s="2">
        <v>2794</v>
      </c>
    </row>
    <row r="1246" spans="1:22" x14ac:dyDescent="0.3">
      <c r="A1246" t="s">
        <v>2982</v>
      </c>
      <c r="B1246" t="s">
        <v>2983</v>
      </c>
      <c r="C1246" t="s">
        <v>2984</v>
      </c>
      <c r="D1246" t="s">
        <v>2985</v>
      </c>
      <c r="E1246" t="s">
        <v>15</v>
      </c>
      <c r="J1246" s="1">
        <v>45350</v>
      </c>
      <c r="K1246">
        <v>734</v>
      </c>
      <c r="L1246" t="s">
        <v>3022</v>
      </c>
      <c r="M1246">
        <v>6</v>
      </c>
      <c r="N1246" t="str">
        <f>VLOOKUP(M1246,[1]LOJA!$A:$B,2,0)</f>
        <v>GAMA</v>
      </c>
      <c r="O1246">
        <v>98</v>
      </c>
      <c r="P1246" t="str">
        <f>VLOOKUP(O1246,[1]OPERADORES!$A:$B,2,0)</f>
        <v xml:space="preserve">ARIGLEICE </v>
      </c>
      <c r="Q1246">
        <v>20</v>
      </c>
      <c r="S1246" t="s">
        <v>3023</v>
      </c>
      <c r="T1246" s="1">
        <v>45350</v>
      </c>
      <c r="U1246">
        <v>-0.51</v>
      </c>
      <c r="V1246">
        <v>-0.51</v>
      </c>
    </row>
    <row r="1247" spans="1:22" x14ac:dyDescent="0.3">
      <c r="A1247" t="s">
        <v>2982</v>
      </c>
      <c r="B1247" t="s">
        <v>2983</v>
      </c>
      <c r="C1247" t="s">
        <v>2984</v>
      </c>
      <c r="D1247" t="s">
        <v>2985</v>
      </c>
      <c r="E1247" t="s">
        <v>15</v>
      </c>
      <c r="J1247" s="1">
        <v>45356</v>
      </c>
      <c r="K1247">
        <v>728</v>
      </c>
      <c r="L1247" t="s">
        <v>3024</v>
      </c>
      <c r="M1247">
        <v>6</v>
      </c>
      <c r="N1247" t="str">
        <f>VLOOKUP(M1247,[1]LOJA!$A:$B,2,0)</f>
        <v>GAMA</v>
      </c>
      <c r="O1247">
        <v>20</v>
      </c>
      <c r="P1247" t="str">
        <f>VLOOKUP(O1247,[1]OPERADORES!$A:$B,2,0)</f>
        <v>MAYARA</v>
      </c>
      <c r="Q1247">
        <v>20</v>
      </c>
      <c r="R1247">
        <v>6000006706</v>
      </c>
      <c r="S1247" t="s">
        <v>3025</v>
      </c>
      <c r="T1247" s="1">
        <v>45236</v>
      </c>
      <c r="U1247" s="2">
        <v>2307</v>
      </c>
      <c r="V1247" s="2">
        <v>2307</v>
      </c>
    </row>
    <row r="1248" spans="1:22" x14ac:dyDescent="0.3">
      <c r="A1248" t="s">
        <v>2982</v>
      </c>
      <c r="B1248" t="s">
        <v>2983</v>
      </c>
      <c r="C1248" t="s">
        <v>2984</v>
      </c>
      <c r="D1248" t="s">
        <v>2985</v>
      </c>
      <c r="E1248" t="s">
        <v>15</v>
      </c>
      <c r="J1248" s="1">
        <v>45356</v>
      </c>
      <c r="K1248">
        <v>728</v>
      </c>
      <c r="L1248" t="s">
        <v>3026</v>
      </c>
      <c r="M1248">
        <v>6</v>
      </c>
      <c r="N1248" t="str">
        <f>VLOOKUP(M1248,[1]LOJA!$A:$B,2,0)</f>
        <v>GAMA</v>
      </c>
      <c r="O1248">
        <v>20</v>
      </c>
      <c r="P1248" t="str">
        <f>VLOOKUP(O1248,[1]OPERADORES!$A:$B,2,0)</f>
        <v>MAYARA</v>
      </c>
      <c r="Q1248">
        <v>20</v>
      </c>
      <c r="R1248">
        <v>6000006665</v>
      </c>
      <c r="S1248" t="s">
        <v>3027</v>
      </c>
      <c r="T1248" s="1">
        <v>45204</v>
      </c>
      <c r="U1248" s="2">
        <v>1541.77</v>
      </c>
      <c r="V1248" s="2">
        <v>1541.77</v>
      </c>
    </row>
    <row r="1249" spans="1:22" x14ac:dyDescent="0.3">
      <c r="A1249" t="s">
        <v>2982</v>
      </c>
      <c r="B1249" t="s">
        <v>2983</v>
      </c>
      <c r="C1249" t="s">
        <v>2984</v>
      </c>
      <c r="D1249" t="s">
        <v>2985</v>
      </c>
      <c r="E1249" t="s">
        <v>15</v>
      </c>
      <c r="J1249" s="1">
        <v>45357</v>
      </c>
      <c r="K1249">
        <v>727</v>
      </c>
      <c r="L1249" t="s">
        <v>3028</v>
      </c>
      <c r="M1249">
        <v>6</v>
      </c>
      <c r="N1249" t="str">
        <f>VLOOKUP(M1249,[1]LOJA!$A:$B,2,0)</f>
        <v>GAMA</v>
      </c>
      <c r="O1249">
        <v>20</v>
      </c>
      <c r="P1249" t="str">
        <f>VLOOKUP(O1249,[1]OPERADORES!$A:$B,2,0)</f>
        <v>MAYARA</v>
      </c>
      <c r="Q1249">
        <v>20</v>
      </c>
      <c r="R1249">
        <v>6000006726</v>
      </c>
      <c r="S1249" t="s">
        <v>3029</v>
      </c>
      <c r="T1249" s="1">
        <v>45267</v>
      </c>
      <c r="U1249" s="2">
        <v>2794</v>
      </c>
      <c r="V1249" s="2">
        <v>2794</v>
      </c>
    </row>
    <row r="1250" spans="1:22" x14ac:dyDescent="0.3">
      <c r="A1250" t="s">
        <v>2982</v>
      </c>
      <c r="B1250" t="s">
        <v>2983</v>
      </c>
      <c r="C1250" t="s">
        <v>2984</v>
      </c>
      <c r="D1250" t="s">
        <v>2985</v>
      </c>
      <c r="E1250" t="s">
        <v>15</v>
      </c>
      <c r="J1250" s="1">
        <v>45386</v>
      </c>
      <c r="K1250">
        <v>698</v>
      </c>
      <c r="L1250" t="s">
        <v>3030</v>
      </c>
      <c r="M1250">
        <v>6</v>
      </c>
      <c r="N1250" t="str">
        <f>VLOOKUP(M1250,[1]LOJA!$A:$B,2,0)</f>
        <v>GAMA</v>
      </c>
      <c r="O1250">
        <v>20</v>
      </c>
      <c r="P1250" t="str">
        <f>VLOOKUP(O1250,[1]OPERADORES!$A:$B,2,0)</f>
        <v>MAYARA</v>
      </c>
      <c r="Q1250">
        <v>20</v>
      </c>
      <c r="R1250">
        <v>6000006744</v>
      </c>
      <c r="S1250" t="s">
        <v>3031</v>
      </c>
      <c r="T1250" s="1">
        <v>45295</v>
      </c>
      <c r="U1250" s="2">
        <v>1760</v>
      </c>
      <c r="V1250" s="2">
        <v>1760</v>
      </c>
    </row>
    <row r="1251" spans="1:22" x14ac:dyDescent="0.3">
      <c r="A1251" t="s">
        <v>2982</v>
      </c>
      <c r="B1251" t="s">
        <v>2983</v>
      </c>
      <c r="C1251" t="s">
        <v>2984</v>
      </c>
      <c r="D1251" t="s">
        <v>2985</v>
      </c>
      <c r="E1251" t="s">
        <v>15</v>
      </c>
      <c r="J1251" s="1">
        <v>45387</v>
      </c>
      <c r="K1251">
        <v>697</v>
      </c>
      <c r="L1251" t="s">
        <v>3032</v>
      </c>
      <c r="M1251">
        <v>6</v>
      </c>
      <c r="N1251" t="str">
        <f>VLOOKUP(M1251,[1]LOJA!$A:$B,2,0)</f>
        <v>GAMA</v>
      </c>
      <c r="O1251">
        <v>20</v>
      </c>
      <c r="P1251" t="str">
        <f>VLOOKUP(O1251,[1]OPERADORES!$A:$B,2,0)</f>
        <v>MAYARA</v>
      </c>
      <c r="Q1251">
        <v>20</v>
      </c>
      <c r="R1251">
        <v>6000006707</v>
      </c>
      <c r="S1251" t="s">
        <v>3033</v>
      </c>
      <c r="T1251" s="1">
        <v>45236</v>
      </c>
      <c r="U1251" s="2">
        <v>2307</v>
      </c>
      <c r="V1251" s="2">
        <v>2307</v>
      </c>
    </row>
    <row r="1252" spans="1:22" x14ac:dyDescent="0.3">
      <c r="A1252" t="s">
        <v>2982</v>
      </c>
      <c r="B1252" t="s">
        <v>2983</v>
      </c>
      <c r="C1252" t="s">
        <v>2984</v>
      </c>
      <c r="D1252" t="s">
        <v>2985</v>
      </c>
      <c r="E1252" t="s">
        <v>15</v>
      </c>
      <c r="J1252" s="1">
        <v>45388</v>
      </c>
      <c r="K1252">
        <v>696</v>
      </c>
      <c r="L1252" t="s">
        <v>3034</v>
      </c>
      <c r="M1252">
        <v>6</v>
      </c>
      <c r="N1252" t="str">
        <f>VLOOKUP(M1252,[1]LOJA!$A:$B,2,0)</f>
        <v>GAMA</v>
      </c>
      <c r="O1252">
        <v>20</v>
      </c>
      <c r="P1252" t="str">
        <f>VLOOKUP(O1252,[1]OPERADORES!$A:$B,2,0)</f>
        <v>MAYARA</v>
      </c>
      <c r="Q1252">
        <v>20</v>
      </c>
      <c r="R1252">
        <v>6000006727</v>
      </c>
      <c r="S1252" t="s">
        <v>3035</v>
      </c>
      <c r="T1252" s="1">
        <v>45267</v>
      </c>
      <c r="U1252" s="2">
        <v>2794</v>
      </c>
      <c r="V1252" s="2">
        <v>2794</v>
      </c>
    </row>
    <row r="1253" spans="1:22" x14ac:dyDescent="0.3">
      <c r="A1253" t="s">
        <v>2982</v>
      </c>
      <c r="B1253" t="s">
        <v>2983</v>
      </c>
      <c r="C1253" t="s">
        <v>2984</v>
      </c>
      <c r="D1253" t="s">
        <v>2985</v>
      </c>
      <c r="E1253" t="s">
        <v>15</v>
      </c>
      <c r="J1253" s="1">
        <v>45416</v>
      </c>
      <c r="K1253">
        <v>668</v>
      </c>
      <c r="L1253" t="s">
        <v>3036</v>
      </c>
      <c r="M1253">
        <v>6</v>
      </c>
      <c r="N1253" t="str">
        <f>VLOOKUP(M1253,[1]LOJA!$A:$B,2,0)</f>
        <v>GAMA</v>
      </c>
      <c r="O1253">
        <v>20</v>
      </c>
      <c r="P1253" t="str">
        <f>VLOOKUP(O1253,[1]OPERADORES!$A:$B,2,0)</f>
        <v>MAYARA</v>
      </c>
      <c r="Q1253">
        <v>20</v>
      </c>
      <c r="R1253">
        <v>6000006745</v>
      </c>
      <c r="S1253" t="s">
        <v>3037</v>
      </c>
      <c r="T1253" s="1">
        <v>45295</v>
      </c>
      <c r="U1253" s="2">
        <v>1760</v>
      </c>
      <c r="V1253" s="2">
        <v>1760</v>
      </c>
    </row>
    <row r="1254" spans="1:22" x14ac:dyDescent="0.3">
      <c r="A1254" t="s">
        <v>2982</v>
      </c>
      <c r="B1254" t="s">
        <v>2983</v>
      </c>
      <c r="C1254" t="s">
        <v>2984</v>
      </c>
      <c r="D1254" t="s">
        <v>2985</v>
      </c>
      <c r="E1254" t="s">
        <v>15</v>
      </c>
      <c r="J1254" s="1">
        <v>45418</v>
      </c>
      <c r="K1254">
        <v>666</v>
      </c>
      <c r="L1254" t="s">
        <v>3038</v>
      </c>
      <c r="M1254">
        <v>6</v>
      </c>
      <c r="N1254" t="str">
        <f>VLOOKUP(M1254,[1]LOJA!$A:$B,2,0)</f>
        <v>GAMA</v>
      </c>
      <c r="O1254">
        <v>20</v>
      </c>
      <c r="P1254" t="str">
        <f>VLOOKUP(O1254,[1]OPERADORES!$A:$B,2,0)</f>
        <v>MAYARA</v>
      </c>
      <c r="Q1254">
        <v>20</v>
      </c>
      <c r="R1254">
        <v>6000006728</v>
      </c>
      <c r="S1254" t="s">
        <v>3039</v>
      </c>
      <c r="T1254" s="1">
        <v>45267</v>
      </c>
      <c r="U1254" s="2">
        <v>2794</v>
      </c>
      <c r="V1254" s="2">
        <v>2794</v>
      </c>
    </row>
    <row r="1255" spans="1:22" x14ac:dyDescent="0.3">
      <c r="A1255" t="s">
        <v>2982</v>
      </c>
      <c r="B1255" t="s">
        <v>2983</v>
      </c>
      <c r="C1255" t="s">
        <v>2984</v>
      </c>
      <c r="D1255" t="s">
        <v>2985</v>
      </c>
      <c r="E1255" t="s">
        <v>15</v>
      </c>
      <c r="J1255" s="1">
        <v>45447</v>
      </c>
      <c r="K1255">
        <v>637</v>
      </c>
      <c r="L1255" t="s">
        <v>3040</v>
      </c>
      <c r="M1255">
        <v>6</v>
      </c>
      <c r="N1255" t="str">
        <f>VLOOKUP(M1255,[1]LOJA!$A:$B,2,0)</f>
        <v>GAMA</v>
      </c>
      <c r="O1255">
        <v>20</v>
      </c>
      <c r="P1255" t="str">
        <f>VLOOKUP(O1255,[1]OPERADORES!$A:$B,2,0)</f>
        <v>MAYARA</v>
      </c>
      <c r="Q1255">
        <v>20</v>
      </c>
      <c r="R1255">
        <v>6000006746</v>
      </c>
      <c r="S1255" t="s">
        <v>3041</v>
      </c>
      <c r="T1255" s="1">
        <v>45295</v>
      </c>
      <c r="U1255" s="2">
        <v>1760</v>
      </c>
      <c r="V1255" s="2">
        <v>1760</v>
      </c>
    </row>
    <row r="1256" spans="1:22" x14ac:dyDescent="0.3">
      <c r="A1256" t="s">
        <v>3042</v>
      </c>
      <c r="B1256" t="s">
        <v>32</v>
      </c>
      <c r="C1256" t="s">
        <v>13</v>
      </c>
      <c r="D1256" t="s">
        <v>1057</v>
      </c>
      <c r="E1256" t="s">
        <v>15</v>
      </c>
      <c r="J1256" s="1">
        <v>45987</v>
      </c>
      <c r="K1256">
        <v>97</v>
      </c>
      <c r="L1256" t="s">
        <v>3043</v>
      </c>
      <c r="M1256">
        <v>24</v>
      </c>
      <c r="N1256" t="str">
        <f>VLOOKUP(M1256,[1]LOJA!$A:$B,2,0)</f>
        <v>LUZIÂNIA</v>
      </c>
      <c r="O1256">
        <v>244</v>
      </c>
      <c r="P1256" t="str">
        <f>VLOOKUP(O1256,[1]OPERADORES!$A:$B,2,0)</f>
        <v>NATHALIA PEREIRA DA SILVA</v>
      </c>
      <c r="Q1256">
        <v>4</v>
      </c>
      <c r="S1256" t="s">
        <v>3044</v>
      </c>
      <c r="T1256" s="1">
        <v>45987</v>
      </c>
      <c r="U1256">
        <v>-0.01</v>
      </c>
      <c r="V1256">
        <v>-0.01</v>
      </c>
    </row>
    <row r="1257" spans="1:22" x14ac:dyDescent="0.3">
      <c r="A1257" t="s">
        <v>3045</v>
      </c>
      <c r="B1257" t="s">
        <v>3046</v>
      </c>
      <c r="C1257" t="s">
        <v>226</v>
      </c>
      <c r="D1257" t="s">
        <v>5841</v>
      </c>
      <c r="E1257" t="s">
        <v>15</v>
      </c>
      <c r="J1257" s="1">
        <v>46063</v>
      </c>
      <c r="K1257">
        <v>21</v>
      </c>
      <c r="L1257" t="s">
        <v>3047</v>
      </c>
      <c r="M1257">
        <v>24</v>
      </c>
      <c r="N1257" t="str">
        <f>VLOOKUP(M1257,[1]LOJA!$A:$B,2,0)</f>
        <v>LUZIÂNIA</v>
      </c>
      <c r="O1257">
        <v>150</v>
      </c>
      <c r="P1257" t="str">
        <f>VLOOKUP(O1257,[1]OPERADORES!$A:$B,2,0)</f>
        <v>LUZIBERTO GOMES DA SILVA</v>
      </c>
      <c r="Q1257">
        <v>7</v>
      </c>
      <c r="S1257" t="s">
        <v>87</v>
      </c>
      <c r="T1257" s="1">
        <v>46062</v>
      </c>
      <c r="U1257">
        <v>16</v>
      </c>
      <c r="V1257">
        <v>16</v>
      </c>
    </row>
    <row r="1258" spans="1:22" x14ac:dyDescent="0.3">
      <c r="A1258" t="s">
        <v>3048</v>
      </c>
      <c r="B1258" t="s">
        <v>3049</v>
      </c>
      <c r="C1258" t="s">
        <v>13</v>
      </c>
      <c r="D1258" t="s">
        <v>5842</v>
      </c>
      <c r="E1258" t="s">
        <v>15</v>
      </c>
      <c r="J1258" s="1">
        <v>46009</v>
      </c>
      <c r="K1258">
        <v>75</v>
      </c>
      <c r="L1258" t="s">
        <v>477</v>
      </c>
      <c r="M1258">
        <v>14</v>
      </c>
      <c r="N1258" t="str">
        <f>VLOOKUP(M1258,[1]LOJA!$A:$B,2,0)</f>
        <v>S IA</v>
      </c>
      <c r="O1258">
        <v>207</v>
      </c>
      <c r="P1258" t="str">
        <f>VLOOKUP(O1258,[1]OPERADORES!$A:$B,2,0)</f>
        <v>KETILE SABRINE</v>
      </c>
      <c r="Q1258">
        <v>4</v>
      </c>
      <c r="S1258" t="s">
        <v>3050</v>
      </c>
      <c r="T1258" s="1">
        <v>46009</v>
      </c>
      <c r="U1258">
        <v>-22</v>
      </c>
      <c r="V1258">
        <v>-22</v>
      </c>
    </row>
    <row r="1259" spans="1:22" x14ac:dyDescent="0.3">
      <c r="A1259" t="s">
        <v>3051</v>
      </c>
      <c r="B1259" t="s">
        <v>3052</v>
      </c>
      <c r="C1259" t="s">
        <v>13</v>
      </c>
      <c r="D1259" t="s">
        <v>3053</v>
      </c>
      <c r="E1259" t="s">
        <v>15</v>
      </c>
      <c r="J1259" s="1">
        <v>45041</v>
      </c>
      <c r="K1259">
        <v>1043</v>
      </c>
      <c r="L1259" t="s">
        <v>3054</v>
      </c>
      <c r="M1259">
        <v>16</v>
      </c>
      <c r="N1259" t="str">
        <f>VLOOKUP(M1259,[1]LOJA!$A:$B,2,0)</f>
        <v>AG LINDAS</v>
      </c>
      <c r="O1259">
        <v>126</v>
      </c>
      <c r="P1259" t="str">
        <f>VLOOKUP(O1259,[1]OPERADORES!$A:$B,2,0)</f>
        <v>CESAR OLIVIEIRA DE ARAUJO</v>
      </c>
      <c r="Q1259">
        <v>7</v>
      </c>
      <c r="S1259" t="s">
        <v>3055</v>
      </c>
      <c r="T1259" s="1">
        <v>45040</v>
      </c>
      <c r="U1259">
        <v>0.01</v>
      </c>
      <c r="V1259">
        <v>0.01</v>
      </c>
    </row>
    <row r="1260" spans="1:22" x14ac:dyDescent="0.3">
      <c r="A1260" t="s">
        <v>3056</v>
      </c>
      <c r="B1260" t="s">
        <v>3057</v>
      </c>
      <c r="C1260" t="s">
        <v>13</v>
      </c>
      <c r="D1260" t="s">
        <v>3058</v>
      </c>
      <c r="E1260" t="s">
        <v>15</v>
      </c>
      <c r="J1260" s="1">
        <v>45239</v>
      </c>
      <c r="K1260">
        <v>845</v>
      </c>
      <c r="L1260" t="s">
        <v>3059</v>
      </c>
      <c r="M1260">
        <v>1</v>
      </c>
      <c r="N1260" t="str">
        <f>VLOOKUP(M1260,[1]LOJA!$A:$B,2,0)</f>
        <v>GUARÁ</v>
      </c>
      <c r="O1260">
        <v>93</v>
      </c>
      <c r="P1260" t="str">
        <f>VLOOKUP(O1260,[1]OPERADORES!$A:$B,2,0)</f>
        <v>PATRICIA</v>
      </c>
      <c r="Q1260">
        <v>4</v>
      </c>
      <c r="S1260" t="s">
        <v>3060</v>
      </c>
      <c r="T1260" s="1">
        <v>45239</v>
      </c>
      <c r="U1260">
        <v>-0.18</v>
      </c>
      <c r="V1260">
        <v>-0.18</v>
      </c>
    </row>
    <row r="1261" spans="1:22" x14ac:dyDescent="0.3">
      <c r="A1261" t="s">
        <v>3056</v>
      </c>
      <c r="B1261" t="s">
        <v>3057</v>
      </c>
      <c r="C1261" t="s">
        <v>13</v>
      </c>
      <c r="D1261" t="s">
        <v>3058</v>
      </c>
      <c r="E1261" t="s">
        <v>15</v>
      </c>
      <c r="J1261" s="1">
        <v>45779</v>
      </c>
      <c r="K1261">
        <v>305</v>
      </c>
      <c r="L1261" t="s">
        <v>3061</v>
      </c>
      <c r="M1261">
        <v>22</v>
      </c>
      <c r="N1261" t="str">
        <f>VLOOKUP(M1261,[1]LOJA!$A:$B,2,0)</f>
        <v>GUARÁ</v>
      </c>
      <c r="O1261">
        <v>16</v>
      </c>
      <c r="P1261" t="str">
        <f>VLOOKUP(O1261,[1]OPERADORES!$A:$B,2,0)</f>
        <v>AYSLAN</v>
      </c>
      <c r="Q1261">
        <v>10</v>
      </c>
      <c r="S1261" t="s">
        <v>87</v>
      </c>
      <c r="T1261" s="1">
        <v>45779</v>
      </c>
      <c r="U1261">
        <v>49.87</v>
      </c>
      <c r="V1261">
        <v>49.87</v>
      </c>
    </row>
    <row r="1262" spans="1:22" x14ac:dyDescent="0.3">
      <c r="A1262" t="s">
        <v>5843</v>
      </c>
      <c r="B1262" t="s">
        <v>5844</v>
      </c>
      <c r="C1262" t="s">
        <v>13</v>
      </c>
      <c r="D1262" t="s">
        <v>5845</v>
      </c>
      <c r="E1262" t="s">
        <v>15</v>
      </c>
      <c r="J1262" s="1">
        <v>46072</v>
      </c>
      <c r="K1262">
        <v>12</v>
      </c>
      <c r="L1262" t="s">
        <v>5846</v>
      </c>
      <c r="M1262">
        <v>22</v>
      </c>
      <c r="N1262" t="str">
        <f>VLOOKUP(M1262,[1]LOJA!$A:$B,2,0)</f>
        <v>GUARÁ</v>
      </c>
      <c r="O1262">
        <v>93</v>
      </c>
      <c r="P1262" t="str">
        <f>VLOOKUP(O1262,[1]OPERADORES!$A:$B,2,0)</f>
        <v>PATRICIA</v>
      </c>
      <c r="Q1262">
        <v>4</v>
      </c>
      <c r="S1262" t="s">
        <v>110</v>
      </c>
      <c r="T1262" s="1">
        <v>46072</v>
      </c>
      <c r="U1262">
        <v>-805</v>
      </c>
      <c r="V1262">
        <v>-805</v>
      </c>
    </row>
    <row r="1263" spans="1:22" x14ac:dyDescent="0.3">
      <c r="A1263" t="s">
        <v>3062</v>
      </c>
      <c r="B1263" t="s">
        <v>3063</v>
      </c>
      <c r="C1263" t="s">
        <v>3064</v>
      </c>
      <c r="D1263" t="s">
        <v>5847</v>
      </c>
      <c r="E1263" t="s">
        <v>15</v>
      </c>
      <c r="J1263" s="1">
        <v>46031</v>
      </c>
      <c r="K1263">
        <v>53</v>
      </c>
      <c r="L1263" t="s">
        <v>3065</v>
      </c>
      <c r="M1263">
        <v>4</v>
      </c>
      <c r="N1263" t="str">
        <f>VLOOKUP(M1263,[1]LOJA!$A:$B,2,0)</f>
        <v>ADE</v>
      </c>
      <c r="O1263">
        <v>132</v>
      </c>
      <c r="P1263" t="str">
        <f>VLOOKUP(O1263,[1]OPERADORES!$A:$B,2,0)</f>
        <v>PAMELA GONÇALVES ROSA</v>
      </c>
      <c r="Q1263">
        <v>4</v>
      </c>
      <c r="S1263" t="s">
        <v>3066</v>
      </c>
      <c r="T1263" s="1">
        <v>46031</v>
      </c>
      <c r="U1263">
        <v>-43.8</v>
      </c>
      <c r="V1263">
        <v>-43.8</v>
      </c>
    </row>
    <row r="1264" spans="1:22" x14ac:dyDescent="0.3">
      <c r="A1264" t="s">
        <v>3062</v>
      </c>
      <c r="B1264" t="s">
        <v>3063</v>
      </c>
      <c r="C1264" t="s">
        <v>3064</v>
      </c>
      <c r="D1264" t="s">
        <v>5847</v>
      </c>
      <c r="E1264" t="s">
        <v>15</v>
      </c>
      <c r="J1264" s="1">
        <v>46048</v>
      </c>
      <c r="K1264">
        <v>36</v>
      </c>
      <c r="L1264" t="s">
        <v>3067</v>
      </c>
      <c r="M1264">
        <v>4</v>
      </c>
      <c r="N1264" t="str">
        <f>VLOOKUP(M1264,[1]LOJA!$A:$B,2,0)</f>
        <v>ADE</v>
      </c>
      <c r="O1264">
        <v>132</v>
      </c>
      <c r="P1264" t="str">
        <f>VLOOKUP(O1264,[1]OPERADORES!$A:$B,2,0)</f>
        <v>PAMELA GONÇALVES ROSA</v>
      </c>
      <c r="Q1264">
        <v>4</v>
      </c>
      <c r="S1264" t="s">
        <v>3068</v>
      </c>
      <c r="T1264" s="1">
        <v>46048</v>
      </c>
      <c r="U1264" s="2">
        <v>-7570.11</v>
      </c>
      <c r="V1264" s="2">
        <v>-7570.11</v>
      </c>
    </row>
    <row r="1265" spans="1:22" x14ac:dyDescent="0.3">
      <c r="A1265" t="s">
        <v>3062</v>
      </c>
      <c r="B1265" t="s">
        <v>3063</v>
      </c>
      <c r="C1265" t="s">
        <v>3064</v>
      </c>
      <c r="D1265" t="s">
        <v>5847</v>
      </c>
      <c r="E1265" t="s">
        <v>15</v>
      </c>
      <c r="J1265" s="1">
        <v>46055</v>
      </c>
      <c r="K1265">
        <v>29</v>
      </c>
      <c r="L1265" t="s">
        <v>3069</v>
      </c>
      <c r="M1265">
        <v>4</v>
      </c>
      <c r="N1265" t="str">
        <f>VLOOKUP(M1265,[1]LOJA!$A:$B,2,0)</f>
        <v>ADE</v>
      </c>
      <c r="O1265">
        <v>132</v>
      </c>
      <c r="P1265" t="str">
        <f>VLOOKUP(O1265,[1]OPERADORES!$A:$B,2,0)</f>
        <v>PAMELA GONÇALVES ROSA</v>
      </c>
      <c r="Q1265">
        <v>4</v>
      </c>
      <c r="S1265" t="s">
        <v>3070</v>
      </c>
      <c r="T1265" s="1">
        <v>46055</v>
      </c>
      <c r="U1265">
        <v>-923.9</v>
      </c>
      <c r="V1265">
        <v>-923.9</v>
      </c>
    </row>
    <row r="1266" spans="1:22" x14ac:dyDescent="0.3">
      <c r="A1266" t="s">
        <v>3062</v>
      </c>
      <c r="B1266" t="s">
        <v>3063</v>
      </c>
      <c r="C1266" t="s">
        <v>3064</v>
      </c>
      <c r="D1266" t="s">
        <v>5847</v>
      </c>
      <c r="E1266" t="s">
        <v>15</v>
      </c>
      <c r="J1266" s="1">
        <v>46078</v>
      </c>
      <c r="K1266">
        <v>6</v>
      </c>
      <c r="L1266" t="s">
        <v>5848</v>
      </c>
      <c r="M1266">
        <v>4</v>
      </c>
      <c r="N1266" t="str">
        <f>VLOOKUP(M1266,[1]LOJA!$A:$B,2,0)</f>
        <v>ADE</v>
      </c>
      <c r="O1266">
        <v>132</v>
      </c>
      <c r="P1266" t="str">
        <f>VLOOKUP(O1266,[1]OPERADORES!$A:$B,2,0)</f>
        <v>PAMELA GONÇALVES ROSA</v>
      </c>
      <c r="Q1266">
        <v>20</v>
      </c>
      <c r="R1266">
        <v>1000019188</v>
      </c>
      <c r="S1266" t="s">
        <v>1295</v>
      </c>
      <c r="T1266" s="1">
        <v>45988</v>
      </c>
      <c r="U1266" s="2">
        <v>1173.6600000000001</v>
      </c>
      <c r="V1266" s="2">
        <v>1173.6600000000001</v>
      </c>
    </row>
    <row r="1267" spans="1:22" x14ac:dyDescent="0.3">
      <c r="A1267" t="s">
        <v>3062</v>
      </c>
      <c r="B1267" t="s">
        <v>3063</v>
      </c>
      <c r="C1267" t="s">
        <v>3064</v>
      </c>
      <c r="D1267" t="s">
        <v>5847</v>
      </c>
      <c r="E1267" t="s">
        <v>15</v>
      </c>
      <c r="J1267" s="1">
        <v>46078</v>
      </c>
      <c r="K1267">
        <v>6</v>
      </c>
      <c r="L1267" t="s">
        <v>5849</v>
      </c>
      <c r="M1267">
        <v>4</v>
      </c>
      <c r="N1267" t="str">
        <f>VLOOKUP(M1267,[1]LOJA!$A:$B,2,0)</f>
        <v>ADE</v>
      </c>
      <c r="O1267">
        <v>132</v>
      </c>
      <c r="P1267" t="str">
        <f>VLOOKUP(O1267,[1]OPERADORES!$A:$B,2,0)</f>
        <v>PAMELA GONÇALVES ROSA</v>
      </c>
      <c r="Q1267">
        <v>20</v>
      </c>
      <c r="R1267">
        <v>1000019193</v>
      </c>
      <c r="S1267" t="s">
        <v>1295</v>
      </c>
      <c r="T1267" s="1">
        <v>45988</v>
      </c>
      <c r="U1267">
        <v>579.79</v>
      </c>
      <c r="V1267">
        <v>579.79</v>
      </c>
    </row>
    <row r="1268" spans="1:22" x14ac:dyDescent="0.3">
      <c r="A1268" t="s">
        <v>3062</v>
      </c>
      <c r="B1268" t="s">
        <v>3063</v>
      </c>
      <c r="C1268" t="s">
        <v>3064</v>
      </c>
      <c r="D1268" t="s">
        <v>5847</v>
      </c>
      <c r="E1268" t="s">
        <v>15</v>
      </c>
      <c r="J1268" s="1">
        <v>46078</v>
      </c>
      <c r="K1268">
        <v>6</v>
      </c>
      <c r="L1268" t="s">
        <v>5850</v>
      </c>
      <c r="M1268">
        <v>4</v>
      </c>
      <c r="N1268" t="str">
        <f>VLOOKUP(M1268,[1]LOJA!$A:$B,2,0)</f>
        <v>ADE</v>
      </c>
      <c r="O1268">
        <v>109</v>
      </c>
      <c r="P1268" t="str">
        <f>VLOOKUP(O1268,[1]OPERADORES!$A:$B,2,0)</f>
        <v>LIVIA DE SOUZA</v>
      </c>
      <c r="Q1268">
        <v>20</v>
      </c>
      <c r="R1268">
        <v>1000019198</v>
      </c>
      <c r="S1268" t="s">
        <v>55</v>
      </c>
      <c r="T1268" s="1">
        <v>45988</v>
      </c>
      <c r="U1268">
        <v>260.83</v>
      </c>
      <c r="V1268">
        <v>260.83</v>
      </c>
    </row>
    <row r="1269" spans="1:22" x14ac:dyDescent="0.3">
      <c r="A1269" t="s">
        <v>3062</v>
      </c>
      <c r="B1269" t="s">
        <v>3063</v>
      </c>
      <c r="C1269" t="s">
        <v>3064</v>
      </c>
      <c r="D1269" t="s">
        <v>5847</v>
      </c>
      <c r="E1269" t="s">
        <v>15</v>
      </c>
      <c r="J1269" s="1">
        <v>46078</v>
      </c>
      <c r="K1269">
        <v>6</v>
      </c>
      <c r="L1269" t="s">
        <v>5851</v>
      </c>
      <c r="M1269">
        <v>4</v>
      </c>
      <c r="N1269" t="str">
        <f>VLOOKUP(M1269,[1]LOJA!$A:$B,2,0)</f>
        <v>ADE</v>
      </c>
      <c r="O1269">
        <v>132</v>
      </c>
      <c r="P1269" t="str">
        <f>VLOOKUP(O1269,[1]OPERADORES!$A:$B,2,0)</f>
        <v>PAMELA GONÇALVES ROSA</v>
      </c>
      <c r="Q1269">
        <v>20</v>
      </c>
      <c r="R1269">
        <v>1000020225</v>
      </c>
      <c r="S1269" t="s">
        <v>87</v>
      </c>
      <c r="T1269" s="1">
        <v>46048</v>
      </c>
      <c r="U1269">
        <v>185.7</v>
      </c>
      <c r="V1269">
        <v>185.7</v>
      </c>
    </row>
    <row r="1270" spans="1:22" x14ac:dyDescent="0.3">
      <c r="A1270" t="s">
        <v>3062</v>
      </c>
      <c r="B1270" t="s">
        <v>3063</v>
      </c>
      <c r="C1270" t="s">
        <v>3064</v>
      </c>
      <c r="D1270" t="s">
        <v>5847</v>
      </c>
      <c r="E1270" t="s">
        <v>15</v>
      </c>
      <c r="J1270" s="1">
        <v>46078</v>
      </c>
      <c r="K1270">
        <v>6</v>
      </c>
      <c r="L1270" t="s">
        <v>5852</v>
      </c>
      <c r="M1270">
        <v>4</v>
      </c>
      <c r="N1270" t="str">
        <f>VLOOKUP(M1270,[1]LOJA!$A:$B,2,0)</f>
        <v>ADE</v>
      </c>
      <c r="O1270">
        <v>132</v>
      </c>
      <c r="P1270" t="str">
        <f>VLOOKUP(O1270,[1]OPERADORES!$A:$B,2,0)</f>
        <v>PAMELA GONÇALVES ROSA</v>
      </c>
      <c r="Q1270">
        <v>20</v>
      </c>
      <c r="R1270">
        <v>1000020226</v>
      </c>
      <c r="S1270" t="s">
        <v>51</v>
      </c>
      <c r="T1270" s="1">
        <v>46048</v>
      </c>
      <c r="U1270">
        <v>307.97000000000003</v>
      </c>
      <c r="V1270">
        <v>307.97000000000003</v>
      </c>
    </row>
    <row r="1271" spans="1:22" x14ac:dyDescent="0.3">
      <c r="A1271" t="s">
        <v>3062</v>
      </c>
      <c r="B1271" t="s">
        <v>3063</v>
      </c>
      <c r="C1271" t="s">
        <v>3064</v>
      </c>
      <c r="D1271" t="s">
        <v>5847</v>
      </c>
      <c r="E1271" t="s">
        <v>15</v>
      </c>
      <c r="J1271" s="1">
        <v>46078</v>
      </c>
      <c r="K1271">
        <v>6</v>
      </c>
      <c r="L1271" t="s">
        <v>5853</v>
      </c>
      <c r="M1271">
        <v>4</v>
      </c>
      <c r="N1271" t="str">
        <f>VLOOKUP(M1271,[1]LOJA!$A:$B,2,0)</f>
        <v>ADE</v>
      </c>
      <c r="O1271">
        <v>132</v>
      </c>
      <c r="P1271" t="str">
        <f>VLOOKUP(O1271,[1]OPERADORES!$A:$B,2,0)</f>
        <v>PAMELA GONÇALVES ROSA</v>
      </c>
      <c r="Q1271">
        <v>20</v>
      </c>
      <c r="R1271">
        <v>1000020238</v>
      </c>
      <c r="S1271" t="s">
        <v>3071</v>
      </c>
      <c r="T1271" s="1">
        <v>46048</v>
      </c>
      <c r="U1271">
        <v>914.03</v>
      </c>
      <c r="V1271">
        <v>914.03</v>
      </c>
    </row>
    <row r="1272" spans="1:22" x14ac:dyDescent="0.3">
      <c r="A1272" t="s">
        <v>3062</v>
      </c>
      <c r="B1272" t="s">
        <v>3063</v>
      </c>
      <c r="C1272" t="s">
        <v>3064</v>
      </c>
      <c r="D1272" t="s">
        <v>5847</v>
      </c>
      <c r="E1272" t="s">
        <v>15</v>
      </c>
      <c r="J1272" s="1">
        <v>46084</v>
      </c>
      <c r="K1272">
        <v>0</v>
      </c>
      <c r="L1272" t="s">
        <v>5854</v>
      </c>
      <c r="M1272">
        <v>4</v>
      </c>
      <c r="N1272" t="str">
        <f>VLOOKUP(M1272,[1]LOJA!$A:$B,2,0)</f>
        <v>ADE</v>
      </c>
      <c r="O1272">
        <v>132</v>
      </c>
      <c r="P1272" t="str">
        <f>VLOOKUP(O1272,[1]OPERADORES!$A:$B,2,0)</f>
        <v>PAMELA GONÇALVES ROSA</v>
      </c>
      <c r="Q1272">
        <v>20</v>
      </c>
      <c r="R1272">
        <v>1000019365</v>
      </c>
      <c r="S1272" t="s">
        <v>55</v>
      </c>
      <c r="T1272" s="1">
        <v>45994</v>
      </c>
      <c r="U1272">
        <v>187.6</v>
      </c>
      <c r="V1272">
        <v>187.6</v>
      </c>
    </row>
    <row r="1273" spans="1:22" x14ac:dyDescent="0.3">
      <c r="A1273" t="s">
        <v>3062</v>
      </c>
      <c r="B1273" t="s">
        <v>3063</v>
      </c>
      <c r="C1273" t="s">
        <v>3064</v>
      </c>
      <c r="D1273" t="s">
        <v>5847</v>
      </c>
      <c r="E1273" t="s">
        <v>15</v>
      </c>
      <c r="J1273" s="1">
        <v>46084</v>
      </c>
      <c r="K1273">
        <v>0</v>
      </c>
      <c r="L1273" t="s">
        <v>5855</v>
      </c>
      <c r="M1273">
        <v>4</v>
      </c>
      <c r="N1273" t="str">
        <f>VLOOKUP(M1273,[1]LOJA!$A:$B,2,0)</f>
        <v>ADE</v>
      </c>
      <c r="O1273">
        <v>132</v>
      </c>
      <c r="P1273" t="str">
        <f>VLOOKUP(O1273,[1]OPERADORES!$A:$B,2,0)</f>
        <v>PAMELA GONÇALVES ROSA</v>
      </c>
      <c r="Q1273">
        <v>20</v>
      </c>
      <c r="R1273">
        <v>1000019368</v>
      </c>
      <c r="S1273" t="s">
        <v>1295</v>
      </c>
      <c r="T1273" s="1">
        <v>45994</v>
      </c>
      <c r="U1273">
        <v>660.68</v>
      </c>
      <c r="V1273">
        <v>660.68</v>
      </c>
    </row>
    <row r="1274" spans="1:22" x14ac:dyDescent="0.3">
      <c r="A1274" t="s">
        <v>3072</v>
      </c>
      <c r="B1274" t="s">
        <v>3073</v>
      </c>
      <c r="C1274" t="s">
        <v>43</v>
      </c>
      <c r="D1274" t="s">
        <v>5856</v>
      </c>
      <c r="E1274" t="s">
        <v>15</v>
      </c>
      <c r="J1274" s="1">
        <v>45854</v>
      </c>
      <c r="K1274">
        <v>230</v>
      </c>
      <c r="L1274" t="s">
        <v>3074</v>
      </c>
      <c r="M1274">
        <v>14</v>
      </c>
      <c r="N1274" t="str">
        <f>VLOOKUP(M1274,[1]LOJA!$A:$B,2,0)</f>
        <v>S IA</v>
      </c>
      <c r="O1274">
        <v>54</v>
      </c>
      <c r="P1274" t="str">
        <f>VLOOKUP(O1274,[1]OPERADORES!$A:$B,2,0)</f>
        <v>ROBSON</v>
      </c>
      <c r="Q1274">
        <v>4</v>
      </c>
      <c r="S1274" t="s">
        <v>3075</v>
      </c>
      <c r="T1274" s="1">
        <v>45853</v>
      </c>
      <c r="U1274">
        <v>-0.27</v>
      </c>
      <c r="V1274">
        <v>-0.27</v>
      </c>
    </row>
    <row r="1275" spans="1:22" x14ac:dyDescent="0.3">
      <c r="A1275" t="s">
        <v>3076</v>
      </c>
      <c r="B1275" t="s">
        <v>3077</v>
      </c>
      <c r="C1275" t="s">
        <v>226</v>
      </c>
      <c r="D1275" t="s">
        <v>3078</v>
      </c>
      <c r="E1275" t="s">
        <v>15</v>
      </c>
      <c r="J1275" s="1">
        <v>46028</v>
      </c>
      <c r="K1275">
        <v>56</v>
      </c>
      <c r="L1275" t="s">
        <v>3079</v>
      </c>
      <c r="M1275">
        <v>4</v>
      </c>
      <c r="N1275" t="str">
        <f>VLOOKUP(M1275,[1]LOJA!$A:$B,2,0)</f>
        <v>ADE</v>
      </c>
      <c r="O1275">
        <v>132</v>
      </c>
      <c r="P1275" t="str">
        <f>VLOOKUP(O1275,[1]OPERADORES!$A:$B,2,0)</f>
        <v>PAMELA GONÇALVES ROSA</v>
      </c>
      <c r="Q1275">
        <v>4</v>
      </c>
      <c r="S1275" t="s">
        <v>3080</v>
      </c>
      <c r="T1275" s="1">
        <v>46028</v>
      </c>
      <c r="U1275">
        <v>-0.77</v>
      </c>
      <c r="V1275">
        <v>-0.77</v>
      </c>
    </row>
    <row r="1276" spans="1:22" x14ac:dyDescent="0.3">
      <c r="A1276" t="s">
        <v>3076</v>
      </c>
      <c r="B1276" t="s">
        <v>3077</v>
      </c>
      <c r="C1276" t="s">
        <v>226</v>
      </c>
      <c r="D1276" t="s">
        <v>3078</v>
      </c>
      <c r="E1276" t="s">
        <v>15</v>
      </c>
      <c r="J1276" s="1">
        <v>46035</v>
      </c>
      <c r="K1276">
        <v>49</v>
      </c>
      <c r="L1276" t="s">
        <v>3081</v>
      </c>
      <c r="M1276">
        <v>4</v>
      </c>
      <c r="N1276" t="str">
        <f>VLOOKUP(M1276,[1]LOJA!$A:$B,2,0)</f>
        <v>ADE</v>
      </c>
      <c r="O1276">
        <v>132</v>
      </c>
      <c r="P1276" t="str">
        <f>VLOOKUP(O1276,[1]OPERADORES!$A:$B,2,0)</f>
        <v>PAMELA GONÇALVES ROSA</v>
      </c>
      <c r="Q1276">
        <v>4</v>
      </c>
      <c r="S1276" t="s">
        <v>3082</v>
      </c>
      <c r="T1276" s="1">
        <v>46035</v>
      </c>
      <c r="U1276">
        <v>-16</v>
      </c>
      <c r="V1276">
        <v>-16</v>
      </c>
    </row>
    <row r="1277" spans="1:22" x14ac:dyDescent="0.3">
      <c r="A1277" t="s">
        <v>3076</v>
      </c>
      <c r="B1277" t="s">
        <v>3077</v>
      </c>
      <c r="C1277" t="s">
        <v>226</v>
      </c>
      <c r="D1277" t="s">
        <v>3078</v>
      </c>
      <c r="E1277" t="s">
        <v>15</v>
      </c>
      <c r="J1277" s="1">
        <v>46036</v>
      </c>
      <c r="K1277">
        <v>48</v>
      </c>
      <c r="L1277" t="s">
        <v>3083</v>
      </c>
      <c r="M1277">
        <v>4</v>
      </c>
      <c r="N1277" t="str">
        <f>VLOOKUP(M1277,[1]LOJA!$A:$B,2,0)</f>
        <v>ADE</v>
      </c>
      <c r="O1277">
        <v>132</v>
      </c>
      <c r="P1277" t="str">
        <f>VLOOKUP(O1277,[1]OPERADORES!$A:$B,2,0)</f>
        <v>PAMELA GONÇALVES ROSA</v>
      </c>
      <c r="Q1277">
        <v>4</v>
      </c>
      <c r="S1277" t="s">
        <v>3084</v>
      </c>
      <c r="T1277" s="1">
        <v>46036</v>
      </c>
      <c r="U1277">
        <v>-0.1</v>
      </c>
      <c r="V1277">
        <v>-0.1</v>
      </c>
    </row>
    <row r="1278" spans="1:22" x14ac:dyDescent="0.3">
      <c r="A1278" t="s">
        <v>3085</v>
      </c>
      <c r="B1278" t="s">
        <v>3086</v>
      </c>
      <c r="C1278" t="s">
        <v>226</v>
      </c>
      <c r="D1278" t="s">
        <v>5857</v>
      </c>
      <c r="E1278" t="s">
        <v>15</v>
      </c>
      <c r="J1278" s="1">
        <v>45378</v>
      </c>
      <c r="K1278">
        <v>706</v>
      </c>
      <c r="L1278" t="s">
        <v>3087</v>
      </c>
      <c r="M1278">
        <v>14</v>
      </c>
      <c r="N1278" t="str">
        <f>VLOOKUP(M1278,[1]LOJA!$A:$B,2,0)</f>
        <v>S IA</v>
      </c>
      <c r="O1278">
        <v>207</v>
      </c>
      <c r="P1278" t="str">
        <f>VLOOKUP(O1278,[1]OPERADORES!$A:$B,2,0)</f>
        <v>KETILE SABRINE</v>
      </c>
      <c r="Q1278">
        <v>4</v>
      </c>
      <c r="S1278" t="s">
        <v>3088</v>
      </c>
      <c r="T1278" s="1">
        <v>45378</v>
      </c>
      <c r="U1278">
        <v>-0.05</v>
      </c>
      <c r="V1278">
        <v>-0.05</v>
      </c>
    </row>
    <row r="1279" spans="1:22" x14ac:dyDescent="0.3">
      <c r="A1279" t="s">
        <v>3089</v>
      </c>
      <c r="B1279" t="s">
        <v>3090</v>
      </c>
      <c r="C1279" t="s">
        <v>207</v>
      </c>
      <c r="D1279" t="s">
        <v>3091</v>
      </c>
      <c r="E1279" t="s">
        <v>15</v>
      </c>
      <c r="J1279" s="1">
        <v>45660</v>
      </c>
      <c r="K1279">
        <v>424</v>
      </c>
      <c r="L1279" t="s">
        <v>3092</v>
      </c>
      <c r="M1279">
        <v>12</v>
      </c>
      <c r="N1279" t="str">
        <f>VLOOKUP(M1279,[1]LOJA!$A:$B,2,0)</f>
        <v>SOFNORTE</v>
      </c>
      <c r="O1279">
        <v>20</v>
      </c>
      <c r="P1279" t="str">
        <f>VLOOKUP(O1279,[1]OPERADORES!$A:$B,2,0)</f>
        <v>MAYARA</v>
      </c>
      <c r="Q1279">
        <v>26</v>
      </c>
      <c r="R1279">
        <v>1000014558</v>
      </c>
      <c r="S1279" t="s">
        <v>3093</v>
      </c>
      <c r="T1279" s="1">
        <v>45600</v>
      </c>
      <c r="U1279" s="2">
        <v>1040</v>
      </c>
      <c r="V1279" s="2">
        <v>1040</v>
      </c>
    </row>
    <row r="1280" spans="1:22" x14ac:dyDescent="0.3">
      <c r="A1280" t="s">
        <v>3089</v>
      </c>
      <c r="B1280" t="s">
        <v>3090</v>
      </c>
      <c r="C1280" t="s">
        <v>207</v>
      </c>
      <c r="D1280" t="s">
        <v>3091</v>
      </c>
      <c r="E1280" t="s">
        <v>15</v>
      </c>
      <c r="J1280" s="1">
        <v>45660</v>
      </c>
      <c r="K1280">
        <v>424</v>
      </c>
      <c r="L1280" t="s">
        <v>3094</v>
      </c>
      <c r="M1280">
        <v>12</v>
      </c>
      <c r="N1280" t="str">
        <f>VLOOKUP(M1280,[1]LOJA!$A:$B,2,0)</f>
        <v>SOFNORTE</v>
      </c>
      <c r="O1280">
        <v>20</v>
      </c>
      <c r="P1280" t="str">
        <f>VLOOKUP(O1280,[1]OPERADORES!$A:$B,2,0)</f>
        <v>MAYARA</v>
      </c>
      <c r="Q1280">
        <v>26</v>
      </c>
      <c r="R1280">
        <v>1000014953</v>
      </c>
      <c r="S1280" t="s">
        <v>3095</v>
      </c>
      <c r="T1280" s="1">
        <v>45630</v>
      </c>
      <c r="U1280" s="2">
        <v>1668.57</v>
      </c>
      <c r="V1280" s="2">
        <v>1668.57</v>
      </c>
    </row>
    <row r="1281" spans="1:22" x14ac:dyDescent="0.3">
      <c r="A1281" t="s">
        <v>3089</v>
      </c>
      <c r="B1281" t="s">
        <v>3090</v>
      </c>
      <c r="C1281" t="s">
        <v>207</v>
      </c>
      <c r="D1281" t="s">
        <v>3091</v>
      </c>
      <c r="E1281" t="s">
        <v>15</v>
      </c>
      <c r="J1281" s="1">
        <v>45690</v>
      </c>
      <c r="K1281">
        <v>394</v>
      </c>
      <c r="L1281" t="s">
        <v>3096</v>
      </c>
      <c r="M1281">
        <v>12</v>
      </c>
      <c r="N1281" t="str">
        <f>VLOOKUP(M1281,[1]LOJA!$A:$B,2,0)</f>
        <v>SOFNORTE</v>
      </c>
      <c r="O1281">
        <v>20</v>
      </c>
      <c r="P1281" t="str">
        <f>VLOOKUP(O1281,[1]OPERADORES!$A:$B,2,0)</f>
        <v>MAYARA</v>
      </c>
      <c r="Q1281">
        <v>26</v>
      </c>
      <c r="R1281">
        <v>1000014559</v>
      </c>
      <c r="S1281" t="s">
        <v>3097</v>
      </c>
      <c r="T1281" s="1">
        <v>45600</v>
      </c>
      <c r="U1281" s="2">
        <v>1040</v>
      </c>
      <c r="V1281" s="2">
        <v>1040</v>
      </c>
    </row>
    <row r="1282" spans="1:22" x14ac:dyDescent="0.3">
      <c r="A1282" t="s">
        <v>3089</v>
      </c>
      <c r="B1282" t="s">
        <v>3090</v>
      </c>
      <c r="C1282" t="s">
        <v>207</v>
      </c>
      <c r="D1282" t="s">
        <v>3091</v>
      </c>
      <c r="E1282" t="s">
        <v>15</v>
      </c>
      <c r="J1282" s="1">
        <v>45690</v>
      </c>
      <c r="K1282">
        <v>394</v>
      </c>
      <c r="L1282" t="s">
        <v>3098</v>
      </c>
      <c r="M1282">
        <v>12</v>
      </c>
      <c r="N1282" t="str">
        <f>VLOOKUP(M1282,[1]LOJA!$A:$B,2,0)</f>
        <v>SOFNORTE</v>
      </c>
      <c r="O1282">
        <v>20</v>
      </c>
      <c r="P1282" t="str">
        <f>VLOOKUP(O1282,[1]OPERADORES!$A:$B,2,0)</f>
        <v>MAYARA</v>
      </c>
      <c r="Q1282">
        <v>26</v>
      </c>
      <c r="R1282">
        <v>1000014954</v>
      </c>
      <c r="S1282" t="s">
        <v>3099</v>
      </c>
      <c r="T1282" s="1">
        <v>45630</v>
      </c>
      <c r="U1282" s="2">
        <v>1668</v>
      </c>
      <c r="V1282" s="2">
        <v>1668</v>
      </c>
    </row>
    <row r="1283" spans="1:22" x14ac:dyDescent="0.3">
      <c r="A1283" t="s">
        <v>3089</v>
      </c>
      <c r="B1283" t="s">
        <v>3090</v>
      </c>
      <c r="C1283" t="s">
        <v>207</v>
      </c>
      <c r="D1283" t="s">
        <v>3091</v>
      </c>
      <c r="E1283" t="s">
        <v>15</v>
      </c>
      <c r="J1283" s="1">
        <v>45691</v>
      </c>
      <c r="K1283">
        <v>393</v>
      </c>
      <c r="L1283" t="s">
        <v>3100</v>
      </c>
      <c r="M1283">
        <v>12</v>
      </c>
      <c r="N1283" t="str">
        <f>VLOOKUP(M1283,[1]LOJA!$A:$B,2,0)</f>
        <v>SOFNORTE</v>
      </c>
      <c r="O1283">
        <v>20</v>
      </c>
      <c r="P1283" t="str">
        <f>VLOOKUP(O1283,[1]OPERADORES!$A:$B,2,0)</f>
        <v>MAYARA</v>
      </c>
      <c r="Q1283">
        <v>26</v>
      </c>
      <c r="R1283">
        <v>1000014375</v>
      </c>
      <c r="S1283" t="s">
        <v>3101</v>
      </c>
      <c r="T1283" s="1">
        <v>45581</v>
      </c>
      <c r="U1283">
        <v>215</v>
      </c>
      <c r="V1283">
        <v>215</v>
      </c>
    </row>
    <row r="1284" spans="1:22" x14ac:dyDescent="0.3">
      <c r="A1284" t="s">
        <v>3089</v>
      </c>
      <c r="B1284" t="s">
        <v>3090</v>
      </c>
      <c r="C1284" t="s">
        <v>207</v>
      </c>
      <c r="D1284" t="s">
        <v>3091</v>
      </c>
      <c r="E1284" t="s">
        <v>15</v>
      </c>
      <c r="J1284" s="1">
        <v>45695</v>
      </c>
      <c r="K1284">
        <v>389</v>
      </c>
      <c r="L1284" t="s">
        <v>3102</v>
      </c>
      <c r="M1284">
        <v>12</v>
      </c>
      <c r="N1284" t="str">
        <f>VLOOKUP(M1284,[1]LOJA!$A:$B,2,0)</f>
        <v>SOFNORTE</v>
      </c>
      <c r="O1284">
        <v>20</v>
      </c>
      <c r="P1284" t="str">
        <f>VLOOKUP(O1284,[1]OPERADORES!$A:$B,2,0)</f>
        <v>MAYARA</v>
      </c>
      <c r="Q1284">
        <v>26</v>
      </c>
      <c r="R1284">
        <v>1000015183</v>
      </c>
      <c r="S1284" t="s">
        <v>3103</v>
      </c>
      <c r="T1284" s="1">
        <v>45659</v>
      </c>
      <c r="U1284">
        <v>769.69</v>
      </c>
      <c r="V1284">
        <v>769.69</v>
      </c>
    </row>
    <row r="1285" spans="1:22" x14ac:dyDescent="0.3">
      <c r="A1285" t="s">
        <v>3089</v>
      </c>
      <c r="B1285" t="s">
        <v>3090</v>
      </c>
      <c r="C1285" t="s">
        <v>207</v>
      </c>
      <c r="D1285" t="s">
        <v>3091</v>
      </c>
      <c r="E1285" t="s">
        <v>15</v>
      </c>
      <c r="J1285" s="1">
        <v>45703</v>
      </c>
      <c r="K1285">
        <v>381</v>
      </c>
      <c r="L1285" t="s">
        <v>3104</v>
      </c>
      <c r="M1285">
        <v>12</v>
      </c>
      <c r="N1285" t="str">
        <f>VLOOKUP(M1285,[1]LOJA!$A:$B,2,0)</f>
        <v>SOFNORTE</v>
      </c>
      <c r="O1285">
        <v>20</v>
      </c>
      <c r="P1285" t="str">
        <f>VLOOKUP(O1285,[1]OPERADORES!$A:$B,2,0)</f>
        <v>MAYARA</v>
      </c>
      <c r="Q1285">
        <v>11</v>
      </c>
      <c r="S1285" t="s">
        <v>3105</v>
      </c>
      <c r="T1285" s="1">
        <v>45692</v>
      </c>
      <c r="U1285">
        <v>84.21</v>
      </c>
      <c r="V1285">
        <v>84.21</v>
      </c>
    </row>
    <row r="1286" spans="1:22" x14ac:dyDescent="0.3">
      <c r="A1286" t="s">
        <v>3089</v>
      </c>
      <c r="B1286" t="s">
        <v>3090</v>
      </c>
      <c r="C1286" t="s">
        <v>207</v>
      </c>
      <c r="D1286" t="s">
        <v>3091</v>
      </c>
      <c r="E1286" t="s">
        <v>15</v>
      </c>
      <c r="J1286" s="1">
        <v>45720</v>
      </c>
      <c r="K1286">
        <v>364</v>
      </c>
      <c r="L1286" t="s">
        <v>3106</v>
      </c>
      <c r="M1286">
        <v>12</v>
      </c>
      <c r="N1286" t="str">
        <f>VLOOKUP(M1286,[1]LOJA!$A:$B,2,0)</f>
        <v>SOFNORTE</v>
      </c>
      <c r="O1286">
        <v>20</v>
      </c>
      <c r="P1286" t="str">
        <f>VLOOKUP(O1286,[1]OPERADORES!$A:$B,2,0)</f>
        <v>MAYARA</v>
      </c>
      <c r="Q1286">
        <v>26</v>
      </c>
      <c r="R1286">
        <v>1000014955</v>
      </c>
      <c r="S1286" t="s">
        <v>3107</v>
      </c>
      <c r="T1286" s="1">
        <v>45630</v>
      </c>
      <c r="U1286" s="2">
        <v>1668</v>
      </c>
      <c r="V1286" s="2">
        <v>1668</v>
      </c>
    </row>
    <row r="1287" spans="1:22" x14ac:dyDescent="0.3">
      <c r="A1287" t="s">
        <v>3089</v>
      </c>
      <c r="B1287" t="s">
        <v>3090</v>
      </c>
      <c r="C1287" t="s">
        <v>207</v>
      </c>
      <c r="D1287" t="s">
        <v>3091</v>
      </c>
      <c r="E1287" t="s">
        <v>15</v>
      </c>
      <c r="J1287" s="1">
        <v>45723</v>
      </c>
      <c r="K1287">
        <v>361</v>
      </c>
      <c r="L1287" t="s">
        <v>3108</v>
      </c>
      <c r="M1287">
        <v>12</v>
      </c>
      <c r="N1287" t="str">
        <f>VLOOKUP(M1287,[1]LOJA!$A:$B,2,0)</f>
        <v>SOFNORTE</v>
      </c>
      <c r="O1287">
        <v>20</v>
      </c>
      <c r="P1287" t="str">
        <f>VLOOKUP(O1287,[1]OPERADORES!$A:$B,2,0)</f>
        <v>MAYARA</v>
      </c>
      <c r="Q1287">
        <v>26</v>
      </c>
      <c r="R1287">
        <v>1000015184</v>
      </c>
      <c r="S1287" t="s">
        <v>3109</v>
      </c>
      <c r="T1287" s="1">
        <v>45659</v>
      </c>
      <c r="U1287">
        <v>767</v>
      </c>
      <c r="V1287">
        <v>767</v>
      </c>
    </row>
    <row r="1288" spans="1:22" x14ac:dyDescent="0.3">
      <c r="A1288" t="s">
        <v>3089</v>
      </c>
      <c r="B1288" t="s">
        <v>3090</v>
      </c>
      <c r="C1288" t="s">
        <v>207</v>
      </c>
      <c r="D1288" t="s">
        <v>3091</v>
      </c>
      <c r="E1288" t="s">
        <v>15</v>
      </c>
      <c r="J1288" s="1">
        <v>45750</v>
      </c>
      <c r="K1288">
        <v>334</v>
      </c>
      <c r="L1288" t="s">
        <v>3110</v>
      </c>
      <c r="M1288">
        <v>12</v>
      </c>
      <c r="N1288" t="str">
        <f>VLOOKUP(M1288,[1]LOJA!$A:$B,2,0)</f>
        <v>SOFNORTE</v>
      </c>
      <c r="O1288">
        <v>20</v>
      </c>
      <c r="P1288" t="str">
        <f>VLOOKUP(O1288,[1]OPERADORES!$A:$B,2,0)</f>
        <v>MAYARA</v>
      </c>
      <c r="Q1288">
        <v>26</v>
      </c>
      <c r="R1288">
        <v>1000014956</v>
      </c>
      <c r="S1288" t="s">
        <v>3111</v>
      </c>
      <c r="T1288" s="1">
        <v>45630</v>
      </c>
      <c r="U1288" s="2">
        <v>1668</v>
      </c>
      <c r="V1288" s="2">
        <v>1668</v>
      </c>
    </row>
    <row r="1289" spans="1:22" x14ac:dyDescent="0.3">
      <c r="A1289" t="s">
        <v>3089</v>
      </c>
      <c r="B1289" t="s">
        <v>3090</v>
      </c>
      <c r="C1289" t="s">
        <v>207</v>
      </c>
      <c r="D1289" t="s">
        <v>3091</v>
      </c>
      <c r="E1289" t="s">
        <v>15</v>
      </c>
      <c r="J1289" s="1">
        <v>45754</v>
      </c>
      <c r="K1289">
        <v>330</v>
      </c>
      <c r="L1289" t="s">
        <v>3112</v>
      </c>
      <c r="M1289">
        <v>12</v>
      </c>
      <c r="N1289" t="str">
        <f>VLOOKUP(M1289,[1]LOJA!$A:$B,2,0)</f>
        <v>SOFNORTE</v>
      </c>
      <c r="O1289">
        <v>20</v>
      </c>
      <c r="P1289" t="str">
        <f>VLOOKUP(O1289,[1]OPERADORES!$A:$B,2,0)</f>
        <v>MAYARA</v>
      </c>
      <c r="Q1289">
        <v>26</v>
      </c>
      <c r="R1289">
        <v>1000015185</v>
      </c>
      <c r="S1289" t="s">
        <v>3113</v>
      </c>
      <c r="T1289" s="1">
        <v>45659</v>
      </c>
      <c r="U1289">
        <v>767</v>
      </c>
      <c r="V1289">
        <v>767</v>
      </c>
    </row>
    <row r="1290" spans="1:22" x14ac:dyDescent="0.3">
      <c r="A1290" t="s">
        <v>3114</v>
      </c>
      <c r="B1290" t="s">
        <v>3115</v>
      </c>
      <c r="C1290" t="s">
        <v>13</v>
      </c>
      <c r="D1290" t="s">
        <v>5858</v>
      </c>
      <c r="E1290" t="s">
        <v>15</v>
      </c>
      <c r="J1290" s="1">
        <v>45954</v>
      </c>
      <c r="K1290">
        <v>130</v>
      </c>
      <c r="L1290" t="s">
        <v>3116</v>
      </c>
      <c r="M1290">
        <v>9</v>
      </c>
      <c r="N1290" t="str">
        <f>VLOOKUP(M1290,[1]LOJA!$A:$B,2,0)</f>
        <v>ÚNICA</v>
      </c>
      <c r="O1290">
        <v>236</v>
      </c>
      <c r="P1290" t="str">
        <f>VLOOKUP(O1290,[1]OPERADORES!$A:$B,2,0)</f>
        <v>DANIEL</v>
      </c>
      <c r="Q1290">
        <v>4</v>
      </c>
      <c r="S1290" t="s">
        <v>3117</v>
      </c>
      <c r="T1290" s="1">
        <v>45954</v>
      </c>
      <c r="U1290">
        <v>-60.08</v>
      </c>
      <c r="V1290">
        <v>-60.08</v>
      </c>
    </row>
    <row r="1291" spans="1:22" x14ac:dyDescent="0.3">
      <c r="A1291" t="s">
        <v>3118</v>
      </c>
      <c r="B1291" t="s">
        <v>3119</v>
      </c>
      <c r="C1291" t="s">
        <v>13</v>
      </c>
      <c r="D1291" t="s">
        <v>194</v>
      </c>
      <c r="E1291" t="s">
        <v>15</v>
      </c>
      <c r="J1291" s="1">
        <v>45967</v>
      </c>
      <c r="K1291">
        <v>117</v>
      </c>
      <c r="L1291" t="s">
        <v>3120</v>
      </c>
      <c r="M1291">
        <v>6</v>
      </c>
      <c r="N1291" t="str">
        <f>VLOOKUP(M1291,[1]LOJA!$A:$B,2,0)</f>
        <v>GAMA</v>
      </c>
      <c r="O1291">
        <v>246</v>
      </c>
      <c r="P1291" t="str">
        <f>VLOOKUP(O1291,[1]OPERADORES!$A:$B,2,0)</f>
        <v>VITORIA APARECIDA</v>
      </c>
      <c r="Q1291">
        <v>4</v>
      </c>
      <c r="S1291" t="s">
        <v>3121</v>
      </c>
      <c r="T1291" s="1">
        <v>45967</v>
      </c>
      <c r="U1291">
        <v>-0.3</v>
      </c>
      <c r="V1291">
        <v>-0.3</v>
      </c>
    </row>
    <row r="1292" spans="1:22" x14ac:dyDescent="0.3">
      <c r="A1292" t="s">
        <v>3122</v>
      </c>
      <c r="B1292" t="s">
        <v>32</v>
      </c>
      <c r="C1292" t="s">
        <v>13</v>
      </c>
      <c r="D1292" t="s">
        <v>194</v>
      </c>
      <c r="E1292" t="s">
        <v>15</v>
      </c>
      <c r="J1292" s="1">
        <v>45959</v>
      </c>
      <c r="K1292">
        <v>125</v>
      </c>
      <c r="L1292" t="s">
        <v>634</v>
      </c>
      <c r="M1292">
        <v>16</v>
      </c>
      <c r="N1292" t="str">
        <f>VLOOKUP(M1292,[1]LOJA!$A:$B,2,0)</f>
        <v>AG LINDAS</v>
      </c>
      <c r="O1292">
        <v>107</v>
      </c>
      <c r="P1292" t="str">
        <f>VLOOKUP(O1292,[1]OPERADORES!$A:$B,2,0)</f>
        <v>DAIANA PORTELA</v>
      </c>
      <c r="Q1292">
        <v>7</v>
      </c>
      <c r="S1292" t="s">
        <v>3123</v>
      </c>
      <c r="T1292" s="1">
        <v>45959</v>
      </c>
      <c r="U1292">
        <v>-0.3</v>
      </c>
      <c r="V1292">
        <v>-0.3</v>
      </c>
    </row>
    <row r="1293" spans="1:22" x14ac:dyDescent="0.3">
      <c r="A1293" t="s">
        <v>3124</v>
      </c>
      <c r="B1293" t="s">
        <v>3125</v>
      </c>
      <c r="C1293" t="s">
        <v>13</v>
      </c>
      <c r="D1293" t="s">
        <v>137</v>
      </c>
      <c r="E1293" t="s">
        <v>15</v>
      </c>
      <c r="J1293" s="1">
        <v>46077</v>
      </c>
      <c r="K1293">
        <v>7</v>
      </c>
      <c r="L1293" t="s">
        <v>1918</v>
      </c>
      <c r="M1293">
        <v>24</v>
      </c>
      <c r="N1293" t="str">
        <f>VLOOKUP(M1293,[1]LOJA!$A:$B,2,0)</f>
        <v>LUZIÂNIA</v>
      </c>
      <c r="O1293">
        <v>244</v>
      </c>
      <c r="P1293" t="str">
        <f>VLOOKUP(O1293,[1]OPERADORES!$A:$B,2,0)</f>
        <v>NATHALIA PEREIRA DA SILVA</v>
      </c>
      <c r="Q1293">
        <v>4</v>
      </c>
      <c r="S1293" t="s">
        <v>5859</v>
      </c>
      <c r="T1293" s="1">
        <v>46058</v>
      </c>
      <c r="U1293">
        <v>-0.1</v>
      </c>
      <c r="V1293">
        <v>-0.1</v>
      </c>
    </row>
    <row r="1294" spans="1:22" x14ac:dyDescent="0.3">
      <c r="A1294" t="s">
        <v>3126</v>
      </c>
      <c r="B1294" t="s">
        <v>3127</v>
      </c>
      <c r="C1294" t="s">
        <v>13</v>
      </c>
      <c r="D1294" t="s">
        <v>5860</v>
      </c>
      <c r="E1294" t="s">
        <v>15</v>
      </c>
      <c r="J1294" s="1">
        <v>45945</v>
      </c>
      <c r="K1294">
        <v>139</v>
      </c>
      <c r="L1294" t="s">
        <v>3128</v>
      </c>
      <c r="M1294">
        <v>13</v>
      </c>
      <c r="N1294" t="str">
        <f>VLOOKUP(M1294,[1]LOJA!$A:$B,2,0)</f>
        <v>CEILÂNDIA</v>
      </c>
      <c r="O1294">
        <v>86</v>
      </c>
      <c r="P1294" t="str">
        <f>VLOOKUP(O1294,[1]OPERADORES!$A:$B,2,0)</f>
        <v>AMANDA</v>
      </c>
      <c r="Q1294">
        <v>7</v>
      </c>
      <c r="S1294" t="s">
        <v>5861</v>
      </c>
      <c r="T1294" s="1">
        <v>45912</v>
      </c>
      <c r="U1294">
        <v>358.43</v>
      </c>
      <c r="V1294">
        <v>358.43</v>
      </c>
    </row>
    <row r="1295" spans="1:22" x14ac:dyDescent="0.3">
      <c r="A1295" t="s">
        <v>3126</v>
      </c>
      <c r="B1295" t="s">
        <v>3127</v>
      </c>
      <c r="C1295" t="s">
        <v>13</v>
      </c>
      <c r="D1295" t="s">
        <v>5860</v>
      </c>
      <c r="E1295" t="s">
        <v>15</v>
      </c>
      <c r="J1295" s="1">
        <v>46015</v>
      </c>
      <c r="K1295">
        <v>69</v>
      </c>
      <c r="L1295" t="s">
        <v>3129</v>
      </c>
      <c r="M1295">
        <v>13</v>
      </c>
      <c r="N1295" t="str">
        <f>VLOOKUP(M1295,[1]LOJA!$A:$B,2,0)</f>
        <v>CEILÂNDIA</v>
      </c>
      <c r="O1295">
        <v>67</v>
      </c>
      <c r="P1295" t="str">
        <f>VLOOKUP(O1295,[1]OPERADORES!$A:$B,2,0)</f>
        <v>ERIKA</v>
      </c>
      <c r="Q1295">
        <v>10</v>
      </c>
      <c r="S1295" t="s">
        <v>3130</v>
      </c>
      <c r="T1295" s="1">
        <v>46015</v>
      </c>
      <c r="U1295">
        <v>-0.01</v>
      </c>
      <c r="V1295">
        <v>-0.01</v>
      </c>
    </row>
    <row r="1296" spans="1:22" x14ac:dyDescent="0.3">
      <c r="A1296" t="s">
        <v>3131</v>
      </c>
      <c r="B1296" t="s">
        <v>3132</v>
      </c>
      <c r="C1296" t="s">
        <v>13</v>
      </c>
      <c r="D1296" t="s">
        <v>3133</v>
      </c>
      <c r="E1296" t="s">
        <v>15</v>
      </c>
      <c r="J1296" s="1">
        <v>45933</v>
      </c>
      <c r="K1296">
        <v>151</v>
      </c>
      <c r="L1296" t="s">
        <v>3134</v>
      </c>
      <c r="M1296">
        <v>12</v>
      </c>
      <c r="N1296" t="str">
        <f>VLOOKUP(M1296,[1]LOJA!$A:$B,2,0)</f>
        <v>SOFNORTE</v>
      </c>
      <c r="O1296">
        <v>209</v>
      </c>
      <c r="P1296" t="str">
        <f>VLOOKUP(O1296,[1]OPERADORES!$A:$B,2,0)</f>
        <v>MARIA WITHALINA CUNHA DE SOUZA</v>
      </c>
      <c r="Q1296">
        <v>4</v>
      </c>
      <c r="S1296" t="s">
        <v>3135</v>
      </c>
      <c r="T1296" s="1">
        <v>45933</v>
      </c>
      <c r="U1296">
        <v>-5.72</v>
      </c>
      <c r="V1296">
        <v>-5.72</v>
      </c>
    </row>
    <row r="1297" spans="1:22" x14ac:dyDescent="0.3">
      <c r="A1297" t="s">
        <v>3136</v>
      </c>
      <c r="B1297" t="s">
        <v>3137</v>
      </c>
      <c r="C1297" t="s">
        <v>13</v>
      </c>
      <c r="D1297" t="s">
        <v>3138</v>
      </c>
      <c r="E1297" t="s">
        <v>15</v>
      </c>
      <c r="J1297" s="1">
        <v>46029</v>
      </c>
      <c r="K1297">
        <v>55</v>
      </c>
      <c r="L1297" t="s">
        <v>3139</v>
      </c>
      <c r="M1297">
        <v>13</v>
      </c>
      <c r="N1297" t="str">
        <f>VLOOKUP(M1297,[1]LOJA!$A:$B,2,0)</f>
        <v>CEILÂNDIA</v>
      </c>
      <c r="O1297">
        <v>67</v>
      </c>
      <c r="P1297" t="str">
        <f>VLOOKUP(O1297,[1]OPERADORES!$A:$B,2,0)</f>
        <v>ERIKA</v>
      </c>
      <c r="Q1297">
        <v>4</v>
      </c>
      <c r="S1297" t="s">
        <v>3140</v>
      </c>
      <c r="T1297" s="1">
        <v>46029</v>
      </c>
      <c r="U1297">
        <v>-0.74</v>
      </c>
      <c r="V1297">
        <v>-0.74</v>
      </c>
    </row>
    <row r="1298" spans="1:22" x14ac:dyDescent="0.3">
      <c r="A1298" t="s">
        <v>3141</v>
      </c>
      <c r="B1298" t="s">
        <v>3142</v>
      </c>
      <c r="C1298" t="s">
        <v>700</v>
      </c>
      <c r="D1298" t="s">
        <v>5862</v>
      </c>
      <c r="E1298" t="s">
        <v>15</v>
      </c>
      <c r="J1298" s="1">
        <v>45502</v>
      </c>
      <c r="K1298">
        <v>582</v>
      </c>
      <c r="L1298" t="s">
        <v>3143</v>
      </c>
      <c r="M1298">
        <v>22</v>
      </c>
      <c r="N1298" t="str">
        <f>VLOOKUP(M1298,[1]LOJA!$A:$B,2,0)</f>
        <v>GUARÁ</v>
      </c>
      <c r="O1298">
        <v>93</v>
      </c>
      <c r="P1298" t="str">
        <f>VLOOKUP(O1298,[1]OPERADORES!$A:$B,2,0)</f>
        <v>PATRICIA</v>
      </c>
      <c r="Q1298">
        <v>4</v>
      </c>
      <c r="S1298" t="s">
        <v>3144</v>
      </c>
      <c r="T1298" s="1">
        <v>45502</v>
      </c>
      <c r="U1298">
        <v>-67.31</v>
      </c>
      <c r="V1298">
        <v>-67.31</v>
      </c>
    </row>
    <row r="1299" spans="1:22" x14ac:dyDescent="0.3">
      <c r="A1299" t="s">
        <v>3141</v>
      </c>
      <c r="B1299" t="s">
        <v>3142</v>
      </c>
      <c r="C1299" t="s">
        <v>700</v>
      </c>
      <c r="D1299" t="s">
        <v>5862</v>
      </c>
      <c r="E1299" t="s">
        <v>15</v>
      </c>
      <c r="J1299" s="1">
        <v>46056</v>
      </c>
      <c r="K1299">
        <v>28</v>
      </c>
      <c r="L1299" t="s">
        <v>3145</v>
      </c>
      <c r="M1299">
        <v>22</v>
      </c>
      <c r="N1299" t="str">
        <f>VLOOKUP(M1299,[1]LOJA!$A:$B,2,0)</f>
        <v>GUARÁ</v>
      </c>
      <c r="O1299">
        <v>238</v>
      </c>
      <c r="P1299" t="str">
        <f>VLOOKUP(O1299,[1]OPERADORES!$A:$B,2,0)</f>
        <v>BIANCA</v>
      </c>
      <c r="Q1299">
        <v>4</v>
      </c>
      <c r="S1299" t="s">
        <v>3146</v>
      </c>
      <c r="T1299" s="1">
        <v>46056</v>
      </c>
      <c r="U1299">
        <v>-126.43</v>
      </c>
      <c r="V1299">
        <v>-126.43</v>
      </c>
    </row>
    <row r="1300" spans="1:22" x14ac:dyDescent="0.3">
      <c r="A1300" t="s">
        <v>3141</v>
      </c>
      <c r="B1300" t="s">
        <v>3142</v>
      </c>
      <c r="C1300" t="s">
        <v>700</v>
      </c>
      <c r="D1300" t="s">
        <v>5862</v>
      </c>
      <c r="E1300" t="s">
        <v>15</v>
      </c>
      <c r="J1300" s="1">
        <v>46064</v>
      </c>
      <c r="K1300">
        <v>20</v>
      </c>
      <c r="L1300" t="s">
        <v>3147</v>
      </c>
      <c r="M1300">
        <v>22</v>
      </c>
      <c r="N1300" t="str">
        <f>VLOOKUP(M1300,[1]LOJA!$A:$B,2,0)</f>
        <v>GUARÁ</v>
      </c>
      <c r="O1300">
        <v>238</v>
      </c>
      <c r="P1300" t="str">
        <f>VLOOKUP(O1300,[1]OPERADORES!$A:$B,2,0)</f>
        <v>BIANCA</v>
      </c>
      <c r="Q1300">
        <v>4</v>
      </c>
      <c r="S1300" t="s">
        <v>110</v>
      </c>
      <c r="T1300" s="1">
        <v>46064</v>
      </c>
      <c r="U1300">
        <v>-500</v>
      </c>
      <c r="V1300">
        <v>-500</v>
      </c>
    </row>
    <row r="1301" spans="1:22" x14ac:dyDescent="0.3">
      <c r="A1301" t="s">
        <v>3141</v>
      </c>
      <c r="B1301" t="s">
        <v>3142</v>
      </c>
      <c r="C1301" t="s">
        <v>700</v>
      </c>
      <c r="D1301" t="s">
        <v>5862</v>
      </c>
      <c r="E1301" t="s">
        <v>15</v>
      </c>
      <c r="J1301" s="1">
        <v>46076</v>
      </c>
      <c r="K1301">
        <v>8</v>
      </c>
      <c r="L1301" t="s">
        <v>5863</v>
      </c>
      <c r="M1301">
        <v>22</v>
      </c>
      <c r="N1301" t="str">
        <f>VLOOKUP(M1301,[1]LOJA!$A:$B,2,0)</f>
        <v>GUARÁ</v>
      </c>
      <c r="O1301">
        <v>238</v>
      </c>
      <c r="P1301" t="str">
        <f>VLOOKUP(O1301,[1]OPERADORES!$A:$B,2,0)</f>
        <v>BIANCA</v>
      </c>
      <c r="Q1301">
        <v>4</v>
      </c>
      <c r="S1301" t="s">
        <v>110</v>
      </c>
      <c r="T1301" s="1">
        <v>46076</v>
      </c>
      <c r="U1301">
        <v>-400</v>
      </c>
      <c r="V1301">
        <v>-400</v>
      </c>
    </row>
    <row r="1302" spans="1:22" x14ac:dyDescent="0.3">
      <c r="A1302" t="s">
        <v>3141</v>
      </c>
      <c r="B1302" t="s">
        <v>3142</v>
      </c>
      <c r="C1302" t="s">
        <v>700</v>
      </c>
      <c r="D1302" t="s">
        <v>5862</v>
      </c>
      <c r="E1302" t="s">
        <v>15</v>
      </c>
      <c r="J1302" s="1">
        <v>46080</v>
      </c>
      <c r="K1302">
        <v>4</v>
      </c>
      <c r="L1302" t="s">
        <v>5864</v>
      </c>
      <c r="M1302">
        <v>22</v>
      </c>
      <c r="N1302" t="str">
        <f>VLOOKUP(M1302,[1]LOJA!$A:$B,2,0)</f>
        <v>GUARÁ</v>
      </c>
      <c r="O1302">
        <v>238</v>
      </c>
      <c r="P1302" t="str">
        <f>VLOOKUP(O1302,[1]OPERADORES!$A:$B,2,0)</f>
        <v>BIANCA</v>
      </c>
      <c r="Q1302">
        <v>4</v>
      </c>
      <c r="S1302" t="s">
        <v>110</v>
      </c>
      <c r="T1302" s="1">
        <v>46080</v>
      </c>
      <c r="U1302">
        <v>-400</v>
      </c>
      <c r="V1302">
        <v>-400</v>
      </c>
    </row>
    <row r="1303" spans="1:22" x14ac:dyDescent="0.3">
      <c r="A1303" t="s">
        <v>3148</v>
      </c>
      <c r="B1303" t="s">
        <v>3149</v>
      </c>
      <c r="C1303" t="s">
        <v>13</v>
      </c>
      <c r="D1303" t="s">
        <v>1057</v>
      </c>
      <c r="E1303" t="s">
        <v>15</v>
      </c>
      <c r="J1303" s="1">
        <v>45345</v>
      </c>
      <c r="K1303">
        <v>739</v>
      </c>
      <c r="L1303" t="s">
        <v>3150</v>
      </c>
      <c r="M1303">
        <v>4</v>
      </c>
      <c r="N1303" t="str">
        <f>VLOOKUP(M1303,[1]LOJA!$A:$B,2,0)</f>
        <v>ADE</v>
      </c>
      <c r="O1303">
        <v>109</v>
      </c>
      <c r="P1303" t="str">
        <f>VLOOKUP(O1303,[1]OPERADORES!$A:$B,2,0)</f>
        <v>LIVIA DE SOUZA</v>
      </c>
      <c r="Q1303">
        <v>4</v>
      </c>
      <c r="S1303" t="s">
        <v>3151</v>
      </c>
      <c r="T1303" s="1">
        <v>45345</v>
      </c>
      <c r="U1303">
        <v>-0.01</v>
      </c>
      <c r="V1303">
        <v>-0.01</v>
      </c>
    </row>
    <row r="1304" spans="1:22" x14ac:dyDescent="0.3">
      <c r="A1304" t="s">
        <v>3152</v>
      </c>
      <c r="B1304" t="s">
        <v>32</v>
      </c>
      <c r="C1304" t="s">
        <v>13</v>
      </c>
      <c r="D1304" t="s">
        <v>3153</v>
      </c>
      <c r="E1304" t="s">
        <v>15</v>
      </c>
      <c r="J1304" s="1">
        <v>45152</v>
      </c>
      <c r="K1304">
        <v>932</v>
      </c>
      <c r="L1304" t="s">
        <v>3154</v>
      </c>
      <c r="M1304">
        <v>9</v>
      </c>
      <c r="N1304" t="str">
        <f>VLOOKUP(M1304,[1]LOJA!$A:$B,2,0)</f>
        <v>ÚNICA</v>
      </c>
      <c r="O1304">
        <v>84</v>
      </c>
      <c r="P1304" t="str">
        <f>VLOOKUP(O1304,[1]OPERADORES!$A:$B,2,0)</f>
        <v>JEICY AZEVEDO</v>
      </c>
      <c r="Q1304">
        <v>4</v>
      </c>
      <c r="S1304" t="s">
        <v>3155</v>
      </c>
      <c r="T1304" s="1">
        <v>45152</v>
      </c>
      <c r="U1304">
        <v>-87.5</v>
      </c>
      <c r="V1304">
        <v>-87.5</v>
      </c>
    </row>
    <row r="1305" spans="1:22" x14ac:dyDescent="0.3">
      <c r="A1305" t="s">
        <v>3156</v>
      </c>
      <c r="B1305" t="s">
        <v>3157</v>
      </c>
      <c r="C1305" t="s">
        <v>13</v>
      </c>
      <c r="D1305" t="s">
        <v>3158</v>
      </c>
      <c r="E1305" t="s">
        <v>15</v>
      </c>
      <c r="J1305" s="1">
        <v>45638</v>
      </c>
      <c r="K1305">
        <v>446</v>
      </c>
      <c r="L1305" t="s">
        <v>3159</v>
      </c>
      <c r="M1305">
        <v>22</v>
      </c>
      <c r="N1305" t="str">
        <f>VLOOKUP(M1305,[1]LOJA!$A:$B,2,0)</f>
        <v>GUARÁ</v>
      </c>
      <c r="O1305">
        <v>212</v>
      </c>
      <c r="P1305" t="str">
        <f>VLOOKUP(O1305,[1]OPERADORES!$A:$B,2,0)</f>
        <v>YASMIN</v>
      </c>
      <c r="Q1305">
        <v>4</v>
      </c>
      <c r="S1305" t="s">
        <v>3160</v>
      </c>
      <c r="T1305" s="1">
        <v>45638</v>
      </c>
      <c r="U1305">
        <v>-2.1</v>
      </c>
      <c r="V1305">
        <v>-2.1</v>
      </c>
    </row>
    <row r="1306" spans="1:22" x14ac:dyDescent="0.3">
      <c r="A1306" t="s">
        <v>5865</v>
      </c>
      <c r="B1306" t="s">
        <v>5866</v>
      </c>
      <c r="C1306" t="s">
        <v>13</v>
      </c>
      <c r="D1306" t="s">
        <v>5867</v>
      </c>
      <c r="E1306" t="s">
        <v>15</v>
      </c>
      <c r="J1306" s="1">
        <v>46065</v>
      </c>
      <c r="K1306">
        <v>19</v>
      </c>
      <c r="L1306" t="s">
        <v>2454</v>
      </c>
      <c r="M1306">
        <v>24</v>
      </c>
      <c r="N1306" t="str">
        <f>VLOOKUP(M1306,[1]LOJA!$A:$B,2,0)</f>
        <v>LUZIÂNIA</v>
      </c>
      <c r="O1306">
        <v>244</v>
      </c>
      <c r="P1306" t="str">
        <f>VLOOKUP(O1306,[1]OPERADORES!$A:$B,2,0)</f>
        <v>NATHALIA PEREIRA DA SILVA</v>
      </c>
      <c r="Q1306">
        <v>4</v>
      </c>
      <c r="S1306" t="s">
        <v>5868</v>
      </c>
      <c r="T1306" s="1">
        <v>46065</v>
      </c>
      <c r="U1306">
        <v>-1</v>
      </c>
      <c r="V1306">
        <v>-1</v>
      </c>
    </row>
    <row r="1307" spans="1:22" x14ac:dyDescent="0.3">
      <c r="A1307" t="s">
        <v>3161</v>
      </c>
      <c r="B1307" t="s">
        <v>3162</v>
      </c>
      <c r="C1307" t="s">
        <v>43</v>
      </c>
      <c r="D1307" t="s">
        <v>3163</v>
      </c>
      <c r="E1307" t="s">
        <v>15</v>
      </c>
      <c r="J1307" s="1">
        <v>44576</v>
      </c>
      <c r="K1307">
        <v>1508</v>
      </c>
      <c r="L1307" t="s">
        <v>3164</v>
      </c>
      <c r="M1307">
        <v>4</v>
      </c>
      <c r="N1307" t="str">
        <f>VLOOKUP(M1307,[1]LOJA!$A:$B,2,0)</f>
        <v>ADE</v>
      </c>
      <c r="O1307">
        <v>20</v>
      </c>
      <c r="P1307" t="str">
        <f>VLOOKUP(O1307,[1]OPERADORES!$A:$B,2,0)</f>
        <v>MAYARA</v>
      </c>
      <c r="Q1307">
        <v>12</v>
      </c>
      <c r="S1307" t="s">
        <v>3165</v>
      </c>
      <c r="T1307" s="1">
        <v>44564</v>
      </c>
      <c r="U1307">
        <v>69.900000000000006</v>
      </c>
      <c r="V1307">
        <v>69.900000000000006</v>
      </c>
    </row>
    <row r="1308" spans="1:22" x14ac:dyDescent="0.3">
      <c r="A1308" t="s">
        <v>3167</v>
      </c>
      <c r="B1308" t="s">
        <v>3168</v>
      </c>
      <c r="C1308" t="s">
        <v>1039</v>
      </c>
      <c r="D1308" t="s">
        <v>5869</v>
      </c>
      <c r="E1308" t="s">
        <v>15</v>
      </c>
      <c r="J1308" s="1">
        <v>45986</v>
      </c>
      <c r="K1308">
        <v>98</v>
      </c>
      <c r="L1308" t="s">
        <v>3169</v>
      </c>
      <c r="M1308">
        <v>24</v>
      </c>
      <c r="N1308" t="str">
        <f>VLOOKUP(M1308,[1]LOJA!$A:$B,2,0)</f>
        <v>LUZIÂNIA</v>
      </c>
      <c r="O1308">
        <v>242</v>
      </c>
      <c r="P1308" t="str">
        <f>VLOOKUP(O1308,[1]OPERADORES!$A:$B,2,0)</f>
        <v>CRISTIANO</v>
      </c>
      <c r="Q1308">
        <v>4</v>
      </c>
      <c r="S1308" t="s">
        <v>3170</v>
      </c>
      <c r="T1308" s="1">
        <v>45986</v>
      </c>
      <c r="U1308" s="2">
        <v>-1708.8</v>
      </c>
      <c r="V1308" s="2">
        <v>-1708.8</v>
      </c>
    </row>
    <row r="1309" spans="1:22" x14ac:dyDescent="0.3">
      <c r="A1309" t="s">
        <v>3171</v>
      </c>
      <c r="B1309" t="s">
        <v>3172</v>
      </c>
      <c r="C1309" t="s">
        <v>43</v>
      </c>
      <c r="D1309" t="s">
        <v>5870</v>
      </c>
      <c r="E1309" t="s">
        <v>15</v>
      </c>
      <c r="J1309" s="1">
        <v>46072</v>
      </c>
      <c r="K1309">
        <v>12</v>
      </c>
      <c r="L1309" t="s">
        <v>5871</v>
      </c>
      <c r="M1309">
        <v>22</v>
      </c>
      <c r="N1309" t="str">
        <f>VLOOKUP(M1309,[1]LOJA!$A:$B,2,0)</f>
        <v>GUARÁ</v>
      </c>
      <c r="O1309">
        <v>93</v>
      </c>
      <c r="P1309" t="str">
        <f>VLOOKUP(O1309,[1]OPERADORES!$A:$B,2,0)</f>
        <v>PATRICIA</v>
      </c>
      <c r="Q1309">
        <v>4</v>
      </c>
      <c r="S1309" t="s">
        <v>5872</v>
      </c>
      <c r="T1309" s="1">
        <v>46072</v>
      </c>
      <c r="U1309">
        <v>-18.760000000000002</v>
      </c>
      <c r="V1309">
        <v>-18.760000000000002</v>
      </c>
    </row>
    <row r="1310" spans="1:22" x14ac:dyDescent="0.3">
      <c r="A1310" t="s">
        <v>3173</v>
      </c>
      <c r="B1310" t="s">
        <v>3174</v>
      </c>
      <c r="C1310" t="s">
        <v>293</v>
      </c>
      <c r="D1310" t="s">
        <v>5873</v>
      </c>
      <c r="E1310" t="s">
        <v>15</v>
      </c>
      <c r="J1310" s="1">
        <v>46073</v>
      </c>
      <c r="K1310">
        <v>11</v>
      </c>
      <c r="L1310" t="s">
        <v>5874</v>
      </c>
      <c r="M1310">
        <v>12</v>
      </c>
      <c r="N1310" t="str">
        <f>VLOOKUP(M1310,[1]LOJA!$A:$B,2,0)</f>
        <v>SOFNORTE</v>
      </c>
      <c r="O1310">
        <v>20</v>
      </c>
      <c r="P1310" t="str">
        <f>VLOOKUP(O1310,[1]OPERADORES!$A:$B,2,0)</f>
        <v>MAYARA</v>
      </c>
      <c r="Q1310">
        <v>12</v>
      </c>
      <c r="S1310" t="s">
        <v>5875</v>
      </c>
      <c r="T1310" s="1">
        <v>46057</v>
      </c>
      <c r="U1310" s="2">
        <v>1205.97</v>
      </c>
      <c r="V1310" s="2">
        <v>1205.97</v>
      </c>
    </row>
    <row r="1311" spans="1:22" x14ac:dyDescent="0.3">
      <c r="A1311" t="s">
        <v>3175</v>
      </c>
      <c r="B1311" t="s">
        <v>3176</v>
      </c>
      <c r="C1311" t="s">
        <v>755</v>
      </c>
      <c r="D1311" t="s">
        <v>3177</v>
      </c>
      <c r="E1311" t="s">
        <v>15</v>
      </c>
      <c r="J1311" s="1">
        <v>44760</v>
      </c>
      <c r="K1311">
        <v>1324</v>
      </c>
      <c r="L1311" t="s">
        <v>3178</v>
      </c>
      <c r="M1311">
        <v>1</v>
      </c>
      <c r="N1311" t="str">
        <f>VLOOKUP(M1311,[1]LOJA!$A:$B,2,0)</f>
        <v>GUARÁ</v>
      </c>
      <c r="O1311">
        <v>28</v>
      </c>
      <c r="P1311" t="str">
        <f>VLOOKUP(O1311,[1]OPERADORES!$A:$B,2,0)</f>
        <v>GABRIELA</v>
      </c>
      <c r="Q1311">
        <v>4</v>
      </c>
      <c r="S1311" t="s">
        <v>142</v>
      </c>
      <c r="T1311" s="1">
        <v>44760</v>
      </c>
      <c r="U1311">
        <v>-0.19</v>
      </c>
      <c r="V1311">
        <v>-0.19</v>
      </c>
    </row>
    <row r="1312" spans="1:22" x14ac:dyDescent="0.3">
      <c r="A1312" t="s">
        <v>3175</v>
      </c>
      <c r="B1312" t="s">
        <v>3176</v>
      </c>
      <c r="C1312" t="s">
        <v>755</v>
      </c>
      <c r="D1312" t="s">
        <v>3177</v>
      </c>
      <c r="E1312" t="s">
        <v>15</v>
      </c>
      <c r="J1312" s="1">
        <v>44894</v>
      </c>
      <c r="K1312">
        <v>1190</v>
      </c>
      <c r="L1312" t="s">
        <v>3179</v>
      </c>
      <c r="M1312">
        <v>1</v>
      </c>
      <c r="N1312" t="str">
        <f>VLOOKUP(M1312,[1]LOJA!$A:$B,2,0)</f>
        <v>GUARÁ</v>
      </c>
      <c r="O1312">
        <v>28</v>
      </c>
      <c r="P1312" t="str">
        <f>VLOOKUP(O1312,[1]OPERADORES!$A:$B,2,0)</f>
        <v>GABRIELA</v>
      </c>
      <c r="Q1312">
        <v>4</v>
      </c>
      <c r="S1312" t="s">
        <v>3180</v>
      </c>
      <c r="T1312" s="1">
        <v>44894</v>
      </c>
      <c r="U1312">
        <v>-3.16</v>
      </c>
      <c r="V1312">
        <v>-3.16</v>
      </c>
    </row>
    <row r="1313" spans="1:22" x14ac:dyDescent="0.3">
      <c r="A1313" t="s">
        <v>3181</v>
      </c>
      <c r="B1313" t="s">
        <v>3182</v>
      </c>
      <c r="C1313" t="s">
        <v>13</v>
      </c>
      <c r="D1313" t="s">
        <v>3183</v>
      </c>
      <c r="E1313" t="s">
        <v>15</v>
      </c>
      <c r="J1313" s="1">
        <v>44663</v>
      </c>
      <c r="K1313">
        <v>1421</v>
      </c>
      <c r="L1313" t="s">
        <v>3184</v>
      </c>
      <c r="M1313">
        <v>4</v>
      </c>
      <c r="N1313" t="str">
        <f>VLOOKUP(M1313,[1]LOJA!$A:$B,2,0)</f>
        <v>ADE</v>
      </c>
      <c r="O1313">
        <v>107</v>
      </c>
      <c r="P1313" t="str">
        <f>VLOOKUP(O1313,[1]OPERADORES!$A:$B,2,0)</f>
        <v>DAIANA PORTELA</v>
      </c>
      <c r="Q1313">
        <v>7</v>
      </c>
      <c r="S1313" t="s">
        <v>142</v>
      </c>
      <c r="T1313" s="1">
        <v>44663</v>
      </c>
      <c r="U1313">
        <v>-0.54</v>
      </c>
      <c r="V1313">
        <v>-0.54</v>
      </c>
    </row>
    <row r="1314" spans="1:22" x14ac:dyDescent="0.3">
      <c r="A1314" t="s">
        <v>3181</v>
      </c>
      <c r="B1314" t="s">
        <v>3182</v>
      </c>
      <c r="C1314" t="s">
        <v>13</v>
      </c>
      <c r="D1314" t="s">
        <v>3183</v>
      </c>
      <c r="E1314" t="s">
        <v>15</v>
      </c>
      <c r="J1314" s="1">
        <v>44722</v>
      </c>
      <c r="K1314">
        <v>1362</v>
      </c>
      <c r="L1314" t="s">
        <v>3185</v>
      </c>
      <c r="M1314">
        <v>4</v>
      </c>
      <c r="N1314" t="str">
        <f>VLOOKUP(M1314,[1]LOJA!$A:$B,2,0)</f>
        <v>ADE</v>
      </c>
      <c r="O1314">
        <v>84</v>
      </c>
      <c r="P1314" t="str">
        <f>VLOOKUP(O1314,[1]OPERADORES!$A:$B,2,0)</f>
        <v>JEICY AZEVEDO</v>
      </c>
      <c r="Q1314">
        <v>20</v>
      </c>
      <c r="R1314">
        <v>4000000527</v>
      </c>
      <c r="S1314" t="s">
        <v>3186</v>
      </c>
      <c r="T1314" s="1">
        <v>44659</v>
      </c>
      <c r="U1314">
        <v>848.46</v>
      </c>
      <c r="V1314">
        <v>848.46</v>
      </c>
    </row>
    <row r="1315" spans="1:22" x14ac:dyDescent="0.3">
      <c r="A1315" t="s">
        <v>3181</v>
      </c>
      <c r="B1315" t="s">
        <v>3182</v>
      </c>
      <c r="C1315" t="s">
        <v>13</v>
      </c>
      <c r="D1315" t="s">
        <v>3183</v>
      </c>
      <c r="E1315" t="s">
        <v>15</v>
      </c>
      <c r="J1315" s="1">
        <v>44752</v>
      </c>
      <c r="K1315">
        <v>1332</v>
      </c>
      <c r="L1315" t="s">
        <v>3187</v>
      </c>
      <c r="M1315">
        <v>4</v>
      </c>
      <c r="N1315" t="str">
        <f>VLOOKUP(M1315,[1]LOJA!$A:$B,2,0)</f>
        <v>ADE</v>
      </c>
      <c r="O1315">
        <v>84</v>
      </c>
      <c r="P1315" t="str">
        <f>VLOOKUP(O1315,[1]OPERADORES!$A:$B,2,0)</f>
        <v>JEICY AZEVEDO</v>
      </c>
      <c r="Q1315">
        <v>20</v>
      </c>
      <c r="R1315">
        <v>4000000528</v>
      </c>
      <c r="S1315" t="s">
        <v>3188</v>
      </c>
      <c r="T1315" s="1">
        <v>44659</v>
      </c>
      <c r="U1315">
        <v>848.45</v>
      </c>
      <c r="V1315">
        <v>848.45</v>
      </c>
    </row>
    <row r="1316" spans="1:22" x14ac:dyDescent="0.3">
      <c r="A1316" t="s">
        <v>3189</v>
      </c>
      <c r="B1316" t="s">
        <v>3190</v>
      </c>
      <c r="C1316" t="s">
        <v>13</v>
      </c>
      <c r="D1316" t="s">
        <v>3191</v>
      </c>
      <c r="E1316" t="s">
        <v>15</v>
      </c>
      <c r="J1316" s="1">
        <v>46051</v>
      </c>
      <c r="K1316">
        <v>33</v>
      </c>
      <c r="L1316" t="s">
        <v>3192</v>
      </c>
      <c r="M1316">
        <v>9</v>
      </c>
      <c r="N1316" t="str">
        <f>VLOOKUP(M1316,[1]LOJA!$A:$B,2,0)</f>
        <v>ÚNICA</v>
      </c>
      <c r="O1316">
        <v>144</v>
      </c>
      <c r="P1316" t="str">
        <f>VLOOKUP(O1316,[1]OPERADORES!$A:$B,2,0)</f>
        <v>CINTIA DA SILVA CARLOS</v>
      </c>
      <c r="Q1316">
        <v>4</v>
      </c>
      <c r="S1316" t="s">
        <v>3193</v>
      </c>
      <c r="T1316" s="1">
        <v>46051</v>
      </c>
      <c r="U1316">
        <v>-507.64</v>
      </c>
      <c r="V1316">
        <v>-507.64</v>
      </c>
    </row>
    <row r="1317" spans="1:22" x14ac:dyDescent="0.3">
      <c r="A1317" t="s">
        <v>3194</v>
      </c>
      <c r="B1317" t="s">
        <v>3195</v>
      </c>
      <c r="C1317" t="s">
        <v>13</v>
      </c>
      <c r="D1317" t="s">
        <v>3196</v>
      </c>
      <c r="E1317" t="s">
        <v>15</v>
      </c>
      <c r="J1317" s="1">
        <v>44784</v>
      </c>
      <c r="K1317">
        <v>1300</v>
      </c>
      <c r="L1317" t="s">
        <v>3197</v>
      </c>
      <c r="M1317">
        <v>13</v>
      </c>
      <c r="N1317" t="str">
        <f>VLOOKUP(M1317,[1]LOJA!$A:$B,2,0)</f>
        <v>CEILÂNDIA</v>
      </c>
      <c r="O1317">
        <v>86</v>
      </c>
      <c r="P1317" t="str">
        <f>VLOOKUP(O1317,[1]OPERADORES!$A:$B,2,0)</f>
        <v>AMANDA</v>
      </c>
      <c r="Q1317">
        <v>27</v>
      </c>
      <c r="R1317">
        <v>5000000890</v>
      </c>
      <c r="S1317" t="s">
        <v>3198</v>
      </c>
      <c r="T1317" s="1">
        <v>44754</v>
      </c>
      <c r="U1317">
        <v>110.07</v>
      </c>
      <c r="V1317">
        <v>110.07</v>
      </c>
    </row>
    <row r="1318" spans="1:22" x14ac:dyDescent="0.3">
      <c r="A1318" t="s">
        <v>3194</v>
      </c>
      <c r="B1318" t="s">
        <v>3195</v>
      </c>
      <c r="C1318" t="s">
        <v>13</v>
      </c>
      <c r="D1318" t="s">
        <v>3196</v>
      </c>
      <c r="E1318" t="s">
        <v>15</v>
      </c>
      <c r="J1318" s="1">
        <v>44786</v>
      </c>
      <c r="K1318">
        <v>1298</v>
      </c>
      <c r="L1318" t="s">
        <v>3199</v>
      </c>
      <c r="M1318">
        <v>13</v>
      </c>
      <c r="N1318" t="str">
        <f>VLOOKUP(M1318,[1]LOJA!$A:$B,2,0)</f>
        <v>CEILÂNDIA</v>
      </c>
      <c r="O1318">
        <v>86</v>
      </c>
      <c r="P1318" t="str">
        <f>VLOOKUP(O1318,[1]OPERADORES!$A:$B,2,0)</f>
        <v>AMANDA</v>
      </c>
      <c r="Q1318">
        <v>27</v>
      </c>
      <c r="R1318">
        <v>5000000894</v>
      </c>
      <c r="S1318" t="s">
        <v>87</v>
      </c>
      <c r="T1318" s="1">
        <v>44756</v>
      </c>
      <c r="U1318">
        <v>390.35</v>
      </c>
      <c r="V1318">
        <v>390.35</v>
      </c>
    </row>
    <row r="1319" spans="1:22" x14ac:dyDescent="0.3">
      <c r="A1319" t="s">
        <v>3194</v>
      </c>
      <c r="B1319" t="s">
        <v>3195</v>
      </c>
      <c r="C1319" t="s">
        <v>13</v>
      </c>
      <c r="D1319" t="s">
        <v>3196</v>
      </c>
      <c r="E1319" t="s">
        <v>15</v>
      </c>
      <c r="J1319" s="1">
        <v>44788</v>
      </c>
      <c r="K1319">
        <v>1296</v>
      </c>
      <c r="L1319" t="s">
        <v>3200</v>
      </c>
      <c r="M1319">
        <v>13</v>
      </c>
      <c r="N1319" t="str">
        <f>VLOOKUP(M1319,[1]LOJA!$A:$B,2,0)</f>
        <v>CEILÂNDIA</v>
      </c>
      <c r="O1319">
        <v>86</v>
      </c>
      <c r="P1319" t="str">
        <f>VLOOKUP(O1319,[1]OPERADORES!$A:$B,2,0)</f>
        <v>AMANDA</v>
      </c>
      <c r="Q1319">
        <v>27</v>
      </c>
      <c r="R1319">
        <v>5000000895</v>
      </c>
      <c r="S1319" t="s">
        <v>87</v>
      </c>
      <c r="T1319" s="1">
        <v>44758</v>
      </c>
      <c r="U1319">
        <v>210</v>
      </c>
      <c r="V1319">
        <v>210</v>
      </c>
    </row>
    <row r="1320" spans="1:22" x14ac:dyDescent="0.3">
      <c r="A1320" t="s">
        <v>3194</v>
      </c>
      <c r="B1320" t="s">
        <v>3195</v>
      </c>
      <c r="C1320" t="s">
        <v>13</v>
      </c>
      <c r="D1320" t="s">
        <v>3196</v>
      </c>
      <c r="E1320" t="s">
        <v>15</v>
      </c>
      <c r="J1320" s="1">
        <v>44805</v>
      </c>
      <c r="K1320">
        <v>1279</v>
      </c>
      <c r="L1320" t="s">
        <v>3201</v>
      </c>
      <c r="M1320">
        <v>13</v>
      </c>
      <c r="N1320" t="str">
        <f>VLOOKUP(M1320,[1]LOJA!$A:$B,2,0)</f>
        <v>CEILÂNDIA</v>
      </c>
      <c r="O1320">
        <v>20</v>
      </c>
      <c r="P1320" t="str">
        <f>VLOOKUP(O1320,[1]OPERADORES!$A:$B,2,0)</f>
        <v>MAYARA</v>
      </c>
      <c r="Q1320">
        <v>27</v>
      </c>
      <c r="R1320">
        <v>1000007081</v>
      </c>
      <c r="S1320" t="s">
        <v>3202</v>
      </c>
      <c r="T1320" s="1">
        <v>44775</v>
      </c>
      <c r="U1320">
        <v>414.16</v>
      </c>
      <c r="V1320">
        <v>414.16</v>
      </c>
    </row>
    <row r="1321" spans="1:22" x14ac:dyDescent="0.3">
      <c r="A1321" t="s">
        <v>3194</v>
      </c>
      <c r="B1321" t="s">
        <v>3195</v>
      </c>
      <c r="C1321" t="s">
        <v>13</v>
      </c>
      <c r="D1321" t="s">
        <v>3196</v>
      </c>
      <c r="E1321" t="s">
        <v>15</v>
      </c>
      <c r="J1321" s="1">
        <v>44814</v>
      </c>
      <c r="K1321">
        <v>1270</v>
      </c>
      <c r="L1321" t="s">
        <v>3203</v>
      </c>
      <c r="M1321">
        <v>13</v>
      </c>
      <c r="N1321" t="str">
        <f>VLOOKUP(M1321,[1]LOJA!$A:$B,2,0)</f>
        <v>CEILÂNDIA</v>
      </c>
      <c r="O1321">
        <v>86</v>
      </c>
      <c r="P1321" t="str">
        <f>VLOOKUP(O1321,[1]OPERADORES!$A:$B,2,0)</f>
        <v>AMANDA</v>
      </c>
      <c r="Q1321">
        <v>27</v>
      </c>
      <c r="R1321">
        <v>5000000891</v>
      </c>
      <c r="S1321" t="s">
        <v>53</v>
      </c>
      <c r="T1321" s="1">
        <v>44754</v>
      </c>
      <c r="U1321">
        <v>344.07</v>
      </c>
      <c r="V1321">
        <v>344.07</v>
      </c>
    </row>
    <row r="1322" spans="1:22" x14ac:dyDescent="0.3">
      <c r="A1322" t="s">
        <v>3194</v>
      </c>
      <c r="B1322" t="s">
        <v>3195</v>
      </c>
      <c r="C1322" t="s">
        <v>13</v>
      </c>
      <c r="D1322" t="s">
        <v>3196</v>
      </c>
      <c r="E1322" t="s">
        <v>15</v>
      </c>
      <c r="J1322" s="1">
        <v>44835</v>
      </c>
      <c r="K1322">
        <v>1249</v>
      </c>
      <c r="L1322" t="s">
        <v>3204</v>
      </c>
      <c r="M1322">
        <v>13</v>
      </c>
      <c r="N1322" t="str">
        <f>VLOOKUP(M1322,[1]LOJA!$A:$B,2,0)</f>
        <v>CEILÂNDIA</v>
      </c>
      <c r="O1322">
        <v>20</v>
      </c>
      <c r="P1322" t="str">
        <f>VLOOKUP(O1322,[1]OPERADORES!$A:$B,2,0)</f>
        <v>MAYARA</v>
      </c>
      <c r="Q1322">
        <v>27</v>
      </c>
      <c r="R1322">
        <v>1000007082</v>
      </c>
      <c r="S1322" t="s">
        <v>3205</v>
      </c>
      <c r="T1322" s="1">
        <v>44775</v>
      </c>
      <c r="U1322">
        <v>414</v>
      </c>
      <c r="V1322">
        <v>414</v>
      </c>
    </row>
    <row r="1323" spans="1:22" x14ac:dyDescent="0.3">
      <c r="A1323" t="s">
        <v>3194</v>
      </c>
      <c r="B1323" t="s">
        <v>3195</v>
      </c>
      <c r="C1323" t="s">
        <v>13</v>
      </c>
      <c r="D1323" t="s">
        <v>3196</v>
      </c>
      <c r="E1323" t="s">
        <v>15</v>
      </c>
      <c r="J1323" s="1">
        <v>44844</v>
      </c>
      <c r="K1323">
        <v>1240</v>
      </c>
      <c r="L1323" t="s">
        <v>3206</v>
      </c>
      <c r="M1323">
        <v>13</v>
      </c>
      <c r="N1323" t="str">
        <f>VLOOKUP(M1323,[1]LOJA!$A:$B,2,0)</f>
        <v>CEILÂNDIA</v>
      </c>
      <c r="O1323">
        <v>86</v>
      </c>
      <c r="P1323" t="str">
        <f>VLOOKUP(O1323,[1]OPERADORES!$A:$B,2,0)</f>
        <v>AMANDA</v>
      </c>
      <c r="Q1323">
        <v>27</v>
      </c>
      <c r="R1323">
        <v>5000000892</v>
      </c>
      <c r="S1323" t="s">
        <v>55</v>
      </c>
      <c r="T1323" s="1">
        <v>44754</v>
      </c>
      <c r="U1323">
        <v>344.06</v>
      </c>
      <c r="V1323">
        <v>344.06</v>
      </c>
    </row>
    <row r="1324" spans="1:22" x14ac:dyDescent="0.3">
      <c r="A1324" t="s">
        <v>3194</v>
      </c>
      <c r="B1324" t="s">
        <v>3195</v>
      </c>
      <c r="C1324" t="s">
        <v>13</v>
      </c>
      <c r="D1324" t="s">
        <v>3196</v>
      </c>
      <c r="E1324" t="s">
        <v>15</v>
      </c>
      <c r="J1324" s="1">
        <v>45258</v>
      </c>
      <c r="K1324">
        <v>826</v>
      </c>
      <c r="L1324" t="s">
        <v>3207</v>
      </c>
      <c r="M1324">
        <v>13</v>
      </c>
      <c r="N1324" t="str">
        <f>VLOOKUP(M1324,[1]LOJA!$A:$B,2,0)</f>
        <v>CEILÂNDIA</v>
      </c>
      <c r="O1324">
        <v>67</v>
      </c>
      <c r="P1324" t="str">
        <f>VLOOKUP(O1324,[1]OPERADORES!$A:$B,2,0)</f>
        <v>ERIKA</v>
      </c>
      <c r="Q1324">
        <v>10</v>
      </c>
      <c r="S1324" t="s">
        <v>3208</v>
      </c>
      <c r="T1324" s="1">
        <v>45258</v>
      </c>
      <c r="U1324">
        <v>-1.8</v>
      </c>
      <c r="V1324">
        <v>-1.8</v>
      </c>
    </row>
    <row r="1325" spans="1:22" x14ac:dyDescent="0.3">
      <c r="A1325" t="s">
        <v>5876</v>
      </c>
      <c r="B1325" t="s">
        <v>5877</v>
      </c>
      <c r="C1325" t="s">
        <v>13</v>
      </c>
      <c r="D1325" t="s">
        <v>5878</v>
      </c>
      <c r="E1325" t="s">
        <v>15</v>
      </c>
      <c r="J1325" s="1">
        <v>46065</v>
      </c>
      <c r="K1325">
        <v>19</v>
      </c>
      <c r="L1325" t="s">
        <v>5879</v>
      </c>
      <c r="M1325">
        <v>13</v>
      </c>
      <c r="N1325" t="str">
        <f>VLOOKUP(M1325,[1]LOJA!$A:$B,2,0)</f>
        <v>CEILÂNDIA</v>
      </c>
      <c r="O1325">
        <v>33</v>
      </c>
      <c r="P1325" t="str">
        <f>VLOOKUP(O1325,[1]OPERADORES!$A:$B,2,0)</f>
        <v>PAULINHO</v>
      </c>
      <c r="Q1325">
        <v>7</v>
      </c>
      <c r="S1325" t="s">
        <v>87</v>
      </c>
      <c r="T1325" s="1">
        <v>46035</v>
      </c>
      <c r="U1325" s="2">
        <v>2890</v>
      </c>
      <c r="V1325" s="2">
        <v>2890</v>
      </c>
    </row>
    <row r="1326" spans="1:22" x14ac:dyDescent="0.3">
      <c r="A1326" t="s">
        <v>5876</v>
      </c>
      <c r="B1326" t="s">
        <v>5877</v>
      </c>
      <c r="C1326" t="s">
        <v>13</v>
      </c>
      <c r="D1326" t="s">
        <v>5878</v>
      </c>
      <c r="E1326" t="s">
        <v>15</v>
      </c>
      <c r="J1326" s="1">
        <v>46065</v>
      </c>
      <c r="K1326">
        <v>19</v>
      </c>
      <c r="L1326" t="s">
        <v>5880</v>
      </c>
      <c r="M1326">
        <v>13</v>
      </c>
      <c r="N1326" t="str">
        <f>VLOOKUP(M1326,[1]LOJA!$A:$B,2,0)</f>
        <v>CEILÂNDIA</v>
      </c>
      <c r="O1326">
        <v>33</v>
      </c>
      <c r="P1326" t="str">
        <f>VLOOKUP(O1326,[1]OPERADORES!$A:$B,2,0)</f>
        <v>PAULINHO</v>
      </c>
      <c r="Q1326">
        <v>7</v>
      </c>
      <c r="S1326" t="s">
        <v>87</v>
      </c>
      <c r="T1326" s="1">
        <v>46035</v>
      </c>
      <c r="U1326">
        <v>288.89999999999998</v>
      </c>
      <c r="V1326">
        <v>288.89999999999998</v>
      </c>
    </row>
    <row r="1327" spans="1:22" x14ac:dyDescent="0.3">
      <c r="A1327" t="s">
        <v>3209</v>
      </c>
      <c r="B1327" t="s">
        <v>32</v>
      </c>
      <c r="C1327" t="s">
        <v>226</v>
      </c>
      <c r="D1327" t="s">
        <v>3210</v>
      </c>
      <c r="E1327" t="s">
        <v>15</v>
      </c>
      <c r="J1327" s="1">
        <v>45788</v>
      </c>
      <c r="K1327">
        <v>296</v>
      </c>
      <c r="L1327" t="s">
        <v>3211</v>
      </c>
      <c r="M1327">
        <v>9</v>
      </c>
      <c r="N1327" t="str">
        <f>VLOOKUP(M1327,[1]LOJA!$A:$B,2,0)</f>
        <v>ÚNICA</v>
      </c>
      <c r="O1327">
        <v>231</v>
      </c>
      <c r="P1327" t="str">
        <f>VLOOKUP(O1327,[1]OPERADORES!$A:$B,2,0)</f>
        <v>EDIJANE</v>
      </c>
      <c r="Q1327">
        <v>23</v>
      </c>
      <c r="R1327">
        <v>153498</v>
      </c>
      <c r="S1327" t="s">
        <v>51</v>
      </c>
      <c r="T1327" s="1">
        <v>45758</v>
      </c>
      <c r="U1327">
        <v>583.48</v>
      </c>
      <c r="V1327">
        <v>583.48</v>
      </c>
    </row>
    <row r="1328" spans="1:22" x14ac:dyDescent="0.3">
      <c r="A1328" t="s">
        <v>3209</v>
      </c>
      <c r="B1328" t="s">
        <v>32</v>
      </c>
      <c r="C1328" t="s">
        <v>226</v>
      </c>
      <c r="D1328" t="s">
        <v>3210</v>
      </c>
      <c r="E1328" t="s">
        <v>15</v>
      </c>
      <c r="J1328" s="1">
        <v>45790</v>
      </c>
      <c r="K1328">
        <v>294</v>
      </c>
      <c r="L1328" t="s">
        <v>3212</v>
      </c>
      <c r="M1328">
        <v>9</v>
      </c>
      <c r="N1328" t="str">
        <f>VLOOKUP(M1328,[1]LOJA!$A:$B,2,0)</f>
        <v>ÚNICA</v>
      </c>
      <c r="O1328">
        <v>231</v>
      </c>
      <c r="P1328" t="str">
        <f>VLOOKUP(O1328,[1]OPERADORES!$A:$B,2,0)</f>
        <v>EDIJANE</v>
      </c>
      <c r="Q1328">
        <v>23</v>
      </c>
      <c r="R1328">
        <v>147250</v>
      </c>
      <c r="S1328" t="s">
        <v>53</v>
      </c>
      <c r="T1328" s="1">
        <v>45730</v>
      </c>
      <c r="U1328">
        <v>702.09</v>
      </c>
      <c r="V1328">
        <v>702.09</v>
      </c>
    </row>
    <row r="1329" spans="1:22" x14ac:dyDescent="0.3">
      <c r="A1329" t="s">
        <v>3209</v>
      </c>
      <c r="B1329" t="s">
        <v>32</v>
      </c>
      <c r="C1329" t="s">
        <v>226</v>
      </c>
      <c r="D1329" t="s">
        <v>3210</v>
      </c>
      <c r="E1329" t="s">
        <v>15</v>
      </c>
      <c r="J1329" s="1">
        <v>45818</v>
      </c>
      <c r="K1329">
        <v>266</v>
      </c>
      <c r="L1329" t="s">
        <v>3213</v>
      </c>
      <c r="M1329">
        <v>9</v>
      </c>
      <c r="N1329" t="str">
        <f>VLOOKUP(M1329,[1]LOJA!$A:$B,2,0)</f>
        <v>ÚNICA</v>
      </c>
      <c r="O1329">
        <v>231</v>
      </c>
      <c r="P1329" t="str">
        <f>VLOOKUP(O1329,[1]OPERADORES!$A:$B,2,0)</f>
        <v>EDIJANE</v>
      </c>
      <c r="Q1329">
        <v>23</v>
      </c>
      <c r="R1329">
        <v>153506</v>
      </c>
      <c r="S1329" t="s">
        <v>53</v>
      </c>
      <c r="T1329" s="1">
        <v>45758</v>
      </c>
      <c r="U1329">
        <v>583.47</v>
      </c>
      <c r="V1329">
        <v>583.47</v>
      </c>
    </row>
    <row r="1330" spans="1:22" x14ac:dyDescent="0.3">
      <c r="A1330" t="s">
        <v>3209</v>
      </c>
      <c r="B1330" t="s">
        <v>32</v>
      </c>
      <c r="C1330" t="s">
        <v>226</v>
      </c>
      <c r="D1330" t="s">
        <v>3210</v>
      </c>
      <c r="E1330" t="s">
        <v>15</v>
      </c>
      <c r="J1330" s="1">
        <v>45820</v>
      </c>
      <c r="K1330">
        <v>264</v>
      </c>
      <c r="L1330" t="s">
        <v>3214</v>
      </c>
      <c r="M1330">
        <v>9</v>
      </c>
      <c r="N1330" t="str">
        <f>VLOOKUP(M1330,[1]LOJA!$A:$B,2,0)</f>
        <v>ÚNICA</v>
      </c>
      <c r="O1330">
        <v>231</v>
      </c>
      <c r="P1330" t="str">
        <f>VLOOKUP(O1330,[1]OPERADORES!$A:$B,2,0)</f>
        <v>EDIJANE</v>
      </c>
      <c r="Q1330">
        <v>23</v>
      </c>
      <c r="R1330">
        <v>147268</v>
      </c>
      <c r="S1330" t="s">
        <v>55</v>
      </c>
      <c r="T1330" s="1">
        <v>45730</v>
      </c>
      <c r="U1330">
        <v>702.08</v>
      </c>
      <c r="V1330">
        <v>702.08</v>
      </c>
    </row>
    <row r="1331" spans="1:22" x14ac:dyDescent="0.3">
      <c r="A1331" t="s">
        <v>3209</v>
      </c>
      <c r="B1331" t="s">
        <v>32</v>
      </c>
      <c r="C1331" t="s">
        <v>226</v>
      </c>
      <c r="D1331" t="s">
        <v>3210</v>
      </c>
      <c r="E1331" t="s">
        <v>15</v>
      </c>
      <c r="J1331" s="1">
        <v>45848</v>
      </c>
      <c r="K1331">
        <v>236</v>
      </c>
      <c r="L1331" t="s">
        <v>3215</v>
      </c>
      <c r="M1331">
        <v>9</v>
      </c>
      <c r="N1331" t="str">
        <f>VLOOKUP(M1331,[1]LOJA!$A:$B,2,0)</f>
        <v>ÚNICA</v>
      </c>
      <c r="O1331">
        <v>231</v>
      </c>
      <c r="P1331" t="str">
        <f>VLOOKUP(O1331,[1]OPERADORES!$A:$B,2,0)</f>
        <v>EDIJANE</v>
      </c>
      <c r="Q1331">
        <v>23</v>
      </c>
      <c r="R1331">
        <v>153514</v>
      </c>
      <c r="S1331" t="s">
        <v>55</v>
      </c>
      <c r="T1331" s="1">
        <v>45758</v>
      </c>
      <c r="U1331">
        <v>583.47</v>
      </c>
      <c r="V1331">
        <v>583.47</v>
      </c>
    </row>
    <row r="1332" spans="1:22" x14ac:dyDescent="0.3">
      <c r="A1332" t="s">
        <v>3216</v>
      </c>
      <c r="B1332" t="s">
        <v>3217</v>
      </c>
      <c r="C1332" t="s">
        <v>255</v>
      </c>
      <c r="D1332" t="s">
        <v>3218</v>
      </c>
      <c r="E1332" t="s">
        <v>15</v>
      </c>
      <c r="J1332" s="1">
        <v>44757</v>
      </c>
      <c r="K1332">
        <v>1327</v>
      </c>
      <c r="L1332" t="s">
        <v>3219</v>
      </c>
      <c r="M1332">
        <v>13</v>
      </c>
      <c r="N1332" t="str">
        <f>VLOOKUP(M1332,[1]LOJA!$A:$B,2,0)</f>
        <v>CEILÂNDIA</v>
      </c>
      <c r="O1332">
        <v>20</v>
      </c>
      <c r="P1332" t="str">
        <f>VLOOKUP(O1332,[1]OPERADORES!$A:$B,2,0)</f>
        <v>MAYARA</v>
      </c>
      <c r="Q1332">
        <v>12</v>
      </c>
      <c r="S1332" t="s">
        <v>3220</v>
      </c>
      <c r="T1332" s="1">
        <v>44746</v>
      </c>
      <c r="U1332">
        <v>523.98</v>
      </c>
      <c r="V1332">
        <v>523.98</v>
      </c>
    </row>
    <row r="1333" spans="1:22" x14ac:dyDescent="0.3">
      <c r="A1333" t="s">
        <v>3216</v>
      </c>
      <c r="B1333" t="s">
        <v>3217</v>
      </c>
      <c r="C1333" t="s">
        <v>255</v>
      </c>
      <c r="D1333" t="s">
        <v>3218</v>
      </c>
      <c r="E1333" t="s">
        <v>15</v>
      </c>
      <c r="J1333" s="1">
        <v>44788</v>
      </c>
      <c r="K1333">
        <v>1296</v>
      </c>
      <c r="L1333" t="s">
        <v>3221</v>
      </c>
      <c r="M1333">
        <v>13</v>
      </c>
      <c r="N1333" t="str">
        <f>VLOOKUP(M1333,[1]LOJA!$A:$B,2,0)</f>
        <v>CEILÂNDIA</v>
      </c>
      <c r="O1333">
        <v>20</v>
      </c>
      <c r="P1333" t="str">
        <f>VLOOKUP(O1333,[1]OPERADORES!$A:$B,2,0)</f>
        <v>MAYARA</v>
      </c>
      <c r="Q1333">
        <v>12</v>
      </c>
      <c r="S1333" t="s">
        <v>3222</v>
      </c>
      <c r="T1333" s="1">
        <v>44775</v>
      </c>
      <c r="U1333">
        <v>888.64</v>
      </c>
      <c r="V1333">
        <v>888.64</v>
      </c>
    </row>
    <row r="1334" spans="1:22" x14ac:dyDescent="0.3">
      <c r="A1334" t="s">
        <v>3223</v>
      </c>
      <c r="B1334" t="s">
        <v>3224</v>
      </c>
      <c r="C1334" t="s">
        <v>1499</v>
      </c>
      <c r="D1334" t="s">
        <v>189</v>
      </c>
      <c r="E1334" t="s">
        <v>15</v>
      </c>
      <c r="J1334" s="1">
        <v>45265</v>
      </c>
      <c r="K1334">
        <v>819</v>
      </c>
      <c r="L1334" t="s">
        <v>3225</v>
      </c>
      <c r="M1334">
        <v>14</v>
      </c>
      <c r="N1334" t="str">
        <f>VLOOKUP(M1334,[1]LOJA!$A:$B,2,0)</f>
        <v>S IA</v>
      </c>
      <c r="O1334">
        <v>207</v>
      </c>
      <c r="P1334" t="str">
        <f>VLOOKUP(O1334,[1]OPERADORES!$A:$B,2,0)</f>
        <v>KETILE SABRINE</v>
      </c>
      <c r="Q1334">
        <v>4</v>
      </c>
      <c r="S1334" t="s">
        <v>3226</v>
      </c>
      <c r="T1334" s="1">
        <v>45265</v>
      </c>
      <c r="U1334">
        <v>-0.5</v>
      </c>
      <c r="V1334">
        <v>-0.5</v>
      </c>
    </row>
    <row r="1335" spans="1:22" x14ac:dyDescent="0.3">
      <c r="A1335" t="s">
        <v>5881</v>
      </c>
      <c r="B1335" t="s">
        <v>32</v>
      </c>
      <c r="C1335" t="s">
        <v>13</v>
      </c>
      <c r="D1335" t="s">
        <v>5882</v>
      </c>
      <c r="E1335" t="s">
        <v>15</v>
      </c>
      <c r="J1335" s="1">
        <v>46084</v>
      </c>
      <c r="K1335">
        <v>0</v>
      </c>
      <c r="L1335" t="s">
        <v>5883</v>
      </c>
      <c r="M1335">
        <v>9</v>
      </c>
      <c r="N1335" t="str">
        <f>VLOOKUP(M1335,[1]LOJA!$A:$B,2,0)</f>
        <v>ÚNICA</v>
      </c>
      <c r="O1335">
        <v>230</v>
      </c>
      <c r="P1335" t="str">
        <f>VLOOKUP(O1335,[1]OPERADORES!$A:$B,2,0)</f>
        <v>SÔNIA</v>
      </c>
      <c r="Q1335">
        <v>23</v>
      </c>
      <c r="R1335">
        <v>206072</v>
      </c>
      <c r="S1335" t="s">
        <v>976</v>
      </c>
      <c r="T1335" s="1">
        <v>45994</v>
      </c>
      <c r="U1335">
        <v>510.82</v>
      </c>
      <c r="V1335">
        <v>510.82</v>
      </c>
    </row>
    <row r="1336" spans="1:22" x14ac:dyDescent="0.3">
      <c r="A1336" t="s">
        <v>3227</v>
      </c>
      <c r="B1336" t="s">
        <v>32</v>
      </c>
      <c r="C1336" t="s">
        <v>13</v>
      </c>
      <c r="D1336" t="s">
        <v>3228</v>
      </c>
      <c r="E1336" t="s">
        <v>15</v>
      </c>
      <c r="J1336" s="1">
        <v>45457</v>
      </c>
      <c r="K1336">
        <v>627</v>
      </c>
      <c r="L1336" t="s">
        <v>664</v>
      </c>
      <c r="M1336">
        <v>9</v>
      </c>
      <c r="N1336" t="str">
        <f>VLOOKUP(M1336,[1]LOJA!$A:$B,2,0)</f>
        <v>ÚNICA</v>
      </c>
      <c r="O1336">
        <v>144</v>
      </c>
      <c r="P1336" t="str">
        <f>VLOOKUP(O1336,[1]OPERADORES!$A:$B,2,0)</f>
        <v>CINTIA DA SILVA CARLOS</v>
      </c>
      <c r="Q1336">
        <v>4</v>
      </c>
      <c r="S1336" t="s">
        <v>3229</v>
      </c>
      <c r="T1336" s="1">
        <v>45457</v>
      </c>
      <c r="U1336">
        <v>-50.76</v>
      </c>
      <c r="V1336">
        <v>-50.76</v>
      </c>
    </row>
    <row r="1337" spans="1:22" x14ac:dyDescent="0.3">
      <c r="A1337" t="s">
        <v>3230</v>
      </c>
      <c r="B1337" t="s">
        <v>3231</v>
      </c>
      <c r="C1337" t="s">
        <v>207</v>
      </c>
      <c r="D1337" t="s">
        <v>5884</v>
      </c>
      <c r="E1337" t="s">
        <v>15</v>
      </c>
      <c r="J1337" s="1">
        <v>45771</v>
      </c>
      <c r="K1337">
        <v>313</v>
      </c>
      <c r="L1337" t="s">
        <v>3232</v>
      </c>
      <c r="M1337">
        <v>9</v>
      </c>
      <c r="N1337" t="str">
        <f>VLOOKUP(M1337,[1]LOJA!$A:$B,2,0)</f>
        <v>ÚNICA</v>
      </c>
      <c r="O1337">
        <v>144</v>
      </c>
      <c r="P1337" t="str">
        <f>VLOOKUP(O1337,[1]OPERADORES!$A:$B,2,0)</f>
        <v>CINTIA DA SILVA CARLOS</v>
      </c>
      <c r="Q1337">
        <v>4</v>
      </c>
      <c r="S1337" t="s">
        <v>3233</v>
      </c>
      <c r="T1337" s="1">
        <v>45771</v>
      </c>
      <c r="U1337">
        <v>-3</v>
      </c>
      <c r="V1337">
        <v>-3</v>
      </c>
    </row>
    <row r="1338" spans="1:22" x14ac:dyDescent="0.3">
      <c r="A1338" t="s">
        <v>3230</v>
      </c>
      <c r="B1338" t="s">
        <v>3231</v>
      </c>
      <c r="C1338" t="s">
        <v>207</v>
      </c>
      <c r="D1338" t="s">
        <v>5884</v>
      </c>
      <c r="E1338" t="s">
        <v>15</v>
      </c>
      <c r="J1338" s="1">
        <v>46074</v>
      </c>
      <c r="K1338">
        <v>10</v>
      </c>
      <c r="L1338" t="s">
        <v>5885</v>
      </c>
      <c r="M1338">
        <v>9</v>
      </c>
      <c r="N1338" t="str">
        <f>VLOOKUP(M1338,[1]LOJA!$A:$B,2,0)</f>
        <v>ÚNICA</v>
      </c>
      <c r="O1338">
        <v>236</v>
      </c>
      <c r="P1338" t="str">
        <f>VLOOKUP(O1338,[1]OPERADORES!$A:$B,2,0)</f>
        <v>DANIEL</v>
      </c>
      <c r="Q1338">
        <v>7</v>
      </c>
      <c r="S1338" t="s">
        <v>87</v>
      </c>
      <c r="T1338" s="1">
        <v>46073</v>
      </c>
      <c r="U1338" s="2">
        <v>1437.66</v>
      </c>
      <c r="V1338" s="2">
        <v>1437.66</v>
      </c>
    </row>
    <row r="1339" spans="1:22" x14ac:dyDescent="0.3">
      <c r="A1339" t="s">
        <v>3230</v>
      </c>
      <c r="B1339" t="s">
        <v>3231</v>
      </c>
      <c r="C1339" t="s">
        <v>207</v>
      </c>
      <c r="D1339" t="s">
        <v>5884</v>
      </c>
      <c r="E1339" t="s">
        <v>15</v>
      </c>
      <c r="J1339" s="1">
        <v>46084</v>
      </c>
      <c r="K1339">
        <v>0</v>
      </c>
      <c r="L1339" t="s">
        <v>5886</v>
      </c>
      <c r="M1339">
        <v>9</v>
      </c>
      <c r="N1339" t="str">
        <f>VLOOKUP(M1339,[1]LOJA!$A:$B,2,0)</f>
        <v>ÚNICA</v>
      </c>
      <c r="O1339">
        <v>236</v>
      </c>
      <c r="P1339" t="str">
        <f>VLOOKUP(O1339,[1]OPERADORES!$A:$B,2,0)</f>
        <v>DANIEL</v>
      </c>
      <c r="Q1339">
        <v>7</v>
      </c>
      <c r="S1339" t="s">
        <v>87</v>
      </c>
      <c r="T1339" s="1">
        <v>46083</v>
      </c>
      <c r="U1339" s="2">
        <v>1855.98</v>
      </c>
      <c r="V1339" s="2">
        <v>1855.98</v>
      </c>
    </row>
    <row r="1340" spans="1:22" x14ac:dyDescent="0.3">
      <c r="A1340" t="s">
        <v>3234</v>
      </c>
      <c r="B1340" t="s">
        <v>3235</v>
      </c>
      <c r="C1340" t="s">
        <v>30</v>
      </c>
      <c r="D1340" t="s">
        <v>300</v>
      </c>
      <c r="E1340" t="s">
        <v>15</v>
      </c>
      <c r="J1340" s="1">
        <v>46006</v>
      </c>
      <c r="K1340">
        <v>78</v>
      </c>
      <c r="L1340" t="s">
        <v>3236</v>
      </c>
      <c r="M1340">
        <v>6</v>
      </c>
      <c r="N1340" t="str">
        <f>VLOOKUP(M1340,[1]LOJA!$A:$B,2,0)</f>
        <v>GAMA</v>
      </c>
      <c r="O1340">
        <v>246</v>
      </c>
      <c r="P1340" t="str">
        <f>VLOOKUP(O1340,[1]OPERADORES!$A:$B,2,0)</f>
        <v>VITORIA APARECIDA</v>
      </c>
      <c r="Q1340">
        <v>4</v>
      </c>
      <c r="S1340" t="s">
        <v>3237</v>
      </c>
      <c r="T1340" s="1">
        <v>45976</v>
      </c>
      <c r="U1340">
        <v>-0.8</v>
      </c>
      <c r="V1340">
        <v>-0.8</v>
      </c>
    </row>
    <row r="1341" spans="1:22" x14ac:dyDescent="0.3">
      <c r="A1341" t="s">
        <v>3238</v>
      </c>
      <c r="B1341" t="s">
        <v>3239</v>
      </c>
      <c r="C1341" t="s">
        <v>13</v>
      </c>
      <c r="D1341" t="s">
        <v>3240</v>
      </c>
      <c r="E1341" t="s">
        <v>15</v>
      </c>
      <c r="J1341" s="1">
        <v>44418</v>
      </c>
      <c r="K1341">
        <v>1666</v>
      </c>
      <c r="L1341" t="s">
        <v>3241</v>
      </c>
      <c r="M1341">
        <v>4</v>
      </c>
      <c r="N1341" t="str">
        <f>VLOOKUP(M1341,[1]LOJA!$A:$B,2,0)</f>
        <v>ADE</v>
      </c>
      <c r="O1341">
        <v>107</v>
      </c>
      <c r="P1341" t="str">
        <f>VLOOKUP(O1341,[1]OPERADORES!$A:$B,2,0)</f>
        <v>DAIANA PORTELA</v>
      </c>
      <c r="Q1341">
        <v>11</v>
      </c>
      <c r="R1341">
        <v>1000003714</v>
      </c>
      <c r="S1341" t="s">
        <v>3242</v>
      </c>
      <c r="T1341" s="1">
        <v>44321</v>
      </c>
      <c r="U1341">
        <v>824.44</v>
      </c>
      <c r="V1341">
        <v>824.44</v>
      </c>
    </row>
    <row r="1342" spans="1:22" x14ac:dyDescent="0.3">
      <c r="A1342" t="s">
        <v>3243</v>
      </c>
      <c r="B1342" t="s">
        <v>32</v>
      </c>
      <c r="C1342" t="s">
        <v>13</v>
      </c>
      <c r="D1342" t="s">
        <v>3244</v>
      </c>
      <c r="E1342" t="s">
        <v>15</v>
      </c>
      <c r="J1342" s="1">
        <v>45714</v>
      </c>
      <c r="K1342">
        <v>370</v>
      </c>
      <c r="L1342" t="s">
        <v>3245</v>
      </c>
      <c r="M1342">
        <v>9</v>
      </c>
      <c r="N1342" t="str">
        <f>VLOOKUP(M1342,[1]LOJA!$A:$B,2,0)</f>
        <v>ÚNICA</v>
      </c>
      <c r="O1342">
        <v>144</v>
      </c>
      <c r="P1342" t="str">
        <f>VLOOKUP(O1342,[1]OPERADORES!$A:$B,2,0)</f>
        <v>CINTIA DA SILVA CARLOS</v>
      </c>
      <c r="Q1342">
        <v>4</v>
      </c>
      <c r="S1342" t="s">
        <v>3246</v>
      </c>
      <c r="T1342" s="1">
        <v>45714</v>
      </c>
      <c r="U1342">
        <v>-5.39</v>
      </c>
      <c r="V1342">
        <v>-5.39</v>
      </c>
    </row>
    <row r="1343" spans="1:22" x14ac:dyDescent="0.3">
      <c r="A1343" t="s">
        <v>3247</v>
      </c>
      <c r="B1343" t="s">
        <v>3248</v>
      </c>
      <c r="C1343" t="s">
        <v>13</v>
      </c>
      <c r="D1343" t="s">
        <v>3249</v>
      </c>
      <c r="E1343" t="s">
        <v>15</v>
      </c>
      <c r="J1343" s="1">
        <v>44858</v>
      </c>
      <c r="K1343">
        <v>1226</v>
      </c>
      <c r="L1343" t="s">
        <v>3250</v>
      </c>
      <c r="M1343">
        <v>14</v>
      </c>
      <c r="N1343" t="str">
        <f>VLOOKUP(M1343,[1]LOJA!$A:$B,2,0)</f>
        <v>S IA</v>
      </c>
      <c r="O1343">
        <v>54</v>
      </c>
      <c r="P1343" t="str">
        <f>VLOOKUP(O1343,[1]OPERADORES!$A:$B,2,0)</f>
        <v>ROBSON</v>
      </c>
      <c r="Q1343">
        <v>4</v>
      </c>
      <c r="S1343" t="s">
        <v>3251</v>
      </c>
      <c r="T1343" s="1">
        <v>44858</v>
      </c>
      <c r="U1343">
        <v>-0.9</v>
      </c>
      <c r="V1343">
        <v>-0.9</v>
      </c>
    </row>
    <row r="1344" spans="1:22" x14ac:dyDescent="0.3">
      <c r="A1344" t="s">
        <v>3247</v>
      </c>
      <c r="B1344" t="s">
        <v>3248</v>
      </c>
      <c r="C1344" t="s">
        <v>13</v>
      </c>
      <c r="D1344" t="s">
        <v>3249</v>
      </c>
      <c r="E1344" t="s">
        <v>15</v>
      </c>
      <c r="J1344" s="1">
        <v>44858</v>
      </c>
      <c r="K1344">
        <v>1226</v>
      </c>
      <c r="L1344" t="s">
        <v>3252</v>
      </c>
      <c r="M1344">
        <v>14</v>
      </c>
      <c r="N1344" t="str">
        <f>VLOOKUP(M1344,[1]LOJA!$A:$B,2,0)</f>
        <v>S IA</v>
      </c>
      <c r="O1344">
        <v>16</v>
      </c>
      <c r="P1344" t="str">
        <f>VLOOKUP(O1344,[1]OPERADORES!$A:$B,2,0)</f>
        <v>AYSLAN</v>
      </c>
      <c r="Q1344">
        <v>4</v>
      </c>
      <c r="S1344" t="s">
        <v>3253</v>
      </c>
      <c r="T1344" s="1">
        <v>44858</v>
      </c>
      <c r="U1344">
        <v>-31.5</v>
      </c>
      <c r="V1344">
        <v>-31.5</v>
      </c>
    </row>
    <row r="1345" spans="1:22" x14ac:dyDescent="0.3">
      <c r="A1345" t="s">
        <v>3254</v>
      </c>
      <c r="B1345" t="s">
        <v>3255</v>
      </c>
      <c r="C1345" t="s">
        <v>255</v>
      </c>
      <c r="D1345" t="s">
        <v>5887</v>
      </c>
      <c r="E1345" t="s">
        <v>15</v>
      </c>
      <c r="J1345" s="1">
        <v>46060</v>
      </c>
      <c r="K1345">
        <v>24</v>
      </c>
      <c r="L1345" t="s">
        <v>3256</v>
      </c>
      <c r="M1345">
        <v>22</v>
      </c>
      <c r="N1345" t="str">
        <f>VLOOKUP(M1345,[1]LOJA!$A:$B,2,0)</f>
        <v>GUARÁ</v>
      </c>
      <c r="O1345">
        <v>238</v>
      </c>
      <c r="P1345" t="str">
        <f>VLOOKUP(O1345,[1]OPERADORES!$A:$B,2,0)</f>
        <v>BIANCA</v>
      </c>
      <c r="Q1345">
        <v>4</v>
      </c>
      <c r="S1345" t="s">
        <v>5888</v>
      </c>
      <c r="T1345" s="1">
        <v>46060</v>
      </c>
      <c r="U1345">
        <v>-878.06</v>
      </c>
      <c r="V1345">
        <v>-878.06</v>
      </c>
    </row>
    <row r="1346" spans="1:22" x14ac:dyDescent="0.3">
      <c r="A1346" t="s">
        <v>3257</v>
      </c>
      <c r="B1346" t="s">
        <v>3258</v>
      </c>
      <c r="C1346" t="s">
        <v>13</v>
      </c>
      <c r="D1346" t="s">
        <v>3259</v>
      </c>
      <c r="E1346" t="s">
        <v>15</v>
      </c>
      <c r="J1346" s="1">
        <v>44290</v>
      </c>
      <c r="K1346">
        <v>1794</v>
      </c>
      <c r="L1346" t="s">
        <v>3260</v>
      </c>
      <c r="M1346">
        <v>8</v>
      </c>
      <c r="N1346" t="str">
        <f>VLOOKUP(M1346,[1]LOJA!$A:$B,2,0)</f>
        <v>LUZIÂNIA</v>
      </c>
      <c r="O1346">
        <v>20</v>
      </c>
      <c r="P1346" t="str">
        <f>VLOOKUP(O1346,[1]OPERADORES!$A:$B,2,0)</f>
        <v>MAYARA</v>
      </c>
      <c r="Q1346">
        <v>12</v>
      </c>
      <c r="S1346" t="s">
        <v>3261</v>
      </c>
      <c r="T1346" s="1">
        <v>44257</v>
      </c>
      <c r="U1346" s="2">
        <v>5491.23</v>
      </c>
      <c r="V1346" s="2">
        <v>5491.23</v>
      </c>
    </row>
    <row r="1347" spans="1:22" x14ac:dyDescent="0.3">
      <c r="A1347" t="s">
        <v>3262</v>
      </c>
      <c r="B1347" t="s">
        <v>3263</v>
      </c>
      <c r="C1347" t="s">
        <v>13</v>
      </c>
      <c r="D1347" t="s">
        <v>3166</v>
      </c>
      <c r="E1347" t="s">
        <v>15</v>
      </c>
      <c r="J1347" s="1">
        <v>45145</v>
      </c>
      <c r="K1347">
        <v>939</v>
      </c>
      <c r="L1347" t="s">
        <v>3264</v>
      </c>
      <c r="M1347">
        <v>8</v>
      </c>
      <c r="N1347" t="str">
        <f>VLOOKUP(M1347,[1]LOJA!$A:$B,2,0)</f>
        <v>LUZIÂNIA</v>
      </c>
      <c r="O1347">
        <v>170</v>
      </c>
      <c r="P1347" t="str">
        <f>VLOOKUP(O1347,[1]OPERADORES!$A:$B,2,0)</f>
        <v>MARIA LUISA</v>
      </c>
      <c r="Q1347">
        <v>4</v>
      </c>
      <c r="S1347" t="s">
        <v>3265</v>
      </c>
      <c r="T1347" s="1">
        <v>45145</v>
      </c>
      <c r="U1347">
        <v>-0.4</v>
      </c>
      <c r="V1347">
        <v>-0.4</v>
      </c>
    </row>
    <row r="1348" spans="1:22" x14ac:dyDescent="0.3">
      <c r="A1348" t="s">
        <v>3266</v>
      </c>
      <c r="B1348" t="s">
        <v>32</v>
      </c>
      <c r="C1348" t="s">
        <v>13</v>
      </c>
      <c r="D1348" t="s">
        <v>3267</v>
      </c>
      <c r="E1348" t="s">
        <v>15</v>
      </c>
      <c r="J1348" s="1">
        <v>45247</v>
      </c>
      <c r="K1348">
        <v>837</v>
      </c>
      <c r="L1348" t="s">
        <v>855</v>
      </c>
      <c r="M1348">
        <v>9</v>
      </c>
      <c r="N1348" t="str">
        <f>VLOOKUP(M1348,[1]LOJA!$A:$B,2,0)</f>
        <v>ÚNICA</v>
      </c>
      <c r="O1348">
        <v>144</v>
      </c>
      <c r="P1348" t="str">
        <f>VLOOKUP(O1348,[1]OPERADORES!$A:$B,2,0)</f>
        <v>CINTIA DA SILVA CARLOS</v>
      </c>
      <c r="Q1348">
        <v>4</v>
      </c>
      <c r="S1348" t="s">
        <v>3268</v>
      </c>
      <c r="T1348" s="1">
        <v>45247</v>
      </c>
      <c r="U1348">
        <v>-1.97</v>
      </c>
      <c r="V1348">
        <v>-1.97</v>
      </c>
    </row>
    <row r="1349" spans="1:22" x14ac:dyDescent="0.3">
      <c r="A1349" t="s">
        <v>3269</v>
      </c>
      <c r="B1349" t="s">
        <v>3270</v>
      </c>
      <c r="C1349" t="s">
        <v>13</v>
      </c>
      <c r="D1349" t="s">
        <v>3271</v>
      </c>
      <c r="E1349" t="s">
        <v>15</v>
      </c>
      <c r="J1349" s="1">
        <v>45237</v>
      </c>
      <c r="K1349">
        <v>847</v>
      </c>
      <c r="L1349" t="s">
        <v>3272</v>
      </c>
      <c r="M1349">
        <v>1</v>
      </c>
      <c r="N1349" t="str">
        <f>VLOOKUP(M1349,[1]LOJA!$A:$B,2,0)</f>
        <v>GUARÁ</v>
      </c>
      <c r="O1349">
        <v>93</v>
      </c>
      <c r="P1349" t="str">
        <f>VLOOKUP(O1349,[1]OPERADORES!$A:$B,2,0)</f>
        <v>PATRICIA</v>
      </c>
      <c r="Q1349">
        <v>4</v>
      </c>
      <c r="S1349" t="s">
        <v>3273</v>
      </c>
      <c r="T1349" s="1">
        <v>45237</v>
      </c>
      <c r="U1349">
        <v>-10.119999999999999</v>
      </c>
      <c r="V1349">
        <v>-10.119999999999999</v>
      </c>
    </row>
    <row r="1350" spans="1:22" x14ac:dyDescent="0.3">
      <c r="A1350" t="s">
        <v>3274</v>
      </c>
      <c r="B1350" t="s">
        <v>3275</v>
      </c>
      <c r="C1350" t="s">
        <v>207</v>
      </c>
      <c r="D1350" t="s">
        <v>5889</v>
      </c>
      <c r="E1350" t="s">
        <v>15</v>
      </c>
      <c r="J1350" s="1">
        <v>46073</v>
      </c>
      <c r="K1350">
        <v>11</v>
      </c>
      <c r="L1350" t="s">
        <v>5890</v>
      </c>
      <c r="M1350">
        <v>14</v>
      </c>
      <c r="N1350" t="str">
        <f>VLOOKUP(M1350,[1]LOJA!$A:$B,2,0)</f>
        <v>S IA</v>
      </c>
      <c r="O1350">
        <v>20</v>
      </c>
      <c r="P1350" t="str">
        <f>VLOOKUP(O1350,[1]OPERADORES!$A:$B,2,0)</f>
        <v>MAYARA</v>
      </c>
      <c r="Q1350">
        <v>12</v>
      </c>
      <c r="S1350" t="s">
        <v>5891</v>
      </c>
      <c r="T1350" s="1">
        <v>46056</v>
      </c>
      <c r="U1350">
        <v>61.21</v>
      </c>
      <c r="V1350">
        <v>61.21</v>
      </c>
    </row>
    <row r="1351" spans="1:22" x14ac:dyDescent="0.3">
      <c r="A1351" t="s">
        <v>3276</v>
      </c>
      <c r="B1351" t="s">
        <v>3277</v>
      </c>
      <c r="C1351" t="s">
        <v>13</v>
      </c>
      <c r="D1351" t="s">
        <v>3278</v>
      </c>
      <c r="E1351" t="s">
        <v>15</v>
      </c>
      <c r="J1351" s="1">
        <v>45379</v>
      </c>
      <c r="K1351">
        <v>705</v>
      </c>
      <c r="L1351" t="s">
        <v>3279</v>
      </c>
      <c r="M1351">
        <v>12</v>
      </c>
      <c r="N1351" t="str">
        <f>VLOOKUP(M1351,[1]LOJA!$A:$B,2,0)</f>
        <v>SOFNORTE</v>
      </c>
      <c r="O1351">
        <v>209</v>
      </c>
      <c r="P1351" t="str">
        <f>VLOOKUP(O1351,[1]OPERADORES!$A:$B,2,0)</f>
        <v>MARIA WITHALINA CUNHA DE SOUZA</v>
      </c>
      <c r="Q1351">
        <v>4</v>
      </c>
      <c r="S1351" t="s">
        <v>3280</v>
      </c>
      <c r="T1351" s="1">
        <v>45379</v>
      </c>
      <c r="U1351">
        <v>-0.08</v>
      </c>
      <c r="V1351">
        <v>-0.08</v>
      </c>
    </row>
    <row r="1352" spans="1:22" x14ac:dyDescent="0.3">
      <c r="A1352" t="s">
        <v>3281</v>
      </c>
      <c r="B1352" t="s">
        <v>3282</v>
      </c>
      <c r="C1352" t="s">
        <v>13</v>
      </c>
      <c r="D1352" t="s">
        <v>221</v>
      </c>
      <c r="E1352" t="s">
        <v>15</v>
      </c>
      <c r="J1352" s="1">
        <v>44895</v>
      </c>
      <c r="K1352">
        <v>1189</v>
      </c>
      <c r="L1352" t="s">
        <v>3283</v>
      </c>
      <c r="M1352">
        <v>14</v>
      </c>
      <c r="N1352" t="str">
        <f>VLOOKUP(M1352,[1]LOJA!$A:$B,2,0)</f>
        <v>S IA</v>
      </c>
      <c r="O1352">
        <v>144</v>
      </c>
      <c r="P1352" t="str">
        <f>VLOOKUP(O1352,[1]OPERADORES!$A:$B,2,0)</f>
        <v>CINTIA DA SILVA CARLOS</v>
      </c>
      <c r="Q1352">
        <v>4</v>
      </c>
      <c r="S1352" t="s">
        <v>3284</v>
      </c>
      <c r="T1352" s="1">
        <v>44895</v>
      </c>
      <c r="U1352">
        <v>-27</v>
      </c>
      <c r="V1352">
        <v>-27</v>
      </c>
    </row>
    <row r="1353" spans="1:22" x14ac:dyDescent="0.3">
      <c r="A1353" t="s">
        <v>3285</v>
      </c>
      <c r="B1353" t="s">
        <v>3286</v>
      </c>
      <c r="C1353" t="s">
        <v>13</v>
      </c>
      <c r="D1353" t="s">
        <v>134</v>
      </c>
      <c r="E1353" t="s">
        <v>15</v>
      </c>
      <c r="J1353" s="1">
        <v>44273</v>
      </c>
      <c r="K1353">
        <v>1811</v>
      </c>
      <c r="L1353" t="s">
        <v>3287</v>
      </c>
      <c r="M1353">
        <v>4</v>
      </c>
      <c r="N1353" t="str">
        <f>VLOOKUP(M1353,[1]LOJA!$A:$B,2,0)</f>
        <v>ADE</v>
      </c>
      <c r="O1353">
        <v>109</v>
      </c>
      <c r="P1353" t="str">
        <f>VLOOKUP(O1353,[1]OPERADORES!$A:$B,2,0)</f>
        <v>LIVIA DE SOUZA</v>
      </c>
      <c r="Q1353">
        <v>4</v>
      </c>
      <c r="S1353" t="s">
        <v>3288</v>
      </c>
      <c r="T1353" s="1">
        <v>44272</v>
      </c>
      <c r="U1353">
        <v>-1.1000000000000001</v>
      </c>
      <c r="V1353">
        <v>-1.1000000000000001</v>
      </c>
    </row>
    <row r="1354" spans="1:22" x14ac:dyDescent="0.3">
      <c r="A1354" t="s">
        <v>3289</v>
      </c>
      <c r="B1354" t="s">
        <v>3290</v>
      </c>
      <c r="C1354" t="s">
        <v>207</v>
      </c>
      <c r="D1354" t="s">
        <v>5892</v>
      </c>
      <c r="E1354" t="s">
        <v>15</v>
      </c>
      <c r="J1354" s="1">
        <v>45975</v>
      </c>
      <c r="K1354">
        <v>109</v>
      </c>
      <c r="L1354" t="s">
        <v>3291</v>
      </c>
      <c r="M1354">
        <v>4</v>
      </c>
      <c r="N1354" t="str">
        <f>VLOOKUP(M1354,[1]LOJA!$A:$B,2,0)</f>
        <v>ADE</v>
      </c>
      <c r="O1354">
        <v>226</v>
      </c>
      <c r="P1354" t="str">
        <f>VLOOKUP(O1354,[1]OPERADORES!$A:$B,2,0)</f>
        <v>MARIA FÉLIX</v>
      </c>
      <c r="Q1354">
        <v>4</v>
      </c>
      <c r="S1354" t="s">
        <v>3292</v>
      </c>
      <c r="T1354" s="1">
        <v>45975</v>
      </c>
      <c r="U1354">
        <v>-0.4</v>
      </c>
      <c r="V1354">
        <v>-0.4</v>
      </c>
    </row>
    <row r="1355" spans="1:22" x14ac:dyDescent="0.3">
      <c r="A1355" t="s">
        <v>3293</v>
      </c>
      <c r="B1355" t="s">
        <v>3294</v>
      </c>
      <c r="C1355" t="s">
        <v>13</v>
      </c>
      <c r="D1355" t="s">
        <v>3295</v>
      </c>
      <c r="E1355" t="s">
        <v>15</v>
      </c>
      <c r="J1355" s="1">
        <v>44491</v>
      </c>
      <c r="K1355">
        <v>1593</v>
      </c>
      <c r="L1355" t="s">
        <v>3296</v>
      </c>
      <c r="M1355">
        <v>12</v>
      </c>
      <c r="N1355" t="str">
        <f>VLOOKUP(M1355,[1]LOJA!$A:$B,2,0)</f>
        <v>SOFNORTE</v>
      </c>
      <c r="O1355">
        <v>65</v>
      </c>
      <c r="P1355" t="str">
        <f>VLOOKUP(O1355,[1]OPERADORES!$A:$B,2,0)</f>
        <v>MICHAEL ALVES FERNANDES</v>
      </c>
      <c r="Q1355">
        <v>7</v>
      </c>
      <c r="S1355" t="s">
        <v>87</v>
      </c>
      <c r="T1355" s="1">
        <v>44490</v>
      </c>
      <c r="U1355">
        <v>502.8</v>
      </c>
      <c r="V1355">
        <v>502.8</v>
      </c>
    </row>
    <row r="1356" spans="1:22" x14ac:dyDescent="0.3">
      <c r="A1356" t="s">
        <v>3297</v>
      </c>
      <c r="B1356" t="s">
        <v>3298</v>
      </c>
      <c r="C1356" t="s">
        <v>755</v>
      </c>
      <c r="D1356" t="s">
        <v>5893</v>
      </c>
      <c r="E1356" t="s">
        <v>15</v>
      </c>
      <c r="J1356" s="1">
        <v>46068</v>
      </c>
      <c r="K1356">
        <v>16</v>
      </c>
      <c r="L1356" t="s">
        <v>5894</v>
      </c>
      <c r="M1356">
        <v>13</v>
      </c>
      <c r="N1356" t="str">
        <f>VLOOKUP(M1356,[1]LOJA!$A:$B,2,0)</f>
        <v>CEILÂNDIA</v>
      </c>
      <c r="O1356">
        <v>86</v>
      </c>
      <c r="P1356" t="str">
        <f>VLOOKUP(O1356,[1]OPERADORES!$A:$B,2,0)</f>
        <v>AMANDA</v>
      </c>
      <c r="Q1356">
        <v>7</v>
      </c>
      <c r="S1356" t="s">
        <v>5895</v>
      </c>
      <c r="T1356" s="1">
        <v>46067</v>
      </c>
      <c r="U1356">
        <v>612.9</v>
      </c>
      <c r="V1356">
        <v>612.9</v>
      </c>
    </row>
    <row r="1357" spans="1:22" x14ac:dyDescent="0.3">
      <c r="A1357" t="s">
        <v>3299</v>
      </c>
      <c r="B1357" t="s">
        <v>3300</v>
      </c>
      <c r="C1357" t="s">
        <v>43</v>
      </c>
      <c r="D1357" t="s">
        <v>1057</v>
      </c>
      <c r="E1357" t="s">
        <v>15</v>
      </c>
      <c r="J1357" s="1">
        <v>45316</v>
      </c>
      <c r="K1357">
        <v>768</v>
      </c>
      <c r="L1357" t="s">
        <v>3301</v>
      </c>
      <c r="M1357">
        <v>13</v>
      </c>
      <c r="N1357" t="str">
        <f>VLOOKUP(M1357,[1]LOJA!$A:$B,2,0)</f>
        <v>CEILÂNDIA</v>
      </c>
      <c r="O1357">
        <v>86</v>
      </c>
      <c r="P1357" t="str">
        <f>VLOOKUP(O1357,[1]OPERADORES!$A:$B,2,0)</f>
        <v>AMANDA</v>
      </c>
      <c r="Q1357">
        <v>4</v>
      </c>
      <c r="S1357" t="s">
        <v>3302</v>
      </c>
      <c r="T1357" s="1">
        <v>45316</v>
      </c>
      <c r="U1357">
        <v>-0.01</v>
      </c>
      <c r="V1357">
        <v>-0.01</v>
      </c>
    </row>
    <row r="1358" spans="1:22" x14ac:dyDescent="0.3">
      <c r="A1358" t="s">
        <v>5896</v>
      </c>
      <c r="B1358" t="s">
        <v>32</v>
      </c>
      <c r="C1358" t="s">
        <v>13</v>
      </c>
      <c r="D1358" t="s">
        <v>5897</v>
      </c>
      <c r="E1358" t="s">
        <v>15</v>
      </c>
      <c r="J1358" s="1">
        <v>46084</v>
      </c>
      <c r="K1358">
        <v>0</v>
      </c>
      <c r="L1358" t="s">
        <v>5898</v>
      </c>
      <c r="M1358">
        <v>9</v>
      </c>
      <c r="N1358" t="str">
        <f>VLOOKUP(M1358,[1]LOJA!$A:$B,2,0)</f>
        <v>ÚNICA</v>
      </c>
      <c r="O1358">
        <v>236</v>
      </c>
      <c r="P1358" t="str">
        <f>VLOOKUP(O1358,[1]OPERADORES!$A:$B,2,0)</f>
        <v>DANIEL</v>
      </c>
      <c r="Q1358">
        <v>7</v>
      </c>
      <c r="S1358" t="s">
        <v>87</v>
      </c>
      <c r="T1358" s="1">
        <v>46083</v>
      </c>
      <c r="U1358">
        <v>601.58000000000004</v>
      </c>
      <c r="V1358">
        <v>601.58000000000004</v>
      </c>
    </row>
    <row r="1359" spans="1:22" x14ac:dyDescent="0.3">
      <c r="A1359" t="s">
        <v>5899</v>
      </c>
      <c r="B1359" t="s">
        <v>5900</v>
      </c>
      <c r="C1359" t="s">
        <v>324</v>
      </c>
      <c r="D1359" t="s">
        <v>5901</v>
      </c>
      <c r="E1359" t="s">
        <v>15</v>
      </c>
      <c r="J1359" s="1">
        <v>46084</v>
      </c>
      <c r="K1359">
        <v>0</v>
      </c>
      <c r="L1359" t="s">
        <v>5902</v>
      </c>
      <c r="M1359">
        <v>9</v>
      </c>
      <c r="N1359" t="str">
        <f>VLOOKUP(M1359,[1]LOJA!$A:$B,2,0)</f>
        <v>ÚNICA</v>
      </c>
      <c r="O1359">
        <v>174</v>
      </c>
      <c r="P1359" t="str">
        <f>VLOOKUP(O1359,[1]OPERADORES!$A:$B,2,0)</f>
        <v>MIRIÃ LOBATO RODRIGUES</v>
      </c>
      <c r="Q1359">
        <v>23</v>
      </c>
      <c r="R1359">
        <v>210975</v>
      </c>
      <c r="S1359" t="s">
        <v>53</v>
      </c>
      <c r="T1359" s="1">
        <v>46024</v>
      </c>
      <c r="U1359">
        <v>281.87</v>
      </c>
      <c r="V1359">
        <v>281.87</v>
      </c>
    </row>
    <row r="1360" spans="1:22" x14ac:dyDescent="0.3">
      <c r="A1360" t="s">
        <v>3303</v>
      </c>
      <c r="B1360" t="s">
        <v>3304</v>
      </c>
      <c r="C1360" t="s">
        <v>13</v>
      </c>
      <c r="D1360" t="s">
        <v>3305</v>
      </c>
      <c r="E1360" t="s">
        <v>15</v>
      </c>
      <c r="J1360" s="1">
        <v>45992</v>
      </c>
      <c r="K1360">
        <v>92</v>
      </c>
      <c r="L1360" t="s">
        <v>3306</v>
      </c>
      <c r="M1360">
        <v>6</v>
      </c>
      <c r="N1360" t="str">
        <f>VLOOKUP(M1360,[1]LOJA!$A:$B,2,0)</f>
        <v>GAMA</v>
      </c>
      <c r="O1360">
        <v>246</v>
      </c>
      <c r="P1360" t="str">
        <f>VLOOKUP(O1360,[1]OPERADORES!$A:$B,2,0)</f>
        <v>VITORIA APARECIDA</v>
      </c>
      <c r="Q1360">
        <v>4</v>
      </c>
      <c r="S1360" t="s">
        <v>3307</v>
      </c>
      <c r="T1360" s="1">
        <v>45992</v>
      </c>
      <c r="U1360">
        <v>-120</v>
      </c>
      <c r="V1360">
        <v>-120</v>
      </c>
    </row>
    <row r="1361" spans="1:22" x14ac:dyDescent="0.3">
      <c r="A1361" t="s">
        <v>5903</v>
      </c>
      <c r="B1361" t="s">
        <v>5904</v>
      </c>
      <c r="C1361" t="s">
        <v>1039</v>
      </c>
      <c r="D1361" t="s">
        <v>5905</v>
      </c>
      <c r="E1361" t="s">
        <v>15</v>
      </c>
      <c r="J1361" s="1">
        <v>46077</v>
      </c>
      <c r="K1361">
        <v>7</v>
      </c>
      <c r="L1361" t="s">
        <v>5906</v>
      </c>
      <c r="M1361">
        <v>12</v>
      </c>
      <c r="N1361" t="str">
        <f>VLOOKUP(M1361,[1]LOJA!$A:$B,2,0)</f>
        <v>SOFNORTE</v>
      </c>
      <c r="O1361">
        <v>209</v>
      </c>
      <c r="P1361" t="str">
        <f>VLOOKUP(O1361,[1]OPERADORES!$A:$B,2,0)</f>
        <v>MARIA WITHALINA CUNHA DE SOUZA</v>
      </c>
      <c r="Q1361">
        <v>4</v>
      </c>
      <c r="S1361" t="s">
        <v>5907</v>
      </c>
      <c r="T1361" s="1">
        <v>46077</v>
      </c>
      <c r="U1361">
        <v>-0.13</v>
      </c>
      <c r="V1361">
        <v>-0.13</v>
      </c>
    </row>
    <row r="1362" spans="1:22" x14ac:dyDescent="0.3">
      <c r="A1362" t="s">
        <v>5903</v>
      </c>
      <c r="B1362" t="s">
        <v>5904</v>
      </c>
      <c r="C1362" t="s">
        <v>1039</v>
      </c>
      <c r="D1362" t="s">
        <v>5905</v>
      </c>
      <c r="E1362" t="s">
        <v>15</v>
      </c>
      <c r="J1362" s="1">
        <v>46079</v>
      </c>
      <c r="K1362">
        <v>5</v>
      </c>
      <c r="L1362" t="s">
        <v>5908</v>
      </c>
      <c r="M1362">
        <v>12</v>
      </c>
      <c r="N1362" t="str">
        <f>VLOOKUP(M1362,[1]LOJA!$A:$B,2,0)</f>
        <v>SOFNORTE</v>
      </c>
      <c r="O1362">
        <v>209</v>
      </c>
      <c r="P1362" t="str">
        <f>VLOOKUP(O1362,[1]OPERADORES!$A:$B,2,0)</f>
        <v>MARIA WITHALINA CUNHA DE SOUZA</v>
      </c>
      <c r="Q1362">
        <v>4</v>
      </c>
      <c r="S1362" t="s">
        <v>110</v>
      </c>
      <c r="T1362" s="1">
        <v>46079</v>
      </c>
      <c r="U1362">
        <v>-65</v>
      </c>
      <c r="V1362">
        <v>-65</v>
      </c>
    </row>
    <row r="1363" spans="1:22" x14ac:dyDescent="0.3">
      <c r="A1363" t="s">
        <v>5909</v>
      </c>
      <c r="B1363" t="s">
        <v>5910</v>
      </c>
      <c r="C1363" t="s">
        <v>30</v>
      </c>
      <c r="D1363" t="s">
        <v>5911</v>
      </c>
      <c r="E1363" t="s">
        <v>15</v>
      </c>
      <c r="J1363" s="1">
        <v>46065</v>
      </c>
      <c r="K1363">
        <v>19</v>
      </c>
      <c r="L1363" t="s">
        <v>5912</v>
      </c>
      <c r="M1363">
        <v>24</v>
      </c>
      <c r="N1363" t="str">
        <f>VLOOKUP(M1363,[1]LOJA!$A:$B,2,0)</f>
        <v>LUZIÂNIA</v>
      </c>
      <c r="O1363">
        <v>192</v>
      </c>
      <c r="P1363" t="str">
        <f>VLOOKUP(O1363,[1]OPERADORES!$A:$B,2,0)</f>
        <v>CIDA</v>
      </c>
      <c r="Q1363">
        <v>7</v>
      </c>
      <c r="S1363" t="s">
        <v>87</v>
      </c>
      <c r="T1363" s="1">
        <v>46064</v>
      </c>
      <c r="U1363">
        <v>183.99</v>
      </c>
      <c r="V1363">
        <v>183.99</v>
      </c>
    </row>
    <row r="1364" spans="1:22" x14ac:dyDescent="0.3">
      <c r="A1364" t="s">
        <v>3308</v>
      </c>
      <c r="B1364" t="s">
        <v>3309</v>
      </c>
      <c r="C1364" t="s">
        <v>13</v>
      </c>
      <c r="D1364" t="s">
        <v>3310</v>
      </c>
      <c r="E1364" t="s">
        <v>15</v>
      </c>
      <c r="J1364" s="1">
        <v>44297</v>
      </c>
      <c r="K1364">
        <v>1787</v>
      </c>
      <c r="L1364" t="s">
        <v>3311</v>
      </c>
      <c r="M1364">
        <v>8</v>
      </c>
      <c r="N1364" t="str">
        <f>VLOOKUP(M1364,[1]LOJA!$A:$B,2,0)</f>
        <v>LUZIÂNIA</v>
      </c>
      <c r="O1364">
        <v>20</v>
      </c>
      <c r="P1364" t="str">
        <f>VLOOKUP(O1364,[1]OPERADORES!$A:$B,2,0)</f>
        <v>MAYARA</v>
      </c>
      <c r="Q1364">
        <v>12</v>
      </c>
      <c r="S1364" t="s">
        <v>3312</v>
      </c>
      <c r="T1364" s="1">
        <v>44237</v>
      </c>
      <c r="U1364">
        <v>449.76</v>
      </c>
      <c r="V1364">
        <v>449.76</v>
      </c>
    </row>
    <row r="1365" spans="1:22" x14ac:dyDescent="0.3">
      <c r="A1365" t="s">
        <v>3308</v>
      </c>
      <c r="B1365" t="s">
        <v>3309</v>
      </c>
      <c r="C1365" t="s">
        <v>13</v>
      </c>
      <c r="D1365" t="s">
        <v>3310</v>
      </c>
      <c r="E1365" t="s">
        <v>15</v>
      </c>
      <c r="J1365" s="1">
        <v>44327</v>
      </c>
      <c r="K1365">
        <v>1757</v>
      </c>
      <c r="L1365" t="s">
        <v>3313</v>
      </c>
      <c r="M1365">
        <v>8</v>
      </c>
      <c r="N1365" t="str">
        <f>VLOOKUP(M1365,[1]LOJA!$A:$B,2,0)</f>
        <v>LUZIÂNIA</v>
      </c>
      <c r="O1365">
        <v>20</v>
      </c>
      <c r="P1365" t="str">
        <f>VLOOKUP(O1365,[1]OPERADORES!$A:$B,2,0)</f>
        <v>MAYARA</v>
      </c>
      <c r="Q1365">
        <v>12</v>
      </c>
      <c r="S1365" t="s">
        <v>3314</v>
      </c>
      <c r="T1365" s="1">
        <v>44237</v>
      </c>
      <c r="U1365">
        <v>737</v>
      </c>
      <c r="V1365">
        <v>737</v>
      </c>
    </row>
    <row r="1366" spans="1:22" x14ac:dyDescent="0.3">
      <c r="A1366" t="s">
        <v>3308</v>
      </c>
      <c r="B1366" t="s">
        <v>3309</v>
      </c>
      <c r="C1366" t="s">
        <v>13</v>
      </c>
      <c r="D1366" t="s">
        <v>3310</v>
      </c>
      <c r="E1366" t="s">
        <v>15</v>
      </c>
      <c r="J1366" s="1">
        <v>44357</v>
      </c>
      <c r="K1366">
        <v>1727</v>
      </c>
      <c r="L1366" t="s">
        <v>3315</v>
      </c>
      <c r="M1366">
        <v>8</v>
      </c>
      <c r="N1366" t="str">
        <f>VLOOKUP(M1366,[1]LOJA!$A:$B,2,0)</f>
        <v>LUZIÂNIA</v>
      </c>
      <c r="O1366">
        <v>20</v>
      </c>
      <c r="P1366" t="str">
        <f>VLOOKUP(O1366,[1]OPERADORES!$A:$B,2,0)</f>
        <v>MAYARA</v>
      </c>
      <c r="Q1366">
        <v>12</v>
      </c>
      <c r="S1366" t="s">
        <v>3316</v>
      </c>
      <c r="T1366" s="1">
        <v>44237</v>
      </c>
      <c r="U1366">
        <v>237</v>
      </c>
      <c r="V1366">
        <v>237</v>
      </c>
    </row>
    <row r="1367" spans="1:22" x14ac:dyDescent="0.3">
      <c r="A1367" t="s">
        <v>3308</v>
      </c>
      <c r="B1367" t="s">
        <v>3309</v>
      </c>
      <c r="C1367" t="s">
        <v>13</v>
      </c>
      <c r="D1367" t="s">
        <v>3310</v>
      </c>
      <c r="E1367" t="s">
        <v>15</v>
      </c>
      <c r="J1367" s="1">
        <v>44387</v>
      </c>
      <c r="K1367">
        <v>1697</v>
      </c>
      <c r="L1367" t="s">
        <v>3317</v>
      </c>
      <c r="M1367">
        <v>8</v>
      </c>
      <c r="N1367" t="str">
        <f>VLOOKUP(M1367,[1]LOJA!$A:$B,2,0)</f>
        <v>LUZIÂNIA</v>
      </c>
      <c r="O1367">
        <v>20</v>
      </c>
      <c r="P1367" t="str">
        <f>VLOOKUP(O1367,[1]OPERADORES!$A:$B,2,0)</f>
        <v>MAYARA</v>
      </c>
      <c r="Q1367">
        <v>12</v>
      </c>
      <c r="S1367" t="s">
        <v>3318</v>
      </c>
      <c r="T1367" s="1">
        <v>44237</v>
      </c>
      <c r="U1367">
        <v>237</v>
      </c>
      <c r="V1367">
        <v>237</v>
      </c>
    </row>
    <row r="1368" spans="1:22" x14ac:dyDescent="0.3">
      <c r="A1368" t="s">
        <v>3308</v>
      </c>
      <c r="B1368" t="s">
        <v>3309</v>
      </c>
      <c r="C1368" t="s">
        <v>13</v>
      </c>
      <c r="D1368" t="s">
        <v>3310</v>
      </c>
      <c r="E1368" t="s">
        <v>15</v>
      </c>
      <c r="J1368" s="1">
        <v>44417</v>
      </c>
      <c r="K1368">
        <v>1667</v>
      </c>
      <c r="L1368" t="s">
        <v>3319</v>
      </c>
      <c r="M1368">
        <v>8</v>
      </c>
      <c r="N1368" t="str">
        <f>VLOOKUP(M1368,[1]LOJA!$A:$B,2,0)</f>
        <v>LUZIÂNIA</v>
      </c>
      <c r="O1368">
        <v>20</v>
      </c>
      <c r="P1368" t="str">
        <f>VLOOKUP(O1368,[1]OPERADORES!$A:$B,2,0)</f>
        <v>MAYARA</v>
      </c>
      <c r="Q1368">
        <v>12</v>
      </c>
      <c r="S1368" t="s">
        <v>3320</v>
      </c>
      <c r="T1368" s="1">
        <v>44237</v>
      </c>
      <c r="U1368">
        <v>237</v>
      </c>
      <c r="V1368">
        <v>237</v>
      </c>
    </row>
    <row r="1369" spans="1:22" x14ac:dyDescent="0.3">
      <c r="A1369" t="s">
        <v>3308</v>
      </c>
      <c r="B1369" t="s">
        <v>3309</v>
      </c>
      <c r="C1369" t="s">
        <v>13</v>
      </c>
      <c r="D1369" t="s">
        <v>3310</v>
      </c>
      <c r="E1369" t="s">
        <v>15</v>
      </c>
      <c r="J1369" s="1">
        <v>45552</v>
      </c>
      <c r="K1369">
        <v>532</v>
      </c>
      <c r="L1369" t="s">
        <v>3321</v>
      </c>
      <c r="M1369">
        <v>8</v>
      </c>
      <c r="N1369" t="str">
        <f>VLOOKUP(M1369,[1]LOJA!$A:$B,2,0)</f>
        <v>LUZIÂNIA</v>
      </c>
      <c r="O1369">
        <v>170</v>
      </c>
      <c r="P1369" t="str">
        <f>VLOOKUP(O1369,[1]OPERADORES!$A:$B,2,0)</f>
        <v>MARIA LUISA</v>
      </c>
      <c r="Q1369">
        <v>4</v>
      </c>
      <c r="S1369" t="s">
        <v>3322</v>
      </c>
      <c r="T1369" s="1">
        <v>45552</v>
      </c>
      <c r="U1369">
        <v>-2</v>
      </c>
      <c r="V1369">
        <v>-2</v>
      </c>
    </row>
    <row r="1370" spans="1:22" x14ac:dyDescent="0.3">
      <c r="A1370" t="s">
        <v>3323</v>
      </c>
      <c r="B1370" t="s">
        <v>3324</v>
      </c>
      <c r="C1370" t="s">
        <v>13</v>
      </c>
      <c r="D1370" t="s">
        <v>3325</v>
      </c>
      <c r="E1370" t="s">
        <v>15</v>
      </c>
      <c r="J1370" s="1">
        <v>44806</v>
      </c>
      <c r="K1370">
        <v>1278</v>
      </c>
      <c r="L1370" t="s">
        <v>3326</v>
      </c>
      <c r="M1370">
        <v>1</v>
      </c>
      <c r="N1370" t="str">
        <f>VLOOKUP(M1370,[1]LOJA!$A:$B,2,0)</f>
        <v>GUARÁ</v>
      </c>
      <c r="O1370">
        <v>26</v>
      </c>
      <c r="P1370" t="str">
        <f>VLOOKUP(O1370,[1]OPERADORES!$A:$B,2,0)</f>
        <v>JANUARIO</v>
      </c>
      <c r="Q1370">
        <v>4</v>
      </c>
      <c r="S1370" t="s">
        <v>3327</v>
      </c>
      <c r="T1370" s="1">
        <v>44806</v>
      </c>
      <c r="U1370">
        <v>-0.9</v>
      </c>
      <c r="V1370">
        <v>-0.9</v>
      </c>
    </row>
    <row r="1371" spans="1:22" x14ac:dyDescent="0.3">
      <c r="A1371" t="s">
        <v>3328</v>
      </c>
      <c r="B1371" t="s">
        <v>232</v>
      </c>
      <c r="C1371" t="s">
        <v>13</v>
      </c>
      <c r="D1371" t="s">
        <v>5913</v>
      </c>
      <c r="E1371" t="s">
        <v>15</v>
      </c>
      <c r="J1371" s="1">
        <v>46005</v>
      </c>
      <c r="K1371">
        <v>79</v>
      </c>
      <c r="L1371" t="s">
        <v>3329</v>
      </c>
      <c r="M1371">
        <v>13</v>
      </c>
      <c r="N1371" t="str">
        <f>VLOOKUP(M1371,[1]LOJA!$A:$B,2,0)</f>
        <v>CEILÂNDIA</v>
      </c>
      <c r="O1371">
        <v>86</v>
      </c>
      <c r="P1371" t="str">
        <f>VLOOKUP(O1371,[1]OPERADORES!$A:$B,2,0)</f>
        <v>AMANDA</v>
      </c>
      <c r="Q1371">
        <v>7</v>
      </c>
      <c r="S1371" t="s">
        <v>5914</v>
      </c>
      <c r="T1371" s="1">
        <v>45990</v>
      </c>
      <c r="U1371" s="2">
        <v>3386.93</v>
      </c>
      <c r="V1371" s="2">
        <v>3386.93</v>
      </c>
    </row>
    <row r="1372" spans="1:22" x14ac:dyDescent="0.3">
      <c r="A1372" t="s">
        <v>3328</v>
      </c>
      <c r="B1372" t="s">
        <v>232</v>
      </c>
      <c r="C1372" t="s">
        <v>13</v>
      </c>
      <c r="D1372" t="s">
        <v>5913</v>
      </c>
      <c r="E1372" t="s">
        <v>15</v>
      </c>
      <c r="J1372" s="1">
        <v>46077</v>
      </c>
      <c r="K1372">
        <v>7</v>
      </c>
      <c r="L1372" t="s">
        <v>5915</v>
      </c>
      <c r="M1372">
        <v>13</v>
      </c>
      <c r="N1372" t="str">
        <f>VLOOKUP(M1372,[1]LOJA!$A:$B,2,0)</f>
        <v>CEILÂNDIA</v>
      </c>
      <c r="O1372">
        <v>86</v>
      </c>
      <c r="P1372" t="str">
        <f>VLOOKUP(O1372,[1]OPERADORES!$A:$B,2,0)</f>
        <v>AMANDA</v>
      </c>
      <c r="Q1372">
        <v>7</v>
      </c>
      <c r="S1372" t="s">
        <v>87</v>
      </c>
      <c r="T1372" s="1">
        <v>46062</v>
      </c>
      <c r="U1372">
        <v>351.58</v>
      </c>
      <c r="V1372">
        <v>351.58</v>
      </c>
    </row>
    <row r="1373" spans="1:22" x14ac:dyDescent="0.3">
      <c r="A1373" t="s">
        <v>3328</v>
      </c>
      <c r="B1373" t="s">
        <v>232</v>
      </c>
      <c r="C1373" t="s">
        <v>13</v>
      </c>
      <c r="D1373" t="s">
        <v>5913</v>
      </c>
      <c r="E1373" t="s">
        <v>15</v>
      </c>
      <c r="J1373" s="1">
        <v>46077</v>
      </c>
      <c r="K1373">
        <v>7</v>
      </c>
      <c r="L1373" t="s">
        <v>5916</v>
      </c>
      <c r="M1373">
        <v>13</v>
      </c>
      <c r="N1373" t="str">
        <f>VLOOKUP(M1373,[1]LOJA!$A:$B,2,0)</f>
        <v>CEILÂNDIA</v>
      </c>
      <c r="O1373">
        <v>86</v>
      </c>
      <c r="P1373" t="str">
        <f>VLOOKUP(O1373,[1]OPERADORES!$A:$B,2,0)</f>
        <v>AMANDA</v>
      </c>
      <c r="Q1373">
        <v>7</v>
      </c>
      <c r="S1373" t="s">
        <v>5917</v>
      </c>
      <c r="T1373" s="1">
        <v>46062</v>
      </c>
      <c r="U1373">
        <v>924.5</v>
      </c>
      <c r="V1373">
        <v>924.5</v>
      </c>
    </row>
    <row r="1374" spans="1:22" x14ac:dyDescent="0.3">
      <c r="A1374" t="s">
        <v>3328</v>
      </c>
      <c r="B1374" t="s">
        <v>232</v>
      </c>
      <c r="C1374" t="s">
        <v>13</v>
      </c>
      <c r="D1374" t="s">
        <v>5913</v>
      </c>
      <c r="E1374" t="s">
        <v>15</v>
      </c>
      <c r="J1374" s="1">
        <v>46078</v>
      </c>
      <c r="K1374">
        <v>6</v>
      </c>
      <c r="L1374" t="s">
        <v>5918</v>
      </c>
      <c r="M1374">
        <v>13</v>
      </c>
      <c r="N1374" t="str">
        <f>VLOOKUP(M1374,[1]LOJA!$A:$B,2,0)</f>
        <v>CEILÂNDIA</v>
      </c>
      <c r="O1374">
        <v>33</v>
      </c>
      <c r="P1374" t="str">
        <f>VLOOKUP(O1374,[1]OPERADORES!$A:$B,2,0)</f>
        <v>PAULINHO</v>
      </c>
      <c r="Q1374">
        <v>7</v>
      </c>
      <c r="S1374" t="s">
        <v>87</v>
      </c>
      <c r="T1374" s="1">
        <v>46063</v>
      </c>
      <c r="U1374">
        <v>80.790000000000006</v>
      </c>
      <c r="V1374">
        <v>80.790000000000006</v>
      </c>
    </row>
    <row r="1375" spans="1:22" x14ac:dyDescent="0.3">
      <c r="A1375" t="s">
        <v>3328</v>
      </c>
      <c r="B1375" t="s">
        <v>232</v>
      </c>
      <c r="C1375" t="s">
        <v>13</v>
      </c>
      <c r="D1375" t="s">
        <v>5913</v>
      </c>
      <c r="E1375" t="s">
        <v>15</v>
      </c>
      <c r="J1375" s="1">
        <v>46078</v>
      </c>
      <c r="K1375">
        <v>6</v>
      </c>
      <c r="L1375" t="s">
        <v>5919</v>
      </c>
      <c r="M1375">
        <v>13</v>
      </c>
      <c r="N1375" t="str">
        <f>VLOOKUP(M1375,[1]LOJA!$A:$B,2,0)</f>
        <v>CEILÂNDIA</v>
      </c>
      <c r="O1375">
        <v>86</v>
      </c>
      <c r="P1375" t="str">
        <f>VLOOKUP(O1375,[1]OPERADORES!$A:$B,2,0)</f>
        <v>AMANDA</v>
      </c>
      <c r="Q1375">
        <v>7</v>
      </c>
      <c r="S1375" t="s">
        <v>87</v>
      </c>
      <c r="T1375" s="1">
        <v>46063</v>
      </c>
      <c r="U1375">
        <v>43.49</v>
      </c>
      <c r="V1375">
        <v>43.49</v>
      </c>
    </row>
    <row r="1376" spans="1:22" x14ac:dyDescent="0.3">
      <c r="A1376" t="s">
        <v>3330</v>
      </c>
      <c r="B1376" t="s">
        <v>3331</v>
      </c>
      <c r="C1376" t="s">
        <v>13</v>
      </c>
      <c r="D1376" t="s">
        <v>137</v>
      </c>
      <c r="E1376" t="s">
        <v>15</v>
      </c>
      <c r="J1376" s="1">
        <v>46013</v>
      </c>
      <c r="K1376">
        <v>71</v>
      </c>
      <c r="L1376" t="s">
        <v>3332</v>
      </c>
      <c r="M1376">
        <v>13</v>
      </c>
      <c r="N1376" t="str">
        <f>VLOOKUP(M1376,[1]LOJA!$A:$B,2,0)</f>
        <v>CEILÂNDIA</v>
      </c>
      <c r="O1376">
        <v>67</v>
      </c>
      <c r="P1376" t="str">
        <f>VLOOKUP(O1376,[1]OPERADORES!$A:$B,2,0)</f>
        <v>ERIKA</v>
      </c>
      <c r="Q1376">
        <v>4</v>
      </c>
      <c r="S1376" t="s">
        <v>3333</v>
      </c>
      <c r="T1376" s="1">
        <v>46013</v>
      </c>
      <c r="U1376">
        <v>-0.1</v>
      </c>
      <c r="V1376">
        <v>-0.1</v>
      </c>
    </row>
    <row r="1377" spans="1:22" x14ac:dyDescent="0.3">
      <c r="A1377" t="s">
        <v>3334</v>
      </c>
      <c r="B1377" t="s">
        <v>3335</v>
      </c>
      <c r="C1377" t="s">
        <v>13</v>
      </c>
      <c r="D1377" t="s">
        <v>5920</v>
      </c>
      <c r="E1377" t="s">
        <v>15</v>
      </c>
      <c r="J1377" s="1">
        <v>46062</v>
      </c>
      <c r="K1377">
        <v>22</v>
      </c>
      <c r="L1377" t="s">
        <v>3336</v>
      </c>
      <c r="M1377">
        <v>16</v>
      </c>
      <c r="N1377" t="str">
        <f>VLOOKUP(M1377,[1]LOJA!$A:$B,2,0)</f>
        <v>AG LINDAS</v>
      </c>
      <c r="O1377">
        <v>107</v>
      </c>
      <c r="P1377" t="str">
        <f>VLOOKUP(O1377,[1]OPERADORES!$A:$B,2,0)</f>
        <v>DAIANA PORTELA</v>
      </c>
      <c r="Q1377">
        <v>7</v>
      </c>
      <c r="S1377" t="s">
        <v>3337</v>
      </c>
      <c r="T1377" s="1">
        <v>45930</v>
      </c>
      <c r="U1377">
        <v>-0.5</v>
      </c>
      <c r="V1377">
        <v>-0.5</v>
      </c>
    </row>
    <row r="1378" spans="1:22" x14ac:dyDescent="0.3">
      <c r="A1378" t="s">
        <v>5921</v>
      </c>
      <c r="B1378" t="s">
        <v>5922</v>
      </c>
      <c r="C1378" t="s">
        <v>226</v>
      </c>
      <c r="D1378" t="s">
        <v>5923</v>
      </c>
      <c r="E1378" t="s">
        <v>15</v>
      </c>
      <c r="J1378" s="1">
        <v>46082</v>
      </c>
      <c r="K1378">
        <v>2</v>
      </c>
      <c r="L1378" t="s">
        <v>5924</v>
      </c>
      <c r="M1378">
        <v>9</v>
      </c>
      <c r="N1378" t="str">
        <f>VLOOKUP(M1378,[1]LOJA!$A:$B,2,0)</f>
        <v>ÚNICA</v>
      </c>
      <c r="O1378">
        <v>174</v>
      </c>
      <c r="P1378" t="str">
        <f>VLOOKUP(O1378,[1]OPERADORES!$A:$B,2,0)</f>
        <v>MIRIÃ LOBATO RODRIGUES</v>
      </c>
      <c r="Q1378">
        <v>23</v>
      </c>
      <c r="R1378">
        <v>205538</v>
      </c>
      <c r="S1378" t="s">
        <v>55</v>
      </c>
      <c r="T1378" s="1">
        <v>45992</v>
      </c>
      <c r="U1378">
        <v>213.13</v>
      </c>
      <c r="V1378">
        <v>213.13</v>
      </c>
    </row>
    <row r="1379" spans="1:22" x14ac:dyDescent="0.3">
      <c r="A1379" t="s">
        <v>3338</v>
      </c>
      <c r="B1379" t="s">
        <v>32</v>
      </c>
      <c r="C1379" t="s">
        <v>13</v>
      </c>
      <c r="D1379" t="s">
        <v>3339</v>
      </c>
      <c r="E1379" t="s">
        <v>15</v>
      </c>
      <c r="J1379" s="1">
        <v>45854</v>
      </c>
      <c r="K1379">
        <v>230</v>
      </c>
      <c r="L1379" t="s">
        <v>3340</v>
      </c>
      <c r="M1379">
        <v>9</v>
      </c>
      <c r="N1379" t="str">
        <f>VLOOKUP(M1379,[1]LOJA!$A:$B,2,0)</f>
        <v>ÚNICA</v>
      </c>
      <c r="O1379">
        <v>20</v>
      </c>
      <c r="P1379" t="str">
        <f>VLOOKUP(O1379,[1]OPERADORES!$A:$B,2,0)</f>
        <v>MAYARA</v>
      </c>
      <c r="Q1379">
        <v>4</v>
      </c>
      <c r="S1379" t="s">
        <v>3341</v>
      </c>
      <c r="T1379" s="1">
        <v>45824</v>
      </c>
      <c r="U1379" s="2">
        <v>-1161.6500000000001</v>
      </c>
      <c r="V1379" s="2">
        <v>-1161.6500000000001</v>
      </c>
    </row>
    <row r="1380" spans="1:22" x14ac:dyDescent="0.3">
      <c r="A1380" t="s">
        <v>3342</v>
      </c>
      <c r="B1380" t="s">
        <v>3343</v>
      </c>
      <c r="C1380" t="s">
        <v>13</v>
      </c>
      <c r="D1380" t="s">
        <v>3344</v>
      </c>
      <c r="E1380" t="s">
        <v>15</v>
      </c>
      <c r="J1380" s="1">
        <v>45593</v>
      </c>
      <c r="K1380">
        <v>491</v>
      </c>
      <c r="L1380" t="s">
        <v>3345</v>
      </c>
      <c r="M1380">
        <v>8</v>
      </c>
      <c r="N1380" t="str">
        <f>VLOOKUP(M1380,[1]LOJA!$A:$B,2,0)</f>
        <v>LUZIÂNIA</v>
      </c>
      <c r="O1380">
        <v>192</v>
      </c>
      <c r="P1380" t="str">
        <f>VLOOKUP(O1380,[1]OPERADORES!$A:$B,2,0)</f>
        <v>CIDA</v>
      </c>
      <c r="Q1380">
        <v>4</v>
      </c>
      <c r="S1380" t="s">
        <v>3346</v>
      </c>
      <c r="T1380" s="1">
        <v>45593</v>
      </c>
      <c r="U1380">
        <v>-34.61</v>
      </c>
      <c r="V1380">
        <v>-34.61</v>
      </c>
    </row>
    <row r="1381" spans="1:22" x14ac:dyDescent="0.3">
      <c r="A1381" t="s">
        <v>3347</v>
      </c>
      <c r="B1381" t="s">
        <v>3348</v>
      </c>
      <c r="C1381" t="s">
        <v>13</v>
      </c>
      <c r="D1381" t="s">
        <v>3349</v>
      </c>
      <c r="E1381" t="s">
        <v>15</v>
      </c>
      <c r="J1381" s="1">
        <v>46004</v>
      </c>
      <c r="K1381">
        <v>80</v>
      </c>
      <c r="L1381" t="s">
        <v>3350</v>
      </c>
      <c r="M1381">
        <v>6</v>
      </c>
      <c r="N1381" t="str">
        <f>VLOOKUP(M1381,[1]LOJA!$A:$B,2,0)</f>
        <v>GAMA</v>
      </c>
      <c r="O1381">
        <v>245</v>
      </c>
      <c r="P1381" t="str">
        <f>VLOOKUP(O1381,[1]OPERADORES!$A:$B,2,0)</f>
        <v>JOÃO PEDRO</v>
      </c>
      <c r="Q1381">
        <v>7</v>
      </c>
      <c r="S1381" t="s">
        <v>3351</v>
      </c>
      <c r="T1381" s="1">
        <v>46003</v>
      </c>
      <c r="U1381">
        <v>0.31</v>
      </c>
      <c r="V1381">
        <v>0.31</v>
      </c>
    </row>
    <row r="1382" spans="1:22" x14ac:dyDescent="0.3">
      <c r="A1382" t="s">
        <v>3352</v>
      </c>
      <c r="B1382" t="s">
        <v>3353</v>
      </c>
      <c r="C1382" t="s">
        <v>13</v>
      </c>
      <c r="D1382" t="s">
        <v>3354</v>
      </c>
      <c r="E1382" t="s">
        <v>15</v>
      </c>
      <c r="J1382" s="1">
        <v>46062</v>
      </c>
      <c r="K1382">
        <v>22</v>
      </c>
      <c r="L1382" t="s">
        <v>3355</v>
      </c>
      <c r="M1382">
        <v>24</v>
      </c>
      <c r="N1382" t="str">
        <f>VLOOKUP(M1382,[1]LOJA!$A:$B,2,0)</f>
        <v>LUZIÂNIA</v>
      </c>
      <c r="O1382">
        <v>244</v>
      </c>
      <c r="P1382" t="str">
        <f>VLOOKUP(O1382,[1]OPERADORES!$A:$B,2,0)</f>
        <v>NATHALIA PEREIRA DA SILVA</v>
      </c>
      <c r="Q1382">
        <v>4</v>
      </c>
      <c r="S1382" t="s">
        <v>110</v>
      </c>
      <c r="T1382" s="1">
        <v>46062</v>
      </c>
      <c r="U1382">
        <v>-22</v>
      </c>
      <c r="V1382">
        <v>-22</v>
      </c>
    </row>
    <row r="1383" spans="1:22" x14ac:dyDescent="0.3">
      <c r="A1383" t="s">
        <v>3352</v>
      </c>
      <c r="B1383" t="s">
        <v>3353</v>
      </c>
      <c r="C1383" t="s">
        <v>13</v>
      </c>
      <c r="D1383" t="s">
        <v>3354</v>
      </c>
      <c r="E1383" t="s">
        <v>15</v>
      </c>
      <c r="J1383" s="1">
        <v>46062</v>
      </c>
      <c r="K1383">
        <v>22</v>
      </c>
      <c r="L1383" t="s">
        <v>3356</v>
      </c>
      <c r="M1383">
        <v>24</v>
      </c>
      <c r="N1383" t="str">
        <f>VLOOKUP(M1383,[1]LOJA!$A:$B,2,0)</f>
        <v>LUZIÂNIA</v>
      </c>
      <c r="O1383">
        <v>244</v>
      </c>
      <c r="P1383" t="str">
        <f>VLOOKUP(O1383,[1]OPERADORES!$A:$B,2,0)</f>
        <v>NATHALIA PEREIRA DA SILVA</v>
      </c>
      <c r="Q1383">
        <v>4</v>
      </c>
      <c r="S1383" t="s">
        <v>110</v>
      </c>
      <c r="T1383" s="1">
        <v>46062</v>
      </c>
      <c r="U1383">
        <v>-18</v>
      </c>
      <c r="V1383">
        <v>-18</v>
      </c>
    </row>
    <row r="1384" spans="1:22" x14ac:dyDescent="0.3">
      <c r="A1384" t="s">
        <v>3352</v>
      </c>
      <c r="B1384" t="s">
        <v>3353</v>
      </c>
      <c r="C1384" t="s">
        <v>13</v>
      </c>
      <c r="D1384" t="s">
        <v>3354</v>
      </c>
      <c r="E1384" t="s">
        <v>15</v>
      </c>
      <c r="J1384" s="1">
        <v>46062</v>
      </c>
      <c r="K1384">
        <v>22</v>
      </c>
      <c r="L1384" t="s">
        <v>3357</v>
      </c>
      <c r="M1384">
        <v>24</v>
      </c>
      <c r="N1384" t="str">
        <f>VLOOKUP(M1384,[1]LOJA!$A:$B,2,0)</f>
        <v>LUZIÂNIA</v>
      </c>
      <c r="O1384">
        <v>244</v>
      </c>
      <c r="P1384" t="str">
        <f>VLOOKUP(O1384,[1]OPERADORES!$A:$B,2,0)</f>
        <v>NATHALIA PEREIRA DA SILVA</v>
      </c>
      <c r="Q1384">
        <v>4</v>
      </c>
      <c r="S1384" t="s">
        <v>110</v>
      </c>
      <c r="T1384" s="1">
        <v>46062</v>
      </c>
      <c r="U1384">
        <v>-139.9</v>
      </c>
      <c r="V1384">
        <v>-139.9</v>
      </c>
    </row>
    <row r="1385" spans="1:22" x14ac:dyDescent="0.3">
      <c r="A1385" t="s">
        <v>3358</v>
      </c>
      <c r="B1385" t="s">
        <v>3359</v>
      </c>
      <c r="C1385" t="s">
        <v>13</v>
      </c>
      <c r="D1385" t="s">
        <v>3360</v>
      </c>
      <c r="E1385" t="s">
        <v>15</v>
      </c>
      <c r="J1385" s="1">
        <v>44515</v>
      </c>
      <c r="K1385">
        <v>1569</v>
      </c>
      <c r="L1385" t="s">
        <v>3361</v>
      </c>
      <c r="M1385">
        <v>6</v>
      </c>
      <c r="N1385" t="str">
        <f>VLOOKUP(M1385,[1]LOJA!$A:$B,2,0)</f>
        <v>GAMA</v>
      </c>
      <c r="O1385">
        <v>20</v>
      </c>
      <c r="P1385" t="str">
        <f>VLOOKUP(O1385,[1]OPERADORES!$A:$B,2,0)</f>
        <v>MAYARA</v>
      </c>
      <c r="Q1385">
        <v>12</v>
      </c>
      <c r="S1385" t="s">
        <v>3362</v>
      </c>
      <c r="T1385" s="1">
        <v>44501</v>
      </c>
      <c r="U1385" s="2">
        <v>1470.16</v>
      </c>
      <c r="V1385" s="2">
        <v>1470.16</v>
      </c>
    </row>
    <row r="1386" spans="1:22" x14ac:dyDescent="0.3">
      <c r="A1386" t="s">
        <v>3363</v>
      </c>
      <c r="B1386" t="s">
        <v>3364</v>
      </c>
      <c r="C1386" t="s">
        <v>3365</v>
      </c>
      <c r="D1386" t="s">
        <v>3366</v>
      </c>
      <c r="E1386" t="s">
        <v>15</v>
      </c>
      <c r="J1386" s="1">
        <v>44515</v>
      </c>
      <c r="K1386">
        <v>1569</v>
      </c>
      <c r="L1386" t="s">
        <v>3367</v>
      </c>
      <c r="M1386">
        <v>6</v>
      </c>
      <c r="N1386" t="str">
        <f>VLOOKUP(M1386,[1]LOJA!$A:$B,2,0)</f>
        <v>GAMA</v>
      </c>
      <c r="O1386">
        <v>20</v>
      </c>
      <c r="P1386" t="str">
        <f>VLOOKUP(O1386,[1]OPERADORES!$A:$B,2,0)</f>
        <v>MAYARA</v>
      </c>
      <c r="Q1386">
        <v>12</v>
      </c>
      <c r="S1386" t="s">
        <v>3368</v>
      </c>
      <c r="T1386" s="1">
        <v>44501</v>
      </c>
      <c r="U1386" s="2">
        <v>2475.2199999999998</v>
      </c>
      <c r="V1386" s="2">
        <v>2475.2199999999998</v>
      </c>
    </row>
    <row r="1387" spans="1:22" x14ac:dyDescent="0.3">
      <c r="A1387" t="s">
        <v>3369</v>
      </c>
      <c r="B1387" t="s">
        <v>3370</v>
      </c>
      <c r="C1387" t="s">
        <v>13</v>
      </c>
      <c r="D1387" t="s">
        <v>3371</v>
      </c>
      <c r="E1387" t="s">
        <v>15</v>
      </c>
      <c r="J1387" s="1">
        <v>46008</v>
      </c>
      <c r="K1387">
        <v>76</v>
      </c>
      <c r="L1387" t="s">
        <v>3372</v>
      </c>
      <c r="M1387">
        <v>24</v>
      </c>
      <c r="N1387" t="str">
        <f>VLOOKUP(M1387,[1]LOJA!$A:$B,2,0)</f>
        <v>LUZIÂNIA</v>
      </c>
      <c r="O1387">
        <v>244</v>
      </c>
      <c r="P1387" t="str">
        <f>VLOOKUP(O1387,[1]OPERADORES!$A:$B,2,0)</f>
        <v>NATHALIA PEREIRA DA SILVA</v>
      </c>
      <c r="Q1387">
        <v>4</v>
      </c>
      <c r="S1387" t="s">
        <v>3373</v>
      </c>
      <c r="T1387" s="1">
        <v>46008</v>
      </c>
      <c r="U1387">
        <v>-20.12</v>
      </c>
      <c r="V1387">
        <v>-20.12</v>
      </c>
    </row>
    <row r="1388" spans="1:22" x14ac:dyDescent="0.3">
      <c r="A1388" t="s">
        <v>3374</v>
      </c>
      <c r="B1388" t="s">
        <v>3375</v>
      </c>
      <c r="C1388" t="s">
        <v>13</v>
      </c>
      <c r="D1388" t="s">
        <v>3376</v>
      </c>
      <c r="E1388" t="s">
        <v>15</v>
      </c>
      <c r="J1388" s="1">
        <v>45693</v>
      </c>
      <c r="K1388">
        <v>391</v>
      </c>
      <c r="L1388" t="s">
        <v>3377</v>
      </c>
      <c r="M1388">
        <v>9</v>
      </c>
      <c r="N1388" t="str">
        <f>VLOOKUP(M1388,[1]LOJA!$A:$B,2,0)</f>
        <v>ÚNICA</v>
      </c>
      <c r="O1388">
        <v>174</v>
      </c>
      <c r="P1388" t="str">
        <f>VLOOKUP(O1388,[1]OPERADORES!$A:$B,2,0)</f>
        <v>MIRIÃ LOBATO RODRIGUES</v>
      </c>
      <c r="Q1388">
        <v>4</v>
      </c>
      <c r="S1388" t="s">
        <v>3378</v>
      </c>
      <c r="T1388" s="1">
        <v>45693</v>
      </c>
      <c r="U1388">
        <v>-36.79</v>
      </c>
      <c r="V1388">
        <v>-36.79</v>
      </c>
    </row>
    <row r="1389" spans="1:22" x14ac:dyDescent="0.3">
      <c r="A1389" t="s">
        <v>5925</v>
      </c>
      <c r="B1389" t="s">
        <v>5926</v>
      </c>
      <c r="C1389" t="s">
        <v>13</v>
      </c>
      <c r="D1389" t="s">
        <v>5927</v>
      </c>
      <c r="E1389" t="s">
        <v>15</v>
      </c>
      <c r="J1389" s="1">
        <v>46078</v>
      </c>
      <c r="K1389">
        <v>6</v>
      </c>
      <c r="L1389" t="s">
        <v>5928</v>
      </c>
      <c r="M1389">
        <v>9</v>
      </c>
      <c r="N1389" t="str">
        <f>VLOOKUP(M1389,[1]LOJA!$A:$B,2,0)</f>
        <v>ÚNICA</v>
      </c>
      <c r="O1389">
        <v>144</v>
      </c>
      <c r="P1389" t="str">
        <f>VLOOKUP(O1389,[1]OPERADORES!$A:$B,2,0)</f>
        <v>CINTIA DA SILVA CARLOS</v>
      </c>
      <c r="Q1389">
        <v>4</v>
      </c>
      <c r="S1389" t="s">
        <v>5929</v>
      </c>
      <c r="T1389" s="1">
        <v>46078</v>
      </c>
      <c r="U1389">
        <v>-15.13</v>
      </c>
      <c r="V1389">
        <v>-15.13</v>
      </c>
    </row>
    <row r="1390" spans="1:22" x14ac:dyDescent="0.3">
      <c r="A1390" t="s">
        <v>5925</v>
      </c>
      <c r="B1390" t="s">
        <v>5926</v>
      </c>
      <c r="C1390" t="s">
        <v>13</v>
      </c>
      <c r="D1390" t="s">
        <v>5927</v>
      </c>
      <c r="E1390" t="s">
        <v>15</v>
      </c>
      <c r="J1390" s="1">
        <v>46079</v>
      </c>
      <c r="K1390">
        <v>5</v>
      </c>
      <c r="L1390" t="s">
        <v>5930</v>
      </c>
      <c r="M1390">
        <v>9</v>
      </c>
      <c r="N1390" t="str">
        <f>VLOOKUP(M1390,[1]LOJA!$A:$B,2,0)</f>
        <v>ÚNICA</v>
      </c>
      <c r="O1390">
        <v>144</v>
      </c>
      <c r="P1390" t="str">
        <f>VLOOKUP(O1390,[1]OPERADORES!$A:$B,2,0)</f>
        <v>CINTIA DA SILVA CARLOS</v>
      </c>
      <c r="Q1390">
        <v>4</v>
      </c>
      <c r="S1390" t="s">
        <v>110</v>
      </c>
      <c r="T1390" s="1">
        <v>46079</v>
      </c>
      <c r="U1390" s="2">
        <v>-2000</v>
      </c>
      <c r="V1390" s="2">
        <v>-2000</v>
      </c>
    </row>
    <row r="1391" spans="1:22" x14ac:dyDescent="0.3">
      <c r="A1391" t="s">
        <v>3379</v>
      </c>
      <c r="B1391" t="s">
        <v>3380</v>
      </c>
      <c r="C1391" t="s">
        <v>43</v>
      </c>
      <c r="D1391" t="s">
        <v>189</v>
      </c>
      <c r="E1391" t="s">
        <v>15</v>
      </c>
      <c r="J1391" s="1">
        <v>44806</v>
      </c>
      <c r="K1391">
        <v>1278</v>
      </c>
      <c r="L1391" t="s">
        <v>3381</v>
      </c>
      <c r="M1391">
        <v>1</v>
      </c>
      <c r="N1391" t="str">
        <f>VLOOKUP(M1391,[1]LOJA!$A:$B,2,0)</f>
        <v>GUARÁ</v>
      </c>
      <c r="O1391">
        <v>26</v>
      </c>
      <c r="P1391" t="str">
        <f>VLOOKUP(O1391,[1]OPERADORES!$A:$B,2,0)</f>
        <v>JANUARIO</v>
      </c>
      <c r="Q1391">
        <v>4</v>
      </c>
      <c r="S1391" t="s">
        <v>3382</v>
      </c>
      <c r="T1391" s="1">
        <v>44806</v>
      </c>
      <c r="U1391">
        <v>-0.5</v>
      </c>
      <c r="V1391">
        <v>-0.5</v>
      </c>
    </row>
    <row r="1392" spans="1:22" x14ac:dyDescent="0.3">
      <c r="A1392" t="s">
        <v>3383</v>
      </c>
      <c r="B1392" t="s">
        <v>3384</v>
      </c>
      <c r="C1392" t="s">
        <v>43</v>
      </c>
      <c r="D1392" t="s">
        <v>3385</v>
      </c>
      <c r="E1392" t="s">
        <v>15</v>
      </c>
      <c r="J1392" s="1">
        <v>44844</v>
      </c>
      <c r="K1392">
        <v>1240</v>
      </c>
      <c r="L1392" t="s">
        <v>3386</v>
      </c>
      <c r="M1392">
        <v>12</v>
      </c>
      <c r="N1392" t="str">
        <f>VLOOKUP(M1392,[1]LOJA!$A:$B,2,0)</f>
        <v>SOFNORTE</v>
      </c>
      <c r="O1392">
        <v>44</v>
      </c>
      <c r="P1392" t="str">
        <f>VLOOKUP(O1392,[1]OPERADORES!$A:$B,2,0)</f>
        <v>LUIS JUNIO</v>
      </c>
      <c r="Q1392">
        <v>4</v>
      </c>
      <c r="S1392" t="s">
        <v>3387</v>
      </c>
      <c r="T1392" s="1">
        <v>44844</v>
      </c>
      <c r="U1392">
        <v>-19.899999999999999</v>
      </c>
      <c r="V1392">
        <v>-19.899999999999999</v>
      </c>
    </row>
    <row r="1393" spans="1:22" x14ac:dyDescent="0.3">
      <c r="A1393" t="s">
        <v>3383</v>
      </c>
      <c r="B1393" t="s">
        <v>3384</v>
      </c>
      <c r="C1393" t="s">
        <v>43</v>
      </c>
      <c r="D1393" t="s">
        <v>3385</v>
      </c>
      <c r="E1393" t="s">
        <v>15</v>
      </c>
      <c r="J1393" s="1">
        <v>45844</v>
      </c>
      <c r="K1393">
        <v>240</v>
      </c>
      <c r="L1393" t="s">
        <v>3388</v>
      </c>
      <c r="M1393">
        <v>12</v>
      </c>
      <c r="N1393" t="str">
        <f>VLOOKUP(M1393,[1]LOJA!$A:$B,2,0)</f>
        <v>SOFNORTE</v>
      </c>
      <c r="O1393">
        <v>20</v>
      </c>
      <c r="P1393" t="str">
        <f>VLOOKUP(O1393,[1]OPERADORES!$A:$B,2,0)</f>
        <v>MAYARA</v>
      </c>
      <c r="Q1393">
        <v>26</v>
      </c>
      <c r="R1393">
        <v>1000016548</v>
      </c>
      <c r="S1393" t="s">
        <v>3389</v>
      </c>
      <c r="T1393" s="1">
        <v>45784</v>
      </c>
      <c r="U1393">
        <v>334</v>
      </c>
      <c r="V1393">
        <v>334</v>
      </c>
    </row>
    <row r="1394" spans="1:22" x14ac:dyDescent="0.3">
      <c r="A1394" t="s">
        <v>3390</v>
      </c>
      <c r="B1394" t="s">
        <v>3391</v>
      </c>
      <c r="C1394" t="s">
        <v>324</v>
      </c>
      <c r="D1394" t="s">
        <v>3392</v>
      </c>
      <c r="E1394" t="s">
        <v>15</v>
      </c>
      <c r="J1394" s="1">
        <v>45793</v>
      </c>
      <c r="K1394">
        <v>291</v>
      </c>
      <c r="L1394" t="s">
        <v>3393</v>
      </c>
      <c r="M1394">
        <v>14</v>
      </c>
      <c r="N1394" t="str">
        <f>VLOOKUP(M1394,[1]LOJA!$A:$B,2,0)</f>
        <v>S IA</v>
      </c>
      <c r="O1394">
        <v>212</v>
      </c>
      <c r="P1394" t="str">
        <f>VLOOKUP(O1394,[1]OPERADORES!$A:$B,2,0)</f>
        <v>YASMIN</v>
      </c>
      <c r="Q1394">
        <v>4</v>
      </c>
      <c r="S1394" t="s">
        <v>110</v>
      </c>
      <c r="T1394" s="1">
        <v>45793</v>
      </c>
      <c r="U1394">
        <v>-135.36000000000001</v>
      </c>
      <c r="V1394">
        <v>-135.36000000000001</v>
      </c>
    </row>
    <row r="1395" spans="1:22" x14ac:dyDescent="0.3">
      <c r="A1395" t="s">
        <v>3394</v>
      </c>
      <c r="B1395" t="s">
        <v>3395</v>
      </c>
      <c r="C1395" t="s">
        <v>13</v>
      </c>
      <c r="D1395" t="s">
        <v>3396</v>
      </c>
      <c r="E1395" t="s">
        <v>15</v>
      </c>
      <c r="J1395" s="1">
        <v>44943</v>
      </c>
      <c r="K1395">
        <v>1141</v>
      </c>
      <c r="L1395" t="s">
        <v>3397</v>
      </c>
      <c r="M1395">
        <v>1</v>
      </c>
      <c r="N1395" t="str">
        <f>VLOOKUP(M1395,[1]LOJA!$A:$B,2,0)</f>
        <v>GUARÁ</v>
      </c>
      <c r="O1395">
        <v>132</v>
      </c>
      <c r="P1395" t="str">
        <f>VLOOKUP(O1395,[1]OPERADORES!$A:$B,2,0)</f>
        <v>PAMELA GONÇALVES ROSA</v>
      </c>
      <c r="Q1395">
        <v>4</v>
      </c>
      <c r="S1395" t="s">
        <v>3398</v>
      </c>
      <c r="T1395" s="1">
        <v>44943</v>
      </c>
      <c r="U1395">
        <v>-4</v>
      </c>
      <c r="V1395">
        <v>-4</v>
      </c>
    </row>
    <row r="1396" spans="1:22" x14ac:dyDescent="0.3">
      <c r="A1396" t="s">
        <v>3399</v>
      </c>
      <c r="B1396" t="s">
        <v>3400</v>
      </c>
      <c r="C1396" t="s">
        <v>3401</v>
      </c>
      <c r="D1396" t="s">
        <v>3402</v>
      </c>
      <c r="E1396" t="s">
        <v>15</v>
      </c>
      <c r="J1396" s="1">
        <v>44635</v>
      </c>
      <c r="K1396">
        <v>1449</v>
      </c>
      <c r="L1396" t="s">
        <v>3403</v>
      </c>
      <c r="M1396">
        <v>13</v>
      </c>
      <c r="N1396" t="str">
        <f>VLOOKUP(M1396,[1]LOJA!$A:$B,2,0)</f>
        <v>CEILÂNDIA</v>
      </c>
      <c r="O1396">
        <v>84</v>
      </c>
      <c r="P1396" t="str">
        <f>VLOOKUP(O1396,[1]OPERADORES!$A:$B,2,0)</f>
        <v>JEICY AZEVEDO</v>
      </c>
      <c r="Q1396">
        <v>12</v>
      </c>
      <c r="S1396" t="s">
        <v>3404</v>
      </c>
      <c r="T1396" s="1">
        <v>44622</v>
      </c>
      <c r="U1396" s="2">
        <v>1730.29</v>
      </c>
      <c r="V1396" s="2">
        <v>1730.29</v>
      </c>
    </row>
    <row r="1397" spans="1:22" x14ac:dyDescent="0.3">
      <c r="A1397" t="s">
        <v>3405</v>
      </c>
      <c r="B1397" t="s">
        <v>3406</v>
      </c>
      <c r="C1397" t="s">
        <v>13</v>
      </c>
      <c r="D1397" t="s">
        <v>2257</v>
      </c>
      <c r="E1397" t="s">
        <v>15</v>
      </c>
      <c r="J1397" s="1">
        <v>45897</v>
      </c>
      <c r="K1397">
        <v>187</v>
      </c>
      <c r="L1397" t="s">
        <v>3407</v>
      </c>
      <c r="M1397">
        <v>24</v>
      </c>
      <c r="N1397" t="str">
        <f>VLOOKUP(M1397,[1]LOJA!$A:$B,2,0)</f>
        <v>LUZIÂNIA</v>
      </c>
      <c r="O1397">
        <v>98</v>
      </c>
      <c r="P1397" t="str">
        <f>VLOOKUP(O1397,[1]OPERADORES!$A:$B,2,0)</f>
        <v xml:space="preserve">ARIGLEICE </v>
      </c>
      <c r="Q1397">
        <v>4</v>
      </c>
      <c r="S1397" t="s">
        <v>3408</v>
      </c>
      <c r="T1397" s="1">
        <v>45897</v>
      </c>
      <c r="U1397">
        <v>-0.32</v>
      </c>
      <c r="V1397">
        <v>-0.32</v>
      </c>
    </row>
    <row r="1398" spans="1:22" x14ac:dyDescent="0.3">
      <c r="A1398" t="s">
        <v>5931</v>
      </c>
      <c r="B1398" t="s">
        <v>5932</v>
      </c>
      <c r="C1398" t="s">
        <v>13</v>
      </c>
      <c r="D1398" t="s">
        <v>5933</v>
      </c>
      <c r="E1398" t="s">
        <v>15</v>
      </c>
      <c r="J1398" s="1">
        <v>46078</v>
      </c>
      <c r="K1398">
        <v>6</v>
      </c>
      <c r="L1398" t="s">
        <v>5934</v>
      </c>
      <c r="M1398">
        <v>22</v>
      </c>
      <c r="N1398" t="str">
        <f>VLOOKUP(M1398,[1]LOJA!$A:$B,2,0)</f>
        <v>GUARÁ</v>
      </c>
      <c r="O1398">
        <v>93</v>
      </c>
      <c r="P1398" t="str">
        <f>VLOOKUP(O1398,[1]OPERADORES!$A:$B,2,0)</f>
        <v>PATRICIA</v>
      </c>
      <c r="Q1398">
        <v>27</v>
      </c>
      <c r="R1398">
        <v>1000020224</v>
      </c>
      <c r="S1398" t="s">
        <v>87</v>
      </c>
      <c r="T1398" s="1">
        <v>46048</v>
      </c>
      <c r="U1398" s="2">
        <v>1724.96</v>
      </c>
      <c r="V1398" s="2">
        <v>1724.96</v>
      </c>
    </row>
    <row r="1399" spans="1:22" x14ac:dyDescent="0.3">
      <c r="A1399" t="s">
        <v>3409</v>
      </c>
      <c r="B1399" t="s">
        <v>3410</v>
      </c>
      <c r="C1399" t="s">
        <v>13</v>
      </c>
      <c r="D1399" t="s">
        <v>3411</v>
      </c>
      <c r="E1399" t="s">
        <v>15</v>
      </c>
      <c r="J1399" s="1">
        <v>44449</v>
      </c>
      <c r="K1399">
        <v>1635</v>
      </c>
      <c r="L1399" t="s">
        <v>3412</v>
      </c>
      <c r="M1399">
        <v>14</v>
      </c>
      <c r="N1399" t="str">
        <f>VLOOKUP(M1399,[1]LOJA!$A:$B,2,0)</f>
        <v>S IA</v>
      </c>
      <c r="O1399">
        <v>84</v>
      </c>
      <c r="P1399" t="str">
        <f>VLOOKUP(O1399,[1]OPERADORES!$A:$B,2,0)</f>
        <v>JEICY AZEVEDO</v>
      </c>
      <c r="Q1399">
        <v>27</v>
      </c>
      <c r="R1399">
        <v>1000004271</v>
      </c>
      <c r="S1399" t="s">
        <v>3413</v>
      </c>
      <c r="T1399" s="1">
        <v>44419</v>
      </c>
      <c r="U1399">
        <v>202.69</v>
      </c>
      <c r="V1399">
        <v>202.69</v>
      </c>
    </row>
    <row r="1400" spans="1:22" x14ac:dyDescent="0.3">
      <c r="A1400" t="s">
        <v>3409</v>
      </c>
      <c r="B1400" t="s">
        <v>3410</v>
      </c>
      <c r="C1400" t="s">
        <v>13</v>
      </c>
      <c r="D1400" t="s">
        <v>3411</v>
      </c>
      <c r="E1400" t="s">
        <v>15</v>
      </c>
      <c r="J1400" s="1">
        <v>44479</v>
      </c>
      <c r="K1400">
        <v>1605</v>
      </c>
      <c r="L1400" t="s">
        <v>3414</v>
      </c>
      <c r="M1400">
        <v>14</v>
      </c>
      <c r="N1400" t="str">
        <f>VLOOKUP(M1400,[1]LOJA!$A:$B,2,0)</f>
        <v>S IA</v>
      </c>
      <c r="O1400">
        <v>84</v>
      </c>
      <c r="P1400" t="str">
        <f>VLOOKUP(O1400,[1]OPERADORES!$A:$B,2,0)</f>
        <v>JEICY AZEVEDO</v>
      </c>
      <c r="Q1400">
        <v>27</v>
      </c>
      <c r="R1400">
        <v>1000004272</v>
      </c>
      <c r="S1400" t="s">
        <v>3415</v>
      </c>
      <c r="T1400" s="1">
        <v>44419</v>
      </c>
      <c r="U1400">
        <v>551</v>
      </c>
      <c r="V1400">
        <v>551</v>
      </c>
    </row>
    <row r="1401" spans="1:22" x14ac:dyDescent="0.3">
      <c r="A1401" t="s">
        <v>3409</v>
      </c>
      <c r="B1401" t="s">
        <v>3410</v>
      </c>
      <c r="C1401" t="s">
        <v>13</v>
      </c>
      <c r="D1401" t="s">
        <v>3411</v>
      </c>
      <c r="E1401" t="s">
        <v>15</v>
      </c>
      <c r="J1401" s="1">
        <v>44509</v>
      </c>
      <c r="K1401">
        <v>1575</v>
      </c>
      <c r="L1401" t="s">
        <v>3416</v>
      </c>
      <c r="M1401">
        <v>14</v>
      </c>
      <c r="N1401" t="str">
        <f>VLOOKUP(M1401,[1]LOJA!$A:$B,2,0)</f>
        <v>S IA</v>
      </c>
      <c r="O1401">
        <v>84</v>
      </c>
      <c r="P1401" t="str">
        <f>VLOOKUP(O1401,[1]OPERADORES!$A:$B,2,0)</f>
        <v>JEICY AZEVEDO</v>
      </c>
      <c r="Q1401">
        <v>27</v>
      </c>
      <c r="R1401">
        <v>1000004273</v>
      </c>
      <c r="S1401" t="s">
        <v>3417</v>
      </c>
      <c r="T1401" s="1">
        <v>44419</v>
      </c>
      <c r="U1401">
        <v>551</v>
      </c>
      <c r="V1401">
        <v>551</v>
      </c>
    </row>
    <row r="1402" spans="1:22" x14ac:dyDescent="0.3">
      <c r="A1402" t="s">
        <v>3418</v>
      </c>
      <c r="B1402" t="s">
        <v>3419</v>
      </c>
      <c r="C1402" t="s">
        <v>3420</v>
      </c>
      <c r="D1402" t="s">
        <v>3421</v>
      </c>
      <c r="E1402" t="s">
        <v>15</v>
      </c>
      <c r="J1402" s="1">
        <v>45993</v>
      </c>
      <c r="K1402">
        <v>91</v>
      </c>
      <c r="L1402" t="s">
        <v>3422</v>
      </c>
      <c r="M1402">
        <v>12</v>
      </c>
      <c r="N1402" t="str">
        <f>VLOOKUP(M1402,[1]LOJA!$A:$B,2,0)</f>
        <v>SOFNORTE</v>
      </c>
      <c r="O1402">
        <v>209</v>
      </c>
      <c r="P1402" t="str">
        <f>VLOOKUP(O1402,[1]OPERADORES!$A:$B,2,0)</f>
        <v>MARIA WITHALINA CUNHA DE SOUZA</v>
      </c>
      <c r="Q1402">
        <v>4</v>
      </c>
      <c r="S1402" t="s">
        <v>3423</v>
      </c>
      <c r="T1402" s="1">
        <v>45993</v>
      </c>
      <c r="U1402">
        <v>-6.22</v>
      </c>
      <c r="V1402">
        <v>-6.22</v>
      </c>
    </row>
    <row r="1403" spans="1:22" x14ac:dyDescent="0.3">
      <c r="A1403" t="s">
        <v>3424</v>
      </c>
      <c r="B1403" t="s">
        <v>3425</v>
      </c>
      <c r="C1403" t="s">
        <v>297</v>
      </c>
      <c r="D1403" t="s">
        <v>5935</v>
      </c>
      <c r="E1403" t="s">
        <v>15</v>
      </c>
      <c r="J1403" s="1">
        <v>46034</v>
      </c>
      <c r="K1403">
        <v>50</v>
      </c>
      <c r="L1403" t="s">
        <v>3426</v>
      </c>
      <c r="M1403">
        <v>6</v>
      </c>
      <c r="N1403" t="str">
        <f>VLOOKUP(M1403,[1]LOJA!$A:$B,2,0)</f>
        <v>GAMA</v>
      </c>
      <c r="O1403">
        <v>20</v>
      </c>
      <c r="P1403" t="str">
        <f>VLOOKUP(O1403,[1]OPERADORES!$A:$B,2,0)</f>
        <v>MAYARA</v>
      </c>
      <c r="Q1403">
        <v>20</v>
      </c>
      <c r="S1403" t="s">
        <v>142</v>
      </c>
      <c r="T1403" s="1">
        <v>46030</v>
      </c>
      <c r="U1403">
        <v>-443.37</v>
      </c>
      <c r="V1403">
        <v>-443.37</v>
      </c>
    </row>
    <row r="1404" spans="1:22" x14ac:dyDescent="0.3">
      <c r="A1404" t="s">
        <v>3427</v>
      </c>
      <c r="B1404" t="s">
        <v>3428</v>
      </c>
      <c r="C1404" t="s">
        <v>13</v>
      </c>
      <c r="D1404" t="s">
        <v>5936</v>
      </c>
      <c r="E1404" t="s">
        <v>15</v>
      </c>
      <c r="J1404" s="1">
        <v>46041</v>
      </c>
      <c r="K1404">
        <v>43</v>
      </c>
      <c r="L1404" t="s">
        <v>3429</v>
      </c>
      <c r="M1404">
        <v>9</v>
      </c>
      <c r="N1404" t="str">
        <f>VLOOKUP(M1404,[1]LOJA!$A:$B,2,0)</f>
        <v>ÚNICA</v>
      </c>
      <c r="O1404">
        <v>197</v>
      </c>
      <c r="P1404" t="str">
        <f>VLOOKUP(O1404,[1]OPERADORES!$A:$B,2,0)</f>
        <v xml:space="preserve">POLIANA LORRANE DE AMORIM </v>
      </c>
      <c r="Q1404">
        <v>4</v>
      </c>
      <c r="S1404" t="s">
        <v>3430</v>
      </c>
      <c r="T1404" s="1">
        <v>46041</v>
      </c>
      <c r="U1404" s="2">
        <v>-1972.5</v>
      </c>
      <c r="V1404" s="2">
        <v>-1972.5</v>
      </c>
    </row>
    <row r="1405" spans="1:22" x14ac:dyDescent="0.3">
      <c r="A1405" t="s">
        <v>3427</v>
      </c>
      <c r="B1405" t="s">
        <v>3428</v>
      </c>
      <c r="C1405" t="s">
        <v>13</v>
      </c>
      <c r="D1405" t="s">
        <v>5936</v>
      </c>
      <c r="E1405" t="s">
        <v>15</v>
      </c>
      <c r="J1405" s="1">
        <v>46067</v>
      </c>
      <c r="K1405">
        <v>17</v>
      </c>
      <c r="L1405" t="s">
        <v>5937</v>
      </c>
      <c r="M1405">
        <v>9</v>
      </c>
      <c r="N1405" t="str">
        <f>VLOOKUP(M1405,[1]LOJA!$A:$B,2,0)</f>
        <v>ÚNICA</v>
      </c>
      <c r="O1405">
        <v>197</v>
      </c>
      <c r="P1405" t="str">
        <f>VLOOKUP(O1405,[1]OPERADORES!$A:$B,2,0)</f>
        <v xml:space="preserve">POLIANA LORRANE DE AMORIM </v>
      </c>
      <c r="Q1405">
        <v>23</v>
      </c>
      <c r="R1405">
        <v>213805</v>
      </c>
      <c r="S1405" t="s">
        <v>51</v>
      </c>
      <c r="T1405" s="1">
        <v>46037</v>
      </c>
      <c r="U1405">
        <v>657.5</v>
      </c>
      <c r="V1405">
        <v>657.5</v>
      </c>
    </row>
    <row r="1406" spans="1:22" x14ac:dyDescent="0.3">
      <c r="A1406" t="s">
        <v>3431</v>
      </c>
      <c r="B1406" t="s">
        <v>3432</v>
      </c>
      <c r="C1406" t="s">
        <v>263</v>
      </c>
      <c r="D1406" t="s">
        <v>3433</v>
      </c>
      <c r="E1406" t="s">
        <v>15</v>
      </c>
      <c r="J1406" s="1">
        <v>44634</v>
      </c>
      <c r="K1406">
        <v>1450</v>
      </c>
      <c r="L1406" t="s">
        <v>3434</v>
      </c>
      <c r="M1406">
        <v>14</v>
      </c>
      <c r="N1406" t="str">
        <f>VLOOKUP(M1406,[1]LOJA!$A:$B,2,0)</f>
        <v>S IA</v>
      </c>
      <c r="O1406">
        <v>84</v>
      </c>
      <c r="P1406" t="str">
        <f>VLOOKUP(O1406,[1]OPERADORES!$A:$B,2,0)</f>
        <v>JEICY AZEVEDO</v>
      </c>
      <c r="Q1406">
        <v>4</v>
      </c>
      <c r="S1406" t="s">
        <v>3435</v>
      </c>
      <c r="T1406" s="1">
        <v>44580</v>
      </c>
      <c r="U1406" s="2">
        <v>1672.42</v>
      </c>
      <c r="V1406" s="2">
        <v>1672.42</v>
      </c>
    </row>
    <row r="1407" spans="1:22" x14ac:dyDescent="0.3">
      <c r="A1407" t="s">
        <v>3431</v>
      </c>
      <c r="B1407" t="s">
        <v>3432</v>
      </c>
      <c r="C1407" t="s">
        <v>263</v>
      </c>
      <c r="D1407" t="s">
        <v>3433</v>
      </c>
      <c r="E1407" t="s">
        <v>15</v>
      </c>
      <c r="J1407" s="1">
        <v>44659</v>
      </c>
      <c r="K1407">
        <v>1425</v>
      </c>
      <c r="L1407" t="s">
        <v>3436</v>
      </c>
      <c r="M1407">
        <v>14</v>
      </c>
      <c r="N1407" t="str">
        <f>VLOOKUP(M1407,[1]LOJA!$A:$B,2,0)</f>
        <v>S IA</v>
      </c>
      <c r="O1407">
        <v>84</v>
      </c>
      <c r="P1407" t="str">
        <f>VLOOKUP(O1407,[1]OPERADORES!$A:$B,2,0)</f>
        <v>JEICY AZEVEDO</v>
      </c>
      <c r="Q1407">
        <v>4</v>
      </c>
      <c r="S1407" t="s">
        <v>3437</v>
      </c>
      <c r="T1407" s="1">
        <v>44642</v>
      </c>
      <c r="U1407" s="2">
        <v>1687.71</v>
      </c>
      <c r="V1407" s="2">
        <v>1687.71</v>
      </c>
    </row>
    <row r="1408" spans="1:22" x14ac:dyDescent="0.3">
      <c r="A1408" t="s">
        <v>3431</v>
      </c>
      <c r="B1408" t="s">
        <v>3432</v>
      </c>
      <c r="C1408" t="s">
        <v>263</v>
      </c>
      <c r="D1408" t="s">
        <v>3433</v>
      </c>
      <c r="E1408" t="s">
        <v>15</v>
      </c>
      <c r="J1408" s="1">
        <v>44666</v>
      </c>
      <c r="K1408">
        <v>1418</v>
      </c>
      <c r="L1408" t="s">
        <v>3438</v>
      </c>
      <c r="M1408">
        <v>14</v>
      </c>
      <c r="N1408" t="str">
        <f>VLOOKUP(M1408,[1]LOJA!$A:$B,2,0)</f>
        <v>S IA</v>
      </c>
      <c r="O1408">
        <v>20</v>
      </c>
      <c r="P1408" t="str">
        <f>VLOOKUP(O1408,[1]OPERADORES!$A:$B,2,0)</f>
        <v>MAYARA</v>
      </c>
      <c r="Q1408">
        <v>12</v>
      </c>
      <c r="S1408" t="s">
        <v>3439</v>
      </c>
      <c r="T1408" s="1">
        <v>44656</v>
      </c>
      <c r="U1408" s="2">
        <v>8630.89</v>
      </c>
      <c r="V1408" s="2">
        <v>8630.89</v>
      </c>
    </row>
    <row r="1409" spans="1:22" x14ac:dyDescent="0.3">
      <c r="A1409" t="s">
        <v>3431</v>
      </c>
      <c r="B1409" t="s">
        <v>3432</v>
      </c>
      <c r="C1409" t="s">
        <v>263</v>
      </c>
      <c r="D1409" t="s">
        <v>3433</v>
      </c>
      <c r="E1409" t="s">
        <v>15</v>
      </c>
      <c r="J1409" s="1">
        <v>44750</v>
      </c>
      <c r="K1409">
        <v>1334</v>
      </c>
      <c r="L1409" t="s">
        <v>3440</v>
      </c>
      <c r="M1409">
        <v>14</v>
      </c>
      <c r="N1409" t="str">
        <f>VLOOKUP(M1409,[1]LOJA!$A:$B,2,0)</f>
        <v>S IA</v>
      </c>
      <c r="O1409">
        <v>84</v>
      </c>
      <c r="P1409" t="str">
        <f>VLOOKUP(O1409,[1]OPERADORES!$A:$B,2,0)</f>
        <v>JEICY AZEVEDO</v>
      </c>
      <c r="Q1409">
        <v>4</v>
      </c>
      <c r="S1409" t="s">
        <v>3441</v>
      </c>
      <c r="T1409" s="1">
        <v>44642</v>
      </c>
      <c r="U1409" s="2">
        <v>1687.71</v>
      </c>
      <c r="V1409" s="2">
        <v>1687.71</v>
      </c>
    </row>
    <row r="1410" spans="1:22" x14ac:dyDescent="0.3">
      <c r="A1410" t="s">
        <v>3442</v>
      </c>
      <c r="B1410" t="s">
        <v>3443</v>
      </c>
      <c r="C1410" t="s">
        <v>207</v>
      </c>
      <c r="D1410" t="s">
        <v>5938</v>
      </c>
      <c r="E1410" t="s">
        <v>15</v>
      </c>
      <c r="J1410" s="1">
        <v>44383</v>
      </c>
      <c r="K1410">
        <v>1701</v>
      </c>
      <c r="L1410" t="s">
        <v>3444</v>
      </c>
      <c r="M1410">
        <v>4</v>
      </c>
      <c r="N1410" t="str">
        <f>VLOOKUP(M1410,[1]LOJA!$A:$B,2,0)</f>
        <v>ADE</v>
      </c>
      <c r="O1410">
        <v>109</v>
      </c>
      <c r="P1410" t="str">
        <f>VLOOKUP(O1410,[1]OPERADORES!$A:$B,2,0)</f>
        <v>LIVIA DE SOUZA</v>
      </c>
      <c r="Q1410">
        <v>4</v>
      </c>
      <c r="S1410" t="s">
        <v>3445</v>
      </c>
      <c r="T1410" s="1">
        <v>44383</v>
      </c>
      <c r="U1410">
        <v>-198</v>
      </c>
      <c r="V1410">
        <v>-198</v>
      </c>
    </row>
    <row r="1411" spans="1:22" x14ac:dyDescent="0.3">
      <c r="A1411" t="s">
        <v>3446</v>
      </c>
      <c r="B1411" t="s">
        <v>3447</v>
      </c>
      <c r="C1411" t="s">
        <v>13</v>
      </c>
      <c r="D1411" t="s">
        <v>3448</v>
      </c>
      <c r="E1411" t="s">
        <v>15</v>
      </c>
      <c r="J1411" s="1">
        <v>46041</v>
      </c>
      <c r="K1411">
        <v>43</v>
      </c>
      <c r="L1411" t="s">
        <v>3449</v>
      </c>
      <c r="M1411">
        <v>16</v>
      </c>
      <c r="N1411" t="str">
        <f>VLOOKUP(M1411,[1]LOJA!$A:$B,2,0)</f>
        <v>AG LINDAS</v>
      </c>
      <c r="O1411">
        <v>240</v>
      </c>
      <c r="P1411" t="str">
        <f>VLOOKUP(O1411,[1]OPERADORES!$A:$B,2,0)</f>
        <v>MICHEL</v>
      </c>
      <c r="Q1411">
        <v>4</v>
      </c>
      <c r="S1411" t="s">
        <v>3450</v>
      </c>
      <c r="T1411" s="1">
        <v>46041</v>
      </c>
      <c r="U1411">
        <v>-22.8</v>
      </c>
      <c r="V1411">
        <v>-22.8</v>
      </c>
    </row>
    <row r="1412" spans="1:22" x14ac:dyDescent="0.3">
      <c r="A1412" t="s">
        <v>3451</v>
      </c>
      <c r="B1412" t="s">
        <v>3452</v>
      </c>
      <c r="C1412" t="s">
        <v>3453</v>
      </c>
      <c r="D1412" t="s">
        <v>3454</v>
      </c>
      <c r="E1412" t="s">
        <v>15</v>
      </c>
      <c r="J1412" s="1">
        <v>45544</v>
      </c>
      <c r="K1412">
        <v>540</v>
      </c>
      <c r="L1412" t="s">
        <v>3455</v>
      </c>
      <c r="M1412">
        <v>22</v>
      </c>
      <c r="N1412" t="str">
        <f>VLOOKUP(M1412,[1]LOJA!$A:$B,2,0)</f>
        <v>GUARÁ</v>
      </c>
      <c r="O1412">
        <v>26</v>
      </c>
      <c r="P1412" t="str">
        <f>VLOOKUP(O1412,[1]OPERADORES!$A:$B,2,0)</f>
        <v>JANUARIO</v>
      </c>
      <c r="Q1412">
        <v>4</v>
      </c>
      <c r="S1412" t="s">
        <v>3456</v>
      </c>
      <c r="T1412" s="1">
        <v>45544</v>
      </c>
      <c r="U1412">
        <v>-37.4</v>
      </c>
      <c r="V1412">
        <v>-37.4</v>
      </c>
    </row>
    <row r="1413" spans="1:22" x14ac:dyDescent="0.3">
      <c r="A1413" t="s">
        <v>3451</v>
      </c>
      <c r="B1413" t="s">
        <v>3452</v>
      </c>
      <c r="C1413" t="s">
        <v>3453</v>
      </c>
      <c r="D1413" t="s">
        <v>3454</v>
      </c>
      <c r="E1413" t="s">
        <v>15</v>
      </c>
      <c r="J1413" s="1">
        <v>45884</v>
      </c>
      <c r="K1413">
        <v>200</v>
      </c>
      <c r="L1413" t="s">
        <v>3457</v>
      </c>
      <c r="M1413">
        <v>22</v>
      </c>
      <c r="N1413" t="str">
        <f>VLOOKUP(M1413,[1]LOJA!$A:$B,2,0)</f>
        <v>GUARÁ</v>
      </c>
      <c r="O1413">
        <v>16</v>
      </c>
      <c r="P1413" t="str">
        <f>VLOOKUP(O1413,[1]OPERADORES!$A:$B,2,0)</f>
        <v>AYSLAN</v>
      </c>
      <c r="Q1413">
        <v>4</v>
      </c>
      <c r="S1413" t="s">
        <v>3458</v>
      </c>
      <c r="T1413" s="1">
        <v>45884</v>
      </c>
      <c r="U1413">
        <v>-148.91999999999999</v>
      </c>
      <c r="V1413">
        <v>-148.91999999999999</v>
      </c>
    </row>
    <row r="1414" spans="1:22" x14ac:dyDescent="0.3">
      <c r="A1414" t="s">
        <v>3451</v>
      </c>
      <c r="B1414" t="s">
        <v>3452</v>
      </c>
      <c r="C1414" t="s">
        <v>3453</v>
      </c>
      <c r="D1414" t="s">
        <v>3454</v>
      </c>
      <c r="E1414" t="s">
        <v>15</v>
      </c>
      <c r="J1414" s="1">
        <v>46080</v>
      </c>
      <c r="K1414">
        <v>4</v>
      </c>
      <c r="L1414" t="s">
        <v>5939</v>
      </c>
      <c r="M1414">
        <v>22</v>
      </c>
      <c r="N1414" t="str">
        <f>VLOOKUP(M1414,[1]LOJA!$A:$B,2,0)</f>
        <v>GUARÁ</v>
      </c>
      <c r="O1414">
        <v>16</v>
      </c>
      <c r="P1414" t="str">
        <f>VLOOKUP(O1414,[1]OPERADORES!$A:$B,2,0)</f>
        <v>AYSLAN</v>
      </c>
      <c r="Q1414">
        <v>27</v>
      </c>
      <c r="R1414">
        <v>1000019231</v>
      </c>
      <c r="S1414" t="s">
        <v>976</v>
      </c>
      <c r="T1414" s="1">
        <v>45990</v>
      </c>
      <c r="U1414">
        <v>684.89</v>
      </c>
      <c r="V1414">
        <v>684.89</v>
      </c>
    </row>
    <row r="1415" spans="1:22" x14ac:dyDescent="0.3">
      <c r="A1415" t="s">
        <v>3451</v>
      </c>
      <c r="B1415" t="s">
        <v>3452</v>
      </c>
      <c r="C1415" t="s">
        <v>3453</v>
      </c>
      <c r="D1415" t="s">
        <v>3454</v>
      </c>
      <c r="E1415" t="s">
        <v>15</v>
      </c>
      <c r="J1415" s="1">
        <v>46082</v>
      </c>
      <c r="K1415">
        <v>2</v>
      </c>
      <c r="L1415" t="s">
        <v>5940</v>
      </c>
      <c r="M1415">
        <v>22</v>
      </c>
      <c r="N1415" t="str">
        <f>VLOOKUP(M1415,[1]LOJA!$A:$B,2,0)</f>
        <v>GUARÁ</v>
      </c>
      <c r="O1415">
        <v>238</v>
      </c>
      <c r="P1415" t="str">
        <f>VLOOKUP(O1415,[1]OPERADORES!$A:$B,2,0)</f>
        <v>BIANCA</v>
      </c>
      <c r="Q1415">
        <v>27</v>
      </c>
      <c r="R1415">
        <v>1000019243</v>
      </c>
      <c r="S1415" t="s">
        <v>55</v>
      </c>
      <c r="T1415" s="1">
        <v>45992</v>
      </c>
      <c r="U1415">
        <v>458.78</v>
      </c>
      <c r="V1415">
        <v>458.78</v>
      </c>
    </row>
    <row r="1416" spans="1:22" x14ac:dyDescent="0.3">
      <c r="A1416" t="s">
        <v>3459</v>
      </c>
      <c r="B1416" t="s">
        <v>3460</v>
      </c>
      <c r="C1416" t="s">
        <v>324</v>
      </c>
      <c r="D1416" t="s">
        <v>2257</v>
      </c>
      <c r="E1416" t="s">
        <v>15</v>
      </c>
      <c r="J1416" s="1">
        <v>46084</v>
      </c>
      <c r="K1416">
        <v>0</v>
      </c>
      <c r="L1416" t="s">
        <v>5941</v>
      </c>
      <c r="M1416">
        <v>16</v>
      </c>
      <c r="N1416" t="str">
        <f>VLOOKUP(M1416,[1]LOJA!$A:$B,2,0)</f>
        <v>AG LINDAS</v>
      </c>
      <c r="O1416">
        <v>240</v>
      </c>
      <c r="P1416" t="str">
        <f>VLOOKUP(O1416,[1]OPERADORES!$A:$B,2,0)</f>
        <v>MICHEL</v>
      </c>
      <c r="Q1416">
        <v>4</v>
      </c>
      <c r="S1416" t="s">
        <v>5942</v>
      </c>
      <c r="T1416" s="1">
        <v>46084</v>
      </c>
      <c r="U1416">
        <v>-0.32</v>
      </c>
      <c r="V1416">
        <v>-0.32</v>
      </c>
    </row>
    <row r="1417" spans="1:22" x14ac:dyDescent="0.3">
      <c r="A1417" t="s">
        <v>3461</v>
      </c>
      <c r="B1417" t="s">
        <v>3462</v>
      </c>
      <c r="C1417" t="s">
        <v>13</v>
      </c>
      <c r="D1417" t="s">
        <v>3463</v>
      </c>
      <c r="E1417" t="s">
        <v>15</v>
      </c>
      <c r="J1417" s="1">
        <v>45918</v>
      </c>
      <c r="K1417">
        <v>166</v>
      </c>
      <c r="L1417" t="s">
        <v>3464</v>
      </c>
      <c r="M1417">
        <v>16</v>
      </c>
      <c r="N1417" t="str">
        <f>VLOOKUP(M1417,[1]LOJA!$A:$B,2,0)</f>
        <v>AG LINDAS</v>
      </c>
      <c r="O1417">
        <v>107</v>
      </c>
      <c r="P1417" t="str">
        <f>VLOOKUP(O1417,[1]OPERADORES!$A:$B,2,0)</f>
        <v>DAIANA PORTELA</v>
      </c>
      <c r="Q1417">
        <v>7</v>
      </c>
      <c r="S1417" t="s">
        <v>3465</v>
      </c>
      <c r="T1417" s="1">
        <v>45918</v>
      </c>
      <c r="U1417">
        <v>-21.43</v>
      </c>
      <c r="V1417">
        <v>-21.43</v>
      </c>
    </row>
    <row r="1418" spans="1:22" x14ac:dyDescent="0.3">
      <c r="A1418" t="s">
        <v>3466</v>
      </c>
      <c r="B1418" t="s">
        <v>3467</v>
      </c>
      <c r="C1418" t="s">
        <v>13</v>
      </c>
      <c r="D1418" t="s">
        <v>3468</v>
      </c>
      <c r="E1418" t="s">
        <v>15</v>
      </c>
      <c r="J1418" s="1">
        <v>45968</v>
      </c>
      <c r="K1418">
        <v>116</v>
      </c>
      <c r="L1418" t="s">
        <v>3469</v>
      </c>
      <c r="M1418">
        <v>9</v>
      </c>
      <c r="N1418" t="str">
        <f>VLOOKUP(M1418,[1]LOJA!$A:$B,2,0)</f>
        <v>ÚNICA</v>
      </c>
      <c r="O1418">
        <v>144</v>
      </c>
      <c r="P1418" t="str">
        <f>VLOOKUP(O1418,[1]OPERADORES!$A:$B,2,0)</f>
        <v>CINTIA DA SILVA CARLOS</v>
      </c>
      <c r="Q1418">
        <v>4</v>
      </c>
      <c r="S1418" t="s">
        <v>3470</v>
      </c>
      <c r="T1418" s="1">
        <v>45968</v>
      </c>
      <c r="U1418">
        <v>-0.37</v>
      </c>
      <c r="V1418">
        <v>-0.37</v>
      </c>
    </row>
    <row r="1419" spans="1:22" x14ac:dyDescent="0.3">
      <c r="A1419" t="s">
        <v>3471</v>
      </c>
      <c r="B1419" t="s">
        <v>3472</v>
      </c>
      <c r="C1419" t="s">
        <v>13</v>
      </c>
      <c r="D1419" t="s">
        <v>1944</v>
      </c>
      <c r="E1419" t="s">
        <v>15</v>
      </c>
      <c r="J1419" s="1">
        <v>44492</v>
      </c>
      <c r="K1419">
        <v>1592</v>
      </c>
      <c r="L1419" t="s">
        <v>3473</v>
      </c>
      <c r="M1419">
        <v>4</v>
      </c>
      <c r="N1419" t="str">
        <f>VLOOKUP(M1419,[1]LOJA!$A:$B,2,0)</f>
        <v>ADE</v>
      </c>
      <c r="O1419">
        <v>109</v>
      </c>
      <c r="P1419" t="str">
        <f>VLOOKUP(O1419,[1]OPERADORES!$A:$B,2,0)</f>
        <v>LIVIA DE SOUZA</v>
      </c>
      <c r="Q1419">
        <v>7</v>
      </c>
      <c r="S1419" t="s">
        <v>3474</v>
      </c>
      <c r="T1419" s="1">
        <v>44419</v>
      </c>
      <c r="U1419">
        <v>39.979999999999997</v>
      </c>
      <c r="V1419">
        <v>39.979999999999997</v>
      </c>
    </row>
    <row r="1420" spans="1:22" x14ac:dyDescent="0.3">
      <c r="A1420" t="s">
        <v>3475</v>
      </c>
      <c r="B1420" t="s">
        <v>32</v>
      </c>
      <c r="C1420" t="s">
        <v>43</v>
      </c>
      <c r="D1420" t="s">
        <v>3476</v>
      </c>
      <c r="E1420" t="s">
        <v>15</v>
      </c>
      <c r="J1420" s="1">
        <v>45404</v>
      </c>
      <c r="K1420">
        <v>680</v>
      </c>
      <c r="L1420" t="s">
        <v>3477</v>
      </c>
      <c r="M1420">
        <v>9</v>
      </c>
      <c r="N1420" t="str">
        <f>VLOOKUP(M1420,[1]LOJA!$A:$B,2,0)</f>
        <v>ÚNICA</v>
      </c>
      <c r="O1420">
        <v>144</v>
      </c>
      <c r="P1420" t="str">
        <f>VLOOKUP(O1420,[1]OPERADORES!$A:$B,2,0)</f>
        <v>CINTIA DA SILVA CARLOS</v>
      </c>
      <c r="Q1420">
        <v>4</v>
      </c>
      <c r="S1420" t="s">
        <v>3478</v>
      </c>
      <c r="T1420" s="1">
        <v>45404</v>
      </c>
      <c r="U1420">
        <v>-252.82</v>
      </c>
      <c r="V1420">
        <v>-252.82</v>
      </c>
    </row>
    <row r="1421" spans="1:22" x14ac:dyDescent="0.3">
      <c r="A1421" t="s">
        <v>3479</v>
      </c>
      <c r="B1421" t="s">
        <v>3480</v>
      </c>
      <c r="C1421" t="s">
        <v>848</v>
      </c>
      <c r="D1421" t="s">
        <v>3481</v>
      </c>
      <c r="E1421" t="s">
        <v>15</v>
      </c>
      <c r="J1421" s="1">
        <v>44963</v>
      </c>
      <c r="K1421">
        <v>1121</v>
      </c>
      <c r="L1421" t="s">
        <v>3482</v>
      </c>
      <c r="M1421">
        <v>8</v>
      </c>
      <c r="N1421" t="str">
        <f>VLOOKUP(M1421,[1]LOJA!$A:$B,2,0)</f>
        <v>LUZIÂNIA</v>
      </c>
      <c r="O1421">
        <v>170</v>
      </c>
      <c r="P1421" t="str">
        <f>VLOOKUP(O1421,[1]OPERADORES!$A:$B,2,0)</f>
        <v>MARIA LUISA</v>
      </c>
      <c r="Q1421">
        <v>4</v>
      </c>
      <c r="S1421" t="s">
        <v>3483</v>
      </c>
      <c r="T1421" s="1">
        <v>44963</v>
      </c>
      <c r="U1421">
        <v>-328.64</v>
      </c>
      <c r="V1421">
        <v>-328.64</v>
      </c>
    </row>
    <row r="1422" spans="1:22" x14ac:dyDescent="0.3">
      <c r="A1422" t="s">
        <v>5943</v>
      </c>
      <c r="B1422" t="s">
        <v>5944</v>
      </c>
      <c r="C1422" t="s">
        <v>1499</v>
      </c>
      <c r="D1422" t="s">
        <v>5945</v>
      </c>
      <c r="E1422" t="s">
        <v>15</v>
      </c>
      <c r="J1422" s="1">
        <v>46081</v>
      </c>
      <c r="K1422">
        <v>3</v>
      </c>
      <c r="L1422" t="s">
        <v>5946</v>
      </c>
      <c r="M1422">
        <v>14</v>
      </c>
      <c r="N1422" t="str">
        <f>VLOOKUP(M1422,[1]LOJA!$A:$B,2,0)</f>
        <v>S IA</v>
      </c>
      <c r="O1422">
        <v>212</v>
      </c>
      <c r="P1422" t="str">
        <f>VLOOKUP(O1422,[1]OPERADORES!$A:$B,2,0)</f>
        <v>YASMIN</v>
      </c>
      <c r="Q1422">
        <v>27</v>
      </c>
      <c r="R1422">
        <v>2000008982</v>
      </c>
      <c r="S1422" t="s">
        <v>87</v>
      </c>
      <c r="T1422" s="1">
        <v>46051</v>
      </c>
      <c r="U1422" s="2">
        <v>3320</v>
      </c>
      <c r="V1422" s="2">
        <v>3320</v>
      </c>
    </row>
    <row r="1423" spans="1:22" x14ac:dyDescent="0.3">
      <c r="A1423" t="s">
        <v>3484</v>
      </c>
      <c r="B1423" t="s">
        <v>3485</v>
      </c>
      <c r="C1423" t="s">
        <v>140</v>
      </c>
      <c r="D1423" t="s">
        <v>3486</v>
      </c>
      <c r="E1423" t="s">
        <v>15</v>
      </c>
      <c r="J1423" s="1">
        <v>45419</v>
      </c>
      <c r="K1423">
        <v>665</v>
      </c>
      <c r="L1423" t="s">
        <v>3487</v>
      </c>
      <c r="M1423">
        <v>14</v>
      </c>
      <c r="N1423" t="str">
        <f>VLOOKUP(M1423,[1]LOJA!$A:$B,2,0)</f>
        <v>S IA</v>
      </c>
      <c r="O1423">
        <v>207</v>
      </c>
      <c r="P1423" t="str">
        <f>VLOOKUP(O1423,[1]OPERADORES!$A:$B,2,0)</f>
        <v>KETILE SABRINE</v>
      </c>
      <c r="Q1423">
        <v>4</v>
      </c>
      <c r="S1423" t="s">
        <v>3488</v>
      </c>
      <c r="T1423" s="1">
        <v>45419</v>
      </c>
      <c r="U1423">
        <v>-8.49</v>
      </c>
      <c r="V1423">
        <v>-8.49</v>
      </c>
    </row>
    <row r="1424" spans="1:22" x14ac:dyDescent="0.3">
      <c r="A1424" t="s">
        <v>3484</v>
      </c>
      <c r="B1424" t="s">
        <v>3485</v>
      </c>
      <c r="C1424" t="s">
        <v>140</v>
      </c>
      <c r="D1424" t="s">
        <v>3486</v>
      </c>
      <c r="E1424" t="s">
        <v>15</v>
      </c>
      <c r="J1424" s="1">
        <v>45426</v>
      </c>
      <c r="K1424">
        <v>658</v>
      </c>
      <c r="L1424" t="s">
        <v>3489</v>
      </c>
      <c r="M1424">
        <v>14</v>
      </c>
      <c r="N1424" t="str">
        <f>VLOOKUP(M1424,[1]LOJA!$A:$B,2,0)</f>
        <v>S IA</v>
      </c>
      <c r="O1424">
        <v>207</v>
      </c>
      <c r="P1424" t="str">
        <f>VLOOKUP(O1424,[1]OPERADORES!$A:$B,2,0)</f>
        <v>KETILE SABRINE</v>
      </c>
      <c r="Q1424">
        <v>4</v>
      </c>
      <c r="S1424" t="s">
        <v>3488</v>
      </c>
      <c r="T1424" s="1">
        <v>45426</v>
      </c>
      <c r="U1424">
        <v>-0.1</v>
      </c>
      <c r="V1424">
        <v>-0.1</v>
      </c>
    </row>
    <row r="1425" spans="1:22" x14ac:dyDescent="0.3">
      <c r="A1425" t="s">
        <v>3490</v>
      </c>
      <c r="B1425" t="s">
        <v>3491</v>
      </c>
      <c r="C1425" t="s">
        <v>30</v>
      </c>
      <c r="D1425" t="s">
        <v>3492</v>
      </c>
      <c r="E1425" t="s">
        <v>15</v>
      </c>
      <c r="J1425" s="1">
        <v>45090</v>
      </c>
      <c r="K1425">
        <v>994</v>
      </c>
      <c r="L1425" t="s">
        <v>1058</v>
      </c>
      <c r="M1425">
        <v>8</v>
      </c>
      <c r="N1425" t="str">
        <f>VLOOKUP(M1425,[1]LOJA!$A:$B,2,0)</f>
        <v>LUZIÂNIA</v>
      </c>
      <c r="O1425">
        <v>170</v>
      </c>
      <c r="P1425" t="str">
        <f>VLOOKUP(O1425,[1]OPERADORES!$A:$B,2,0)</f>
        <v>MARIA LUISA</v>
      </c>
      <c r="Q1425">
        <v>4</v>
      </c>
      <c r="S1425" t="s">
        <v>3493</v>
      </c>
      <c r="T1425" s="1">
        <v>45090</v>
      </c>
      <c r="U1425">
        <v>-0.59</v>
      </c>
      <c r="V1425">
        <v>-0.59</v>
      </c>
    </row>
    <row r="1426" spans="1:22" x14ac:dyDescent="0.3">
      <c r="A1426" t="s">
        <v>3490</v>
      </c>
      <c r="B1426" t="s">
        <v>3491</v>
      </c>
      <c r="C1426" t="s">
        <v>30</v>
      </c>
      <c r="D1426" t="s">
        <v>3492</v>
      </c>
      <c r="E1426" t="s">
        <v>15</v>
      </c>
      <c r="J1426" s="1">
        <v>46051</v>
      </c>
      <c r="K1426">
        <v>33</v>
      </c>
      <c r="L1426" t="s">
        <v>3494</v>
      </c>
      <c r="M1426">
        <v>24</v>
      </c>
      <c r="N1426" t="str">
        <f>VLOOKUP(M1426,[1]LOJA!$A:$B,2,0)</f>
        <v>LUZIÂNIA</v>
      </c>
      <c r="O1426">
        <v>192</v>
      </c>
      <c r="P1426" t="str">
        <f>VLOOKUP(O1426,[1]OPERADORES!$A:$B,2,0)</f>
        <v>CIDA</v>
      </c>
      <c r="Q1426">
        <v>27</v>
      </c>
      <c r="R1426">
        <v>1000019938</v>
      </c>
      <c r="S1426" t="s">
        <v>87</v>
      </c>
      <c r="T1426" s="1">
        <v>46030</v>
      </c>
      <c r="U1426">
        <v>500</v>
      </c>
      <c r="V1426">
        <v>500</v>
      </c>
    </row>
    <row r="1427" spans="1:22" x14ac:dyDescent="0.3">
      <c r="A1427" t="s">
        <v>3495</v>
      </c>
      <c r="B1427" t="s">
        <v>3496</v>
      </c>
      <c r="C1427" t="s">
        <v>13</v>
      </c>
      <c r="D1427" t="s">
        <v>3497</v>
      </c>
      <c r="E1427" t="s">
        <v>15</v>
      </c>
      <c r="J1427" s="1">
        <v>46059</v>
      </c>
      <c r="K1427">
        <v>25</v>
      </c>
      <c r="L1427" t="s">
        <v>3498</v>
      </c>
      <c r="M1427">
        <v>15</v>
      </c>
      <c r="N1427" t="str">
        <f>VLOOKUP(M1427,[1]LOJA!$A:$B,2,0)</f>
        <v>UNAÍ</v>
      </c>
      <c r="O1427">
        <v>183</v>
      </c>
      <c r="P1427" t="str">
        <f>VLOOKUP(O1427,[1]OPERADORES!$A:$B,2,0)</f>
        <v>NADINE DE OLIVEIRA MORAIS</v>
      </c>
      <c r="Q1427">
        <v>4</v>
      </c>
      <c r="S1427" t="s">
        <v>3499</v>
      </c>
      <c r="T1427" s="1">
        <v>46049</v>
      </c>
      <c r="U1427">
        <v>-109.95</v>
      </c>
      <c r="V1427">
        <v>-109.95</v>
      </c>
    </row>
    <row r="1428" spans="1:22" x14ac:dyDescent="0.3">
      <c r="A1428" t="s">
        <v>3500</v>
      </c>
      <c r="B1428" t="s">
        <v>3501</v>
      </c>
      <c r="C1428" t="s">
        <v>30</v>
      </c>
      <c r="D1428" t="s">
        <v>5947</v>
      </c>
      <c r="E1428" t="s">
        <v>15</v>
      </c>
      <c r="J1428" s="1">
        <v>46082</v>
      </c>
      <c r="K1428">
        <v>2</v>
      </c>
      <c r="L1428" t="s">
        <v>5948</v>
      </c>
      <c r="M1428">
        <v>24</v>
      </c>
      <c r="N1428" t="str">
        <f>VLOOKUP(M1428,[1]LOJA!$A:$B,2,0)</f>
        <v>LUZIÂNIA</v>
      </c>
      <c r="O1428">
        <v>192</v>
      </c>
      <c r="P1428" t="str">
        <f>VLOOKUP(O1428,[1]OPERADORES!$A:$B,2,0)</f>
        <v>CIDA</v>
      </c>
      <c r="Q1428">
        <v>27</v>
      </c>
      <c r="R1428">
        <v>1000020299</v>
      </c>
      <c r="S1428" t="s">
        <v>87</v>
      </c>
      <c r="T1428" s="1">
        <v>46052</v>
      </c>
      <c r="U1428">
        <v>654.9</v>
      </c>
      <c r="V1428">
        <v>654.9</v>
      </c>
    </row>
    <row r="1429" spans="1:22" x14ac:dyDescent="0.3">
      <c r="A1429" t="s">
        <v>3502</v>
      </c>
      <c r="B1429" t="s">
        <v>3503</v>
      </c>
      <c r="C1429" t="s">
        <v>13</v>
      </c>
      <c r="D1429" t="s">
        <v>3504</v>
      </c>
      <c r="E1429" t="s">
        <v>15</v>
      </c>
      <c r="J1429" s="1">
        <v>45695</v>
      </c>
      <c r="K1429">
        <v>389</v>
      </c>
      <c r="L1429" t="s">
        <v>3505</v>
      </c>
      <c r="M1429">
        <v>14</v>
      </c>
      <c r="N1429" t="str">
        <f>VLOOKUP(M1429,[1]LOJA!$A:$B,2,0)</f>
        <v>S IA</v>
      </c>
      <c r="O1429">
        <v>108</v>
      </c>
      <c r="P1429" t="str">
        <f>VLOOKUP(O1429,[1]OPERADORES!$A:$B,2,0)</f>
        <v>CRISLANY DA SILVA</v>
      </c>
      <c r="Q1429">
        <v>7</v>
      </c>
      <c r="S1429" t="s">
        <v>87</v>
      </c>
      <c r="T1429" s="1">
        <v>45694</v>
      </c>
      <c r="U1429">
        <v>94</v>
      </c>
      <c r="V1429">
        <v>94</v>
      </c>
    </row>
    <row r="1430" spans="1:22" x14ac:dyDescent="0.3">
      <c r="A1430" t="s">
        <v>3506</v>
      </c>
      <c r="B1430" t="s">
        <v>3507</v>
      </c>
      <c r="C1430" t="s">
        <v>13</v>
      </c>
      <c r="D1430" t="s">
        <v>3508</v>
      </c>
      <c r="E1430" t="s">
        <v>15</v>
      </c>
      <c r="J1430" s="1">
        <v>44974</v>
      </c>
      <c r="K1430">
        <v>1110</v>
      </c>
      <c r="L1430" t="s">
        <v>3509</v>
      </c>
      <c r="M1430">
        <v>4</v>
      </c>
      <c r="N1430" t="str">
        <f>VLOOKUP(M1430,[1]LOJA!$A:$B,2,0)</f>
        <v>ADE</v>
      </c>
      <c r="O1430">
        <v>107</v>
      </c>
      <c r="P1430" t="str">
        <f>VLOOKUP(O1430,[1]OPERADORES!$A:$B,2,0)</f>
        <v>DAIANA PORTELA</v>
      </c>
      <c r="Q1430">
        <v>7</v>
      </c>
      <c r="S1430" t="s">
        <v>110</v>
      </c>
      <c r="T1430" s="1">
        <v>44974</v>
      </c>
      <c r="U1430">
        <v>-20</v>
      </c>
      <c r="V1430">
        <v>-20</v>
      </c>
    </row>
    <row r="1431" spans="1:22" x14ac:dyDescent="0.3">
      <c r="A1431" t="s">
        <v>3510</v>
      </c>
      <c r="B1431" t="s">
        <v>32</v>
      </c>
      <c r="C1431" t="s">
        <v>207</v>
      </c>
      <c r="D1431" t="s">
        <v>5949</v>
      </c>
      <c r="E1431" t="s">
        <v>15</v>
      </c>
      <c r="J1431" s="1">
        <v>45940</v>
      </c>
      <c r="K1431">
        <v>144</v>
      </c>
      <c r="L1431" t="s">
        <v>3511</v>
      </c>
      <c r="M1431">
        <v>9</v>
      </c>
      <c r="N1431" t="str">
        <f>VLOOKUP(M1431,[1]LOJA!$A:$B,2,0)</f>
        <v>ÚNICA</v>
      </c>
      <c r="O1431">
        <v>230</v>
      </c>
      <c r="P1431" t="str">
        <f>VLOOKUP(O1431,[1]OPERADORES!$A:$B,2,0)</f>
        <v>SÔNIA</v>
      </c>
      <c r="Q1431">
        <v>4</v>
      </c>
      <c r="S1431" t="s">
        <v>3512</v>
      </c>
      <c r="T1431" s="1">
        <v>45940</v>
      </c>
      <c r="U1431">
        <v>-13.6</v>
      </c>
      <c r="V1431">
        <v>-13.6</v>
      </c>
    </row>
    <row r="1432" spans="1:22" x14ac:dyDescent="0.3">
      <c r="A1432" t="s">
        <v>5950</v>
      </c>
      <c r="B1432" t="s">
        <v>5951</v>
      </c>
      <c r="C1432" t="s">
        <v>5952</v>
      </c>
      <c r="D1432" t="s">
        <v>5953</v>
      </c>
      <c r="E1432" t="s">
        <v>15</v>
      </c>
      <c r="J1432" s="1">
        <v>46084</v>
      </c>
      <c r="K1432">
        <v>0</v>
      </c>
      <c r="L1432" t="s">
        <v>5954</v>
      </c>
      <c r="M1432">
        <v>9</v>
      </c>
      <c r="N1432" t="str">
        <f>VLOOKUP(M1432,[1]LOJA!$A:$B,2,0)</f>
        <v>ÚNICA</v>
      </c>
      <c r="O1432">
        <v>236</v>
      </c>
      <c r="P1432" t="str">
        <f>VLOOKUP(O1432,[1]OPERADORES!$A:$B,2,0)</f>
        <v>DANIEL</v>
      </c>
      <c r="Q1432">
        <v>7</v>
      </c>
      <c r="S1432" t="s">
        <v>87</v>
      </c>
      <c r="T1432" s="1">
        <v>46083</v>
      </c>
      <c r="U1432">
        <v>300.75</v>
      </c>
      <c r="V1432">
        <v>300.75</v>
      </c>
    </row>
    <row r="1433" spans="1:22" x14ac:dyDescent="0.3">
      <c r="A1433" t="s">
        <v>3513</v>
      </c>
      <c r="B1433" t="s">
        <v>3514</v>
      </c>
      <c r="C1433" t="s">
        <v>207</v>
      </c>
      <c r="D1433" t="s">
        <v>5955</v>
      </c>
      <c r="E1433" t="s">
        <v>15</v>
      </c>
      <c r="J1433" s="1">
        <v>46030</v>
      </c>
      <c r="K1433">
        <v>54</v>
      </c>
      <c r="L1433" t="s">
        <v>3515</v>
      </c>
      <c r="M1433">
        <v>14</v>
      </c>
      <c r="N1433" t="str">
        <f>VLOOKUP(M1433,[1]LOJA!$A:$B,2,0)</f>
        <v>S IA</v>
      </c>
      <c r="O1433">
        <v>207</v>
      </c>
      <c r="P1433" t="str">
        <f>VLOOKUP(O1433,[1]OPERADORES!$A:$B,2,0)</f>
        <v>KETILE SABRINE</v>
      </c>
      <c r="Q1433">
        <v>4</v>
      </c>
      <c r="S1433" t="s">
        <v>3516</v>
      </c>
      <c r="T1433" s="1">
        <v>46030</v>
      </c>
      <c r="U1433">
        <v>-12.9</v>
      </c>
      <c r="V1433">
        <v>-12.9</v>
      </c>
    </row>
    <row r="1434" spans="1:22" x14ac:dyDescent="0.3">
      <c r="A1434" t="s">
        <v>3513</v>
      </c>
      <c r="B1434" t="s">
        <v>3514</v>
      </c>
      <c r="C1434" t="s">
        <v>207</v>
      </c>
      <c r="D1434" t="s">
        <v>5955</v>
      </c>
      <c r="E1434" t="s">
        <v>15</v>
      </c>
      <c r="J1434" s="1">
        <v>46035</v>
      </c>
      <c r="K1434">
        <v>49</v>
      </c>
      <c r="L1434" t="s">
        <v>3517</v>
      </c>
      <c r="M1434">
        <v>14</v>
      </c>
      <c r="N1434" t="str">
        <f>VLOOKUP(M1434,[1]LOJA!$A:$B,2,0)</f>
        <v>S IA</v>
      </c>
      <c r="O1434">
        <v>207</v>
      </c>
      <c r="P1434" t="str">
        <f>VLOOKUP(O1434,[1]OPERADORES!$A:$B,2,0)</f>
        <v>KETILE SABRINE</v>
      </c>
      <c r="Q1434">
        <v>4</v>
      </c>
      <c r="S1434" t="s">
        <v>3516</v>
      </c>
      <c r="T1434" s="1">
        <v>46035</v>
      </c>
      <c r="U1434">
        <v>-8.3000000000000007</v>
      </c>
      <c r="V1434">
        <v>-8.3000000000000007</v>
      </c>
    </row>
    <row r="1435" spans="1:22" x14ac:dyDescent="0.3">
      <c r="A1435" t="s">
        <v>3513</v>
      </c>
      <c r="B1435" t="s">
        <v>3514</v>
      </c>
      <c r="C1435" t="s">
        <v>207</v>
      </c>
      <c r="D1435" t="s">
        <v>5955</v>
      </c>
      <c r="E1435" t="s">
        <v>15</v>
      </c>
      <c r="J1435" s="1">
        <v>46055</v>
      </c>
      <c r="K1435">
        <v>29</v>
      </c>
      <c r="L1435" t="s">
        <v>130</v>
      </c>
      <c r="M1435">
        <v>14</v>
      </c>
      <c r="N1435" t="str">
        <f>VLOOKUP(M1435,[1]LOJA!$A:$B,2,0)</f>
        <v>S IA</v>
      </c>
      <c r="O1435">
        <v>207</v>
      </c>
      <c r="P1435" t="str">
        <f>VLOOKUP(O1435,[1]OPERADORES!$A:$B,2,0)</f>
        <v>KETILE SABRINE</v>
      </c>
      <c r="Q1435">
        <v>4</v>
      </c>
      <c r="S1435" t="s">
        <v>5956</v>
      </c>
      <c r="T1435" s="1">
        <v>46055</v>
      </c>
      <c r="U1435">
        <v>-4.6399999999999997</v>
      </c>
      <c r="V1435">
        <v>-4.6399999999999997</v>
      </c>
    </row>
    <row r="1436" spans="1:22" x14ac:dyDescent="0.3">
      <c r="A1436" t="s">
        <v>3513</v>
      </c>
      <c r="B1436" t="s">
        <v>3514</v>
      </c>
      <c r="C1436" t="s">
        <v>207</v>
      </c>
      <c r="D1436" t="s">
        <v>5955</v>
      </c>
      <c r="E1436" t="s">
        <v>15</v>
      </c>
      <c r="J1436" s="1">
        <v>46080</v>
      </c>
      <c r="K1436">
        <v>4</v>
      </c>
      <c r="L1436" t="s">
        <v>5957</v>
      </c>
      <c r="M1436">
        <v>14</v>
      </c>
      <c r="N1436" t="str">
        <f>VLOOKUP(M1436,[1]LOJA!$A:$B,2,0)</f>
        <v>S IA</v>
      </c>
      <c r="O1436">
        <v>54</v>
      </c>
      <c r="P1436" t="str">
        <f>VLOOKUP(O1436,[1]OPERADORES!$A:$B,2,0)</f>
        <v>ROBSON</v>
      </c>
      <c r="Q1436">
        <v>27</v>
      </c>
      <c r="R1436">
        <v>2000008978</v>
      </c>
      <c r="S1436" t="s">
        <v>51</v>
      </c>
      <c r="T1436" s="1">
        <v>46050</v>
      </c>
      <c r="U1436">
        <v>219.53</v>
      </c>
      <c r="V1436">
        <v>219.53</v>
      </c>
    </row>
    <row r="1437" spans="1:22" x14ac:dyDescent="0.3">
      <c r="A1437" t="s">
        <v>3513</v>
      </c>
      <c r="B1437" t="s">
        <v>3514</v>
      </c>
      <c r="C1437" t="s">
        <v>207</v>
      </c>
      <c r="D1437" t="s">
        <v>5955</v>
      </c>
      <c r="E1437" t="s">
        <v>15</v>
      </c>
      <c r="J1437" s="1">
        <v>46081</v>
      </c>
      <c r="K1437">
        <v>3</v>
      </c>
      <c r="L1437" t="s">
        <v>5958</v>
      </c>
      <c r="M1437">
        <v>14</v>
      </c>
      <c r="N1437" t="str">
        <f>VLOOKUP(M1437,[1]LOJA!$A:$B,2,0)</f>
        <v>S IA</v>
      </c>
      <c r="O1437">
        <v>54</v>
      </c>
      <c r="P1437" t="str">
        <f>VLOOKUP(O1437,[1]OPERADORES!$A:$B,2,0)</f>
        <v>ROBSON</v>
      </c>
      <c r="Q1437">
        <v>27</v>
      </c>
      <c r="R1437">
        <v>2000008981</v>
      </c>
      <c r="S1437" t="s">
        <v>87</v>
      </c>
      <c r="T1437" s="1">
        <v>46051</v>
      </c>
      <c r="U1437">
        <v>139.41</v>
      </c>
      <c r="V1437">
        <v>139.41</v>
      </c>
    </row>
    <row r="1438" spans="1:22" x14ac:dyDescent="0.3">
      <c r="A1438" t="s">
        <v>3513</v>
      </c>
      <c r="B1438" t="s">
        <v>3514</v>
      </c>
      <c r="C1438" t="s">
        <v>207</v>
      </c>
      <c r="D1438" t="s">
        <v>5955</v>
      </c>
      <c r="E1438" t="s">
        <v>15</v>
      </c>
      <c r="J1438" s="1">
        <v>46084</v>
      </c>
      <c r="K1438">
        <v>0</v>
      </c>
      <c r="L1438" t="s">
        <v>5959</v>
      </c>
      <c r="M1438">
        <v>14</v>
      </c>
      <c r="N1438" t="str">
        <f>VLOOKUP(M1438,[1]LOJA!$A:$B,2,0)</f>
        <v>S IA</v>
      </c>
      <c r="O1438">
        <v>212</v>
      </c>
      <c r="P1438" t="str">
        <f>VLOOKUP(O1438,[1]OPERADORES!$A:$B,2,0)</f>
        <v>YASMIN</v>
      </c>
      <c r="Q1438">
        <v>27</v>
      </c>
      <c r="R1438">
        <v>2000008887</v>
      </c>
      <c r="S1438" t="s">
        <v>55</v>
      </c>
      <c r="T1438" s="1">
        <v>45994</v>
      </c>
      <c r="U1438">
        <v>113.34</v>
      </c>
      <c r="V1438">
        <v>113.34</v>
      </c>
    </row>
    <row r="1439" spans="1:22" x14ac:dyDescent="0.3">
      <c r="A1439" t="s">
        <v>3518</v>
      </c>
      <c r="B1439" t="s">
        <v>32</v>
      </c>
      <c r="C1439" t="s">
        <v>13</v>
      </c>
      <c r="D1439" t="s">
        <v>3519</v>
      </c>
      <c r="E1439" t="s">
        <v>15</v>
      </c>
      <c r="J1439" s="1">
        <v>45497</v>
      </c>
      <c r="K1439">
        <v>587</v>
      </c>
      <c r="L1439" t="s">
        <v>3520</v>
      </c>
      <c r="M1439">
        <v>9</v>
      </c>
      <c r="N1439" t="str">
        <f>VLOOKUP(M1439,[1]LOJA!$A:$B,2,0)</f>
        <v>ÚNICA</v>
      </c>
      <c r="O1439">
        <v>223</v>
      </c>
      <c r="P1439" t="str">
        <f>VLOOKUP(O1439,[1]OPERADORES!$A:$B,2,0)</f>
        <v>WALBER TAVARES DA CONCEIÇÃO</v>
      </c>
      <c r="Q1439">
        <v>7</v>
      </c>
      <c r="S1439" t="s">
        <v>87</v>
      </c>
      <c r="T1439" s="1">
        <v>45467</v>
      </c>
      <c r="U1439">
        <v>950</v>
      </c>
      <c r="V1439">
        <v>950</v>
      </c>
    </row>
    <row r="1440" spans="1:22" x14ac:dyDescent="0.3">
      <c r="A1440" t="s">
        <v>3521</v>
      </c>
      <c r="B1440" t="s">
        <v>3522</v>
      </c>
      <c r="C1440" t="s">
        <v>13</v>
      </c>
      <c r="D1440" t="s">
        <v>5960</v>
      </c>
      <c r="E1440" t="s">
        <v>15</v>
      </c>
      <c r="J1440" s="1">
        <v>45863</v>
      </c>
      <c r="K1440">
        <v>221</v>
      </c>
      <c r="L1440" t="s">
        <v>3523</v>
      </c>
      <c r="M1440">
        <v>24</v>
      </c>
      <c r="N1440" t="str">
        <f>VLOOKUP(M1440,[1]LOJA!$A:$B,2,0)</f>
        <v>LUZIÂNIA</v>
      </c>
      <c r="O1440">
        <v>170</v>
      </c>
      <c r="P1440" t="str">
        <f>VLOOKUP(O1440,[1]OPERADORES!$A:$B,2,0)</f>
        <v>MARIA LUISA</v>
      </c>
      <c r="Q1440">
        <v>4</v>
      </c>
      <c r="S1440" t="s">
        <v>3524</v>
      </c>
      <c r="T1440" s="1">
        <v>45859</v>
      </c>
      <c r="U1440">
        <v>-7.66</v>
      </c>
      <c r="V1440">
        <v>-7.66</v>
      </c>
    </row>
    <row r="1441" spans="1:22" x14ac:dyDescent="0.3">
      <c r="A1441" t="s">
        <v>3521</v>
      </c>
      <c r="B1441" t="s">
        <v>3522</v>
      </c>
      <c r="C1441" t="s">
        <v>13</v>
      </c>
      <c r="D1441" t="s">
        <v>5960</v>
      </c>
      <c r="E1441" t="s">
        <v>15</v>
      </c>
      <c r="J1441" s="1">
        <v>45974</v>
      </c>
      <c r="K1441">
        <v>110</v>
      </c>
      <c r="L1441" t="s">
        <v>3525</v>
      </c>
      <c r="M1441">
        <v>6</v>
      </c>
      <c r="N1441" t="str">
        <f>VLOOKUP(M1441,[1]LOJA!$A:$B,2,0)</f>
        <v>GAMA</v>
      </c>
      <c r="O1441">
        <v>245</v>
      </c>
      <c r="P1441" t="str">
        <f>VLOOKUP(O1441,[1]OPERADORES!$A:$B,2,0)</f>
        <v>JOÃO PEDRO</v>
      </c>
      <c r="Q1441">
        <v>4</v>
      </c>
      <c r="S1441" t="s">
        <v>5961</v>
      </c>
      <c r="T1441" s="1">
        <v>45974</v>
      </c>
      <c r="U1441">
        <v>-190.19</v>
      </c>
      <c r="V1441">
        <v>-190.19</v>
      </c>
    </row>
    <row r="1442" spans="1:22" x14ac:dyDescent="0.3">
      <c r="A1442" t="s">
        <v>3521</v>
      </c>
      <c r="B1442" t="s">
        <v>3522</v>
      </c>
      <c r="C1442" t="s">
        <v>13</v>
      </c>
      <c r="D1442" t="s">
        <v>5960</v>
      </c>
      <c r="E1442" t="s">
        <v>15</v>
      </c>
      <c r="J1442" s="1">
        <v>46058</v>
      </c>
      <c r="K1442">
        <v>26</v>
      </c>
      <c r="L1442" t="s">
        <v>3526</v>
      </c>
      <c r="M1442">
        <v>6</v>
      </c>
      <c r="N1442" t="str">
        <f>VLOOKUP(M1442,[1]LOJA!$A:$B,2,0)</f>
        <v>GAMA</v>
      </c>
      <c r="O1442">
        <v>226</v>
      </c>
      <c r="P1442" t="str">
        <f>VLOOKUP(O1442,[1]OPERADORES!$A:$B,2,0)</f>
        <v>MARIA FÉLIX</v>
      </c>
      <c r="Q1442">
        <v>4</v>
      </c>
      <c r="S1442" t="s">
        <v>3527</v>
      </c>
      <c r="T1442" s="1">
        <v>46058</v>
      </c>
      <c r="U1442">
        <v>-1.35</v>
      </c>
      <c r="V1442">
        <v>-1.35</v>
      </c>
    </row>
    <row r="1443" spans="1:22" x14ac:dyDescent="0.3">
      <c r="A1443" t="s">
        <v>3528</v>
      </c>
      <c r="B1443" t="s">
        <v>3529</v>
      </c>
      <c r="C1443" t="s">
        <v>226</v>
      </c>
      <c r="D1443" t="s">
        <v>3530</v>
      </c>
      <c r="E1443" t="s">
        <v>15</v>
      </c>
      <c r="J1443" s="1">
        <v>44797</v>
      </c>
      <c r="K1443">
        <v>1287</v>
      </c>
      <c r="L1443" t="s">
        <v>3531</v>
      </c>
      <c r="M1443">
        <v>12</v>
      </c>
      <c r="N1443" t="str">
        <f>VLOOKUP(M1443,[1]LOJA!$A:$B,2,0)</f>
        <v>SOFNORTE</v>
      </c>
      <c r="O1443">
        <v>147</v>
      </c>
      <c r="P1443" t="str">
        <f>VLOOKUP(O1443,[1]OPERADORES!$A:$B,2,0)</f>
        <v>MICAELE DA CONCEIÇAO SILVA</v>
      </c>
      <c r="Q1443">
        <v>4</v>
      </c>
      <c r="S1443" t="s">
        <v>3532</v>
      </c>
      <c r="T1443" s="1">
        <v>44797</v>
      </c>
      <c r="U1443">
        <v>-6</v>
      </c>
      <c r="V1443">
        <v>-6</v>
      </c>
    </row>
    <row r="1444" spans="1:22" x14ac:dyDescent="0.3">
      <c r="A1444" t="s">
        <v>3533</v>
      </c>
      <c r="B1444" t="s">
        <v>3534</v>
      </c>
      <c r="C1444" t="s">
        <v>13</v>
      </c>
      <c r="D1444" t="s">
        <v>3535</v>
      </c>
      <c r="E1444" t="s">
        <v>15</v>
      </c>
      <c r="J1444" s="1">
        <v>45160</v>
      </c>
      <c r="K1444">
        <v>924</v>
      </c>
      <c r="L1444" t="s">
        <v>3536</v>
      </c>
      <c r="M1444">
        <v>9</v>
      </c>
      <c r="N1444" t="str">
        <f>VLOOKUP(M1444,[1]LOJA!$A:$B,2,0)</f>
        <v>ÚNICA</v>
      </c>
      <c r="O1444">
        <v>195</v>
      </c>
      <c r="P1444" t="str">
        <f>VLOOKUP(O1444,[1]OPERADORES!$A:$B,2,0)</f>
        <v xml:space="preserve">UILIAN ALMEIDA </v>
      </c>
      <c r="Q1444">
        <v>23</v>
      </c>
      <c r="R1444">
        <v>48250</v>
      </c>
      <c r="S1444" t="s">
        <v>3537</v>
      </c>
      <c r="T1444" s="1">
        <v>45139</v>
      </c>
      <c r="U1444">
        <v>436.91</v>
      </c>
      <c r="V1444">
        <v>436.91</v>
      </c>
    </row>
    <row r="1445" spans="1:22" x14ac:dyDescent="0.3">
      <c r="A1445" t="s">
        <v>3533</v>
      </c>
      <c r="B1445" t="s">
        <v>3534</v>
      </c>
      <c r="C1445" t="s">
        <v>13</v>
      </c>
      <c r="D1445" t="s">
        <v>3535</v>
      </c>
      <c r="E1445" t="s">
        <v>15</v>
      </c>
      <c r="J1445" s="1">
        <v>45183</v>
      </c>
      <c r="K1445">
        <v>901</v>
      </c>
      <c r="L1445" t="s">
        <v>3538</v>
      </c>
      <c r="M1445">
        <v>9</v>
      </c>
      <c r="N1445" t="str">
        <f>VLOOKUP(M1445,[1]LOJA!$A:$B,2,0)</f>
        <v>ÚNICA</v>
      </c>
      <c r="O1445">
        <v>196</v>
      </c>
      <c r="P1445" t="str">
        <f>VLOOKUP(O1445,[1]OPERADORES!$A:$B,2,0)</f>
        <v>KASSIANO MARCUS ALVES SILVA</v>
      </c>
      <c r="Q1445">
        <v>23</v>
      </c>
      <c r="R1445">
        <v>52633</v>
      </c>
      <c r="S1445" t="s">
        <v>51</v>
      </c>
      <c r="T1445" s="1">
        <v>45169</v>
      </c>
      <c r="U1445" s="2">
        <v>1877.78</v>
      </c>
      <c r="V1445" s="2">
        <v>1877.78</v>
      </c>
    </row>
    <row r="1446" spans="1:22" x14ac:dyDescent="0.3">
      <c r="A1446" t="s">
        <v>3533</v>
      </c>
      <c r="B1446" t="s">
        <v>3534</v>
      </c>
      <c r="C1446" t="s">
        <v>13</v>
      </c>
      <c r="D1446" t="s">
        <v>3535</v>
      </c>
      <c r="E1446" t="s">
        <v>15</v>
      </c>
      <c r="J1446" s="1">
        <v>45190</v>
      </c>
      <c r="K1446">
        <v>894</v>
      </c>
      <c r="L1446" t="s">
        <v>3539</v>
      </c>
      <c r="M1446">
        <v>9</v>
      </c>
      <c r="N1446" t="str">
        <f>VLOOKUP(M1446,[1]LOJA!$A:$B,2,0)</f>
        <v>ÚNICA</v>
      </c>
      <c r="O1446">
        <v>196</v>
      </c>
      <c r="P1446" t="str">
        <f>VLOOKUP(O1446,[1]OPERADORES!$A:$B,2,0)</f>
        <v>KASSIANO MARCUS ALVES SILVA</v>
      </c>
      <c r="Q1446">
        <v>23</v>
      </c>
      <c r="R1446">
        <v>52641</v>
      </c>
      <c r="S1446" t="s">
        <v>53</v>
      </c>
      <c r="T1446" s="1">
        <v>45169</v>
      </c>
      <c r="U1446" s="2">
        <v>1877.78</v>
      </c>
      <c r="V1446" s="2">
        <v>1877.78</v>
      </c>
    </row>
    <row r="1447" spans="1:22" x14ac:dyDescent="0.3">
      <c r="A1447" t="s">
        <v>3533</v>
      </c>
      <c r="B1447" t="s">
        <v>3534</v>
      </c>
      <c r="C1447" t="s">
        <v>13</v>
      </c>
      <c r="D1447" t="s">
        <v>3535</v>
      </c>
      <c r="E1447" t="s">
        <v>15</v>
      </c>
      <c r="J1447" s="1">
        <v>45197</v>
      </c>
      <c r="K1447">
        <v>887</v>
      </c>
      <c r="L1447" t="s">
        <v>3540</v>
      </c>
      <c r="M1447">
        <v>9</v>
      </c>
      <c r="N1447" t="str">
        <f>VLOOKUP(M1447,[1]LOJA!$A:$B,2,0)</f>
        <v>ÚNICA</v>
      </c>
      <c r="O1447">
        <v>196</v>
      </c>
      <c r="P1447" t="str">
        <f>VLOOKUP(O1447,[1]OPERADORES!$A:$B,2,0)</f>
        <v>KASSIANO MARCUS ALVES SILVA</v>
      </c>
      <c r="Q1447">
        <v>23</v>
      </c>
      <c r="R1447">
        <v>52658</v>
      </c>
      <c r="S1447" t="s">
        <v>55</v>
      </c>
      <c r="T1447" s="1">
        <v>45169</v>
      </c>
      <c r="U1447" s="2">
        <v>1877.78</v>
      </c>
      <c r="V1447" s="2">
        <v>1877.78</v>
      </c>
    </row>
    <row r="1448" spans="1:22" x14ac:dyDescent="0.3">
      <c r="A1448" t="s">
        <v>3533</v>
      </c>
      <c r="B1448" t="s">
        <v>3534</v>
      </c>
      <c r="C1448" t="s">
        <v>13</v>
      </c>
      <c r="D1448" t="s">
        <v>3535</v>
      </c>
      <c r="E1448" t="s">
        <v>15</v>
      </c>
      <c r="J1448" s="1">
        <v>45212</v>
      </c>
      <c r="K1448">
        <v>872</v>
      </c>
      <c r="L1448" t="s">
        <v>3541</v>
      </c>
      <c r="M1448">
        <v>9</v>
      </c>
      <c r="N1448" t="str">
        <f>VLOOKUP(M1448,[1]LOJA!$A:$B,2,0)</f>
        <v>ÚNICA</v>
      </c>
      <c r="O1448">
        <v>196</v>
      </c>
      <c r="P1448" t="str">
        <f>VLOOKUP(O1448,[1]OPERADORES!$A:$B,2,0)</f>
        <v>KASSIANO MARCUS ALVES SILVA</v>
      </c>
      <c r="Q1448">
        <v>23</v>
      </c>
      <c r="R1448">
        <v>56501</v>
      </c>
      <c r="S1448" t="s">
        <v>51</v>
      </c>
      <c r="T1448" s="1">
        <v>45198</v>
      </c>
      <c r="U1448">
        <v>884.4</v>
      </c>
      <c r="V1448">
        <v>884.4</v>
      </c>
    </row>
    <row r="1449" spans="1:22" x14ac:dyDescent="0.3">
      <c r="A1449" t="s">
        <v>3533</v>
      </c>
      <c r="B1449" t="s">
        <v>3534</v>
      </c>
      <c r="C1449" t="s">
        <v>13</v>
      </c>
      <c r="D1449" t="s">
        <v>3535</v>
      </c>
      <c r="E1449" t="s">
        <v>15</v>
      </c>
      <c r="J1449" s="1">
        <v>45219</v>
      </c>
      <c r="K1449">
        <v>865</v>
      </c>
      <c r="L1449" t="s">
        <v>3542</v>
      </c>
      <c r="M1449">
        <v>9</v>
      </c>
      <c r="N1449" t="str">
        <f>VLOOKUP(M1449,[1]LOJA!$A:$B,2,0)</f>
        <v>ÚNICA</v>
      </c>
      <c r="O1449">
        <v>196</v>
      </c>
      <c r="P1449" t="str">
        <f>VLOOKUP(O1449,[1]OPERADORES!$A:$B,2,0)</f>
        <v>KASSIANO MARCUS ALVES SILVA</v>
      </c>
      <c r="Q1449">
        <v>23</v>
      </c>
      <c r="R1449">
        <v>56519</v>
      </c>
      <c r="S1449" t="s">
        <v>53</v>
      </c>
      <c r="T1449" s="1">
        <v>45198</v>
      </c>
      <c r="U1449">
        <v>884.4</v>
      </c>
      <c r="V1449">
        <v>884.4</v>
      </c>
    </row>
    <row r="1450" spans="1:22" x14ac:dyDescent="0.3">
      <c r="A1450" t="s">
        <v>3533</v>
      </c>
      <c r="B1450" t="s">
        <v>3534</v>
      </c>
      <c r="C1450" t="s">
        <v>13</v>
      </c>
      <c r="D1450" t="s">
        <v>3535</v>
      </c>
      <c r="E1450" t="s">
        <v>15</v>
      </c>
      <c r="J1450" s="1">
        <v>45226</v>
      </c>
      <c r="K1450">
        <v>858</v>
      </c>
      <c r="L1450" t="s">
        <v>3543</v>
      </c>
      <c r="M1450">
        <v>9</v>
      </c>
      <c r="N1450" t="str">
        <f>VLOOKUP(M1450,[1]LOJA!$A:$B,2,0)</f>
        <v>ÚNICA</v>
      </c>
      <c r="O1450">
        <v>196</v>
      </c>
      <c r="P1450" t="str">
        <f>VLOOKUP(O1450,[1]OPERADORES!$A:$B,2,0)</f>
        <v>KASSIANO MARCUS ALVES SILVA</v>
      </c>
      <c r="Q1450">
        <v>23</v>
      </c>
      <c r="R1450">
        <v>56527</v>
      </c>
      <c r="S1450" t="s">
        <v>55</v>
      </c>
      <c r="T1450" s="1">
        <v>45198</v>
      </c>
      <c r="U1450">
        <v>884.39</v>
      </c>
      <c r="V1450">
        <v>884.39</v>
      </c>
    </row>
    <row r="1451" spans="1:22" x14ac:dyDescent="0.3">
      <c r="A1451" t="s">
        <v>3544</v>
      </c>
      <c r="B1451" t="s">
        <v>3545</v>
      </c>
      <c r="C1451" t="s">
        <v>324</v>
      </c>
      <c r="D1451" t="s">
        <v>5962</v>
      </c>
      <c r="E1451" t="s">
        <v>15</v>
      </c>
      <c r="J1451" s="1">
        <v>45534</v>
      </c>
      <c r="K1451">
        <v>550</v>
      </c>
      <c r="L1451" t="s">
        <v>3546</v>
      </c>
      <c r="M1451">
        <v>9</v>
      </c>
      <c r="N1451" t="str">
        <f>VLOOKUP(M1451,[1]LOJA!$A:$B,2,0)</f>
        <v>ÚNICA</v>
      </c>
      <c r="O1451">
        <v>145</v>
      </c>
      <c r="P1451" t="str">
        <f>VLOOKUP(O1451,[1]OPERADORES!$A:$B,2,0)</f>
        <v xml:space="preserve">FABRICIA </v>
      </c>
      <c r="Q1451">
        <v>4</v>
      </c>
      <c r="S1451" t="s">
        <v>3547</v>
      </c>
      <c r="T1451" s="1">
        <v>45534</v>
      </c>
      <c r="U1451">
        <v>-793.88</v>
      </c>
      <c r="V1451">
        <v>-793.88</v>
      </c>
    </row>
    <row r="1452" spans="1:22" x14ac:dyDescent="0.3">
      <c r="A1452" t="s">
        <v>3548</v>
      </c>
      <c r="B1452" t="s">
        <v>3549</v>
      </c>
      <c r="C1452" t="s">
        <v>13</v>
      </c>
      <c r="D1452" t="s">
        <v>5963</v>
      </c>
      <c r="E1452" t="s">
        <v>15</v>
      </c>
      <c r="J1452" s="1">
        <v>45883</v>
      </c>
      <c r="K1452">
        <v>201</v>
      </c>
      <c r="L1452" t="s">
        <v>3550</v>
      </c>
      <c r="M1452">
        <v>24</v>
      </c>
      <c r="N1452" t="str">
        <f>VLOOKUP(M1452,[1]LOJA!$A:$B,2,0)</f>
        <v>LUZIÂNIA</v>
      </c>
      <c r="O1452">
        <v>170</v>
      </c>
      <c r="P1452" t="str">
        <f>VLOOKUP(O1452,[1]OPERADORES!$A:$B,2,0)</f>
        <v>MARIA LUISA</v>
      </c>
      <c r="Q1452">
        <v>4</v>
      </c>
      <c r="S1452" t="s">
        <v>3551</v>
      </c>
      <c r="T1452" s="1">
        <v>45883</v>
      </c>
      <c r="U1452">
        <v>-0.5</v>
      </c>
      <c r="V1452">
        <v>-0.5</v>
      </c>
    </row>
    <row r="1453" spans="1:22" x14ac:dyDescent="0.3">
      <c r="A1453" t="s">
        <v>3548</v>
      </c>
      <c r="B1453" t="s">
        <v>3549</v>
      </c>
      <c r="C1453" t="s">
        <v>13</v>
      </c>
      <c r="D1453" t="s">
        <v>5963</v>
      </c>
      <c r="E1453" t="s">
        <v>15</v>
      </c>
      <c r="J1453" s="1">
        <v>45912</v>
      </c>
      <c r="K1453">
        <v>172</v>
      </c>
      <c r="L1453" t="s">
        <v>3552</v>
      </c>
      <c r="M1453">
        <v>24</v>
      </c>
      <c r="N1453" t="str">
        <f>VLOOKUP(M1453,[1]LOJA!$A:$B,2,0)</f>
        <v>LUZIÂNIA</v>
      </c>
      <c r="O1453">
        <v>98</v>
      </c>
      <c r="P1453" t="str">
        <f>VLOOKUP(O1453,[1]OPERADORES!$A:$B,2,0)</f>
        <v xml:space="preserve">ARIGLEICE </v>
      </c>
      <c r="Q1453">
        <v>4</v>
      </c>
      <c r="S1453" t="s">
        <v>110</v>
      </c>
      <c r="T1453" s="1">
        <v>45912</v>
      </c>
      <c r="U1453">
        <v>-8</v>
      </c>
      <c r="V1453">
        <v>-8</v>
      </c>
    </row>
    <row r="1454" spans="1:22" x14ac:dyDescent="0.3">
      <c r="A1454" t="s">
        <v>3548</v>
      </c>
      <c r="B1454" t="s">
        <v>3549</v>
      </c>
      <c r="C1454" t="s">
        <v>13</v>
      </c>
      <c r="D1454" t="s">
        <v>5963</v>
      </c>
      <c r="E1454" t="s">
        <v>15</v>
      </c>
      <c r="J1454" s="1">
        <v>46077</v>
      </c>
      <c r="K1454">
        <v>7</v>
      </c>
      <c r="L1454" t="s">
        <v>5964</v>
      </c>
      <c r="M1454">
        <v>24</v>
      </c>
      <c r="N1454" t="str">
        <f>VLOOKUP(M1454,[1]LOJA!$A:$B,2,0)</f>
        <v>LUZIÂNIA</v>
      </c>
      <c r="O1454">
        <v>170</v>
      </c>
      <c r="P1454" t="str">
        <f>VLOOKUP(O1454,[1]OPERADORES!$A:$B,2,0)</f>
        <v>MARIA LUISA</v>
      </c>
      <c r="Q1454">
        <v>4</v>
      </c>
      <c r="S1454" t="s">
        <v>3551</v>
      </c>
      <c r="T1454" s="1">
        <v>46077</v>
      </c>
      <c r="U1454">
        <v>-10</v>
      </c>
      <c r="V1454">
        <v>-10</v>
      </c>
    </row>
    <row r="1455" spans="1:22" x14ac:dyDescent="0.3">
      <c r="A1455" t="s">
        <v>3553</v>
      </c>
      <c r="B1455" t="s">
        <v>3554</v>
      </c>
      <c r="C1455" t="s">
        <v>13</v>
      </c>
      <c r="D1455" t="s">
        <v>1449</v>
      </c>
      <c r="E1455" t="s">
        <v>15</v>
      </c>
      <c r="J1455" s="1">
        <v>45545</v>
      </c>
      <c r="K1455">
        <v>539</v>
      </c>
      <c r="L1455" t="s">
        <v>3555</v>
      </c>
      <c r="M1455">
        <v>4</v>
      </c>
      <c r="N1455" t="str">
        <f>VLOOKUP(M1455,[1]LOJA!$A:$B,2,0)</f>
        <v>ADE</v>
      </c>
      <c r="O1455">
        <v>226</v>
      </c>
      <c r="P1455" t="str">
        <f>VLOOKUP(O1455,[1]OPERADORES!$A:$B,2,0)</f>
        <v>MARIA FÉLIX</v>
      </c>
      <c r="Q1455">
        <v>4</v>
      </c>
      <c r="S1455" t="s">
        <v>3556</v>
      </c>
      <c r="T1455" s="1">
        <v>45545</v>
      </c>
      <c r="U1455">
        <v>-0.62</v>
      </c>
      <c r="V1455">
        <v>-0.62</v>
      </c>
    </row>
    <row r="1456" spans="1:22" x14ac:dyDescent="0.3">
      <c r="A1456" t="s">
        <v>5965</v>
      </c>
      <c r="B1456" t="s">
        <v>5966</v>
      </c>
      <c r="C1456" t="s">
        <v>13</v>
      </c>
      <c r="D1456" t="s">
        <v>5967</v>
      </c>
      <c r="E1456" t="s">
        <v>15</v>
      </c>
      <c r="J1456" s="1">
        <v>46066</v>
      </c>
      <c r="K1456">
        <v>18</v>
      </c>
      <c r="L1456" t="s">
        <v>5968</v>
      </c>
      <c r="M1456">
        <v>6</v>
      </c>
      <c r="N1456" t="str">
        <f>VLOOKUP(M1456,[1]LOJA!$A:$B,2,0)</f>
        <v>GAMA</v>
      </c>
      <c r="O1456">
        <v>245</v>
      </c>
      <c r="P1456" t="str">
        <f>VLOOKUP(O1456,[1]OPERADORES!$A:$B,2,0)</f>
        <v>JOÃO PEDRO</v>
      </c>
      <c r="Q1456">
        <v>4</v>
      </c>
      <c r="S1456" t="s">
        <v>5969</v>
      </c>
      <c r="T1456" s="1">
        <v>46066</v>
      </c>
      <c r="U1456">
        <v>-30</v>
      </c>
      <c r="V1456">
        <v>-30</v>
      </c>
    </row>
    <row r="1457" spans="1:22" x14ac:dyDescent="0.3">
      <c r="A1457" t="s">
        <v>5970</v>
      </c>
      <c r="B1457" t="s">
        <v>5971</v>
      </c>
      <c r="C1457" t="s">
        <v>226</v>
      </c>
      <c r="D1457" t="s">
        <v>5972</v>
      </c>
      <c r="E1457" t="s">
        <v>15</v>
      </c>
      <c r="J1457" s="1">
        <v>46084</v>
      </c>
      <c r="K1457">
        <v>0</v>
      </c>
      <c r="L1457" t="s">
        <v>5973</v>
      </c>
      <c r="M1457">
        <v>9</v>
      </c>
      <c r="N1457" t="str">
        <f>VLOOKUP(M1457,[1]LOJA!$A:$B,2,0)</f>
        <v>ÚNICA</v>
      </c>
      <c r="O1457">
        <v>197</v>
      </c>
      <c r="P1457" t="str">
        <f>VLOOKUP(O1457,[1]OPERADORES!$A:$B,2,0)</f>
        <v xml:space="preserve">POLIANA LORRANE DE AMORIM </v>
      </c>
      <c r="Q1457">
        <v>7</v>
      </c>
      <c r="S1457" t="s">
        <v>87</v>
      </c>
      <c r="T1457" s="1">
        <v>46083</v>
      </c>
      <c r="U1457">
        <v>863.47</v>
      </c>
      <c r="V1457">
        <v>863.47</v>
      </c>
    </row>
    <row r="1458" spans="1:22" x14ac:dyDescent="0.3">
      <c r="A1458" t="s">
        <v>3557</v>
      </c>
      <c r="B1458" t="s">
        <v>3558</v>
      </c>
      <c r="C1458" t="s">
        <v>13</v>
      </c>
      <c r="D1458" t="s">
        <v>2089</v>
      </c>
      <c r="E1458" t="s">
        <v>15</v>
      </c>
      <c r="J1458" s="1">
        <v>44433</v>
      </c>
      <c r="K1458">
        <v>1651</v>
      </c>
      <c r="L1458" t="s">
        <v>3559</v>
      </c>
      <c r="M1458">
        <v>1</v>
      </c>
      <c r="N1458" t="str">
        <f>VLOOKUP(M1458,[1]LOJA!$A:$B,2,0)</f>
        <v>GUARÁ</v>
      </c>
      <c r="O1458">
        <v>93</v>
      </c>
      <c r="P1458" t="str">
        <f>VLOOKUP(O1458,[1]OPERADORES!$A:$B,2,0)</f>
        <v>PATRICIA</v>
      </c>
      <c r="Q1458">
        <v>4</v>
      </c>
      <c r="S1458" t="s">
        <v>3560</v>
      </c>
      <c r="T1458" s="1">
        <v>44433</v>
      </c>
      <c r="U1458">
        <v>-0.24</v>
      </c>
      <c r="V1458">
        <v>-0.24</v>
      </c>
    </row>
    <row r="1459" spans="1:22" x14ac:dyDescent="0.3">
      <c r="A1459" t="s">
        <v>3561</v>
      </c>
      <c r="B1459" t="s">
        <v>3562</v>
      </c>
      <c r="C1459" t="s">
        <v>13</v>
      </c>
      <c r="D1459" t="s">
        <v>3563</v>
      </c>
      <c r="E1459" t="s">
        <v>15</v>
      </c>
      <c r="J1459" s="1">
        <v>44696</v>
      </c>
      <c r="K1459">
        <v>1388</v>
      </c>
      <c r="L1459" t="s">
        <v>3564</v>
      </c>
      <c r="M1459">
        <v>9</v>
      </c>
      <c r="N1459" t="str">
        <f>VLOOKUP(M1459,[1]LOJA!$A:$B,2,0)</f>
        <v>ÚNICA</v>
      </c>
      <c r="O1459">
        <v>94</v>
      </c>
      <c r="P1459" t="str">
        <f>VLOOKUP(O1459,[1]OPERADORES!$A:$B,2,0)</f>
        <v>VANESSA KOBELUS</v>
      </c>
      <c r="Q1459">
        <v>23</v>
      </c>
      <c r="R1459">
        <v>18444</v>
      </c>
      <c r="S1459" t="s">
        <v>55</v>
      </c>
      <c r="T1459" s="1">
        <v>44606</v>
      </c>
      <c r="U1459">
        <v>524.21</v>
      </c>
      <c r="V1459">
        <v>524.21</v>
      </c>
    </row>
    <row r="1460" spans="1:22" x14ac:dyDescent="0.3">
      <c r="A1460" t="s">
        <v>3561</v>
      </c>
      <c r="B1460" t="s">
        <v>3562</v>
      </c>
      <c r="C1460" t="s">
        <v>13</v>
      </c>
      <c r="D1460" t="s">
        <v>3563</v>
      </c>
      <c r="E1460" t="s">
        <v>15</v>
      </c>
      <c r="J1460" s="1">
        <v>44696</v>
      </c>
      <c r="K1460">
        <v>1388</v>
      </c>
      <c r="L1460" t="s">
        <v>3565</v>
      </c>
      <c r="M1460">
        <v>9</v>
      </c>
      <c r="N1460" t="str">
        <f>VLOOKUP(M1460,[1]LOJA!$A:$B,2,0)</f>
        <v>ÚNICA</v>
      </c>
      <c r="O1460">
        <v>94</v>
      </c>
      <c r="P1460" t="str">
        <f>VLOOKUP(O1460,[1]OPERADORES!$A:$B,2,0)</f>
        <v>VANESSA KOBELUS</v>
      </c>
      <c r="Q1460">
        <v>23</v>
      </c>
      <c r="R1460">
        <v>18477</v>
      </c>
      <c r="S1460" t="s">
        <v>55</v>
      </c>
      <c r="T1460" s="1">
        <v>44606</v>
      </c>
      <c r="U1460">
        <v>110.83</v>
      </c>
      <c r="V1460">
        <v>110.83</v>
      </c>
    </row>
    <row r="1461" spans="1:22" x14ac:dyDescent="0.3">
      <c r="A1461" t="s">
        <v>3561</v>
      </c>
      <c r="B1461" t="s">
        <v>3562</v>
      </c>
      <c r="C1461" t="s">
        <v>13</v>
      </c>
      <c r="D1461" t="s">
        <v>3563</v>
      </c>
      <c r="E1461" t="s">
        <v>15</v>
      </c>
      <c r="J1461" s="1">
        <v>44697</v>
      </c>
      <c r="K1461">
        <v>1387</v>
      </c>
      <c r="L1461" t="s">
        <v>3566</v>
      </c>
      <c r="M1461">
        <v>9</v>
      </c>
      <c r="N1461" t="str">
        <f>VLOOKUP(M1461,[1]LOJA!$A:$B,2,0)</f>
        <v>ÚNICA</v>
      </c>
      <c r="O1461">
        <v>94</v>
      </c>
      <c r="P1461" t="str">
        <f>VLOOKUP(O1461,[1]OPERADORES!$A:$B,2,0)</f>
        <v>VANESSA KOBELUS</v>
      </c>
      <c r="Q1461">
        <v>23</v>
      </c>
      <c r="R1461">
        <v>18519</v>
      </c>
      <c r="S1461" t="s">
        <v>55</v>
      </c>
      <c r="T1461" s="1">
        <v>44607</v>
      </c>
      <c r="U1461">
        <v>322.48</v>
      </c>
      <c r="V1461">
        <v>322.48</v>
      </c>
    </row>
    <row r="1462" spans="1:22" x14ac:dyDescent="0.3">
      <c r="A1462" t="s">
        <v>3561</v>
      </c>
      <c r="B1462" t="s">
        <v>3562</v>
      </c>
      <c r="C1462" t="s">
        <v>13</v>
      </c>
      <c r="D1462" t="s">
        <v>3563</v>
      </c>
      <c r="E1462" t="s">
        <v>15</v>
      </c>
      <c r="J1462" s="1">
        <v>44697</v>
      </c>
      <c r="K1462">
        <v>1387</v>
      </c>
      <c r="L1462" t="s">
        <v>3567</v>
      </c>
      <c r="M1462">
        <v>9</v>
      </c>
      <c r="N1462" t="str">
        <f>VLOOKUP(M1462,[1]LOJA!$A:$B,2,0)</f>
        <v>ÚNICA</v>
      </c>
      <c r="O1462">
        <v>94</v>
      </c>
      <c r="P1462" t="str">
        <f>VLOOKUP(O1462,[1]OPERADORES!$A:$B,2,0)</f>
        <v>VANESSA KOBELUS</v>
      </c>
      <c r="Q1462">
        <v>23</v>
      </c>
      <c r="R1462">
        <v>18543</v>
      </c>
      <c r="S1462" t="s">
        <v>55</v>
      </c>
      <c r="T1462" s="1">
        <v>44607</v>
      </c>
      <c r="U1462">
        <v>87.89</v>
      </c>
      <c r="V1462">
        <v>87.89</v>
      </c>
    </row>
    <row r="1463" spans="1:22" x14ac:dyDescent="0.3">
      <c r="A1463" t="s">
        <v>3561</v>
      </c>
      <c r="B1463" t="s">
        <v>3562</v>
      </c>
      <c r="C1463" t="s">
        <v>13</v>
      </c>
      <c r="D1463" t="s">
        <v>3563</v>
      </c>
      <c r="E1463" t="s">
        <v>15</v>
      </c>
      <c r="J1463" s="1">
        <v>44698</v>
      </c>
      <c r="K1463">
        <v>1386</v>
      </c>
      <c r="L1463" t="s">
        <v>3568</v>
      </c>
      <c r="M1463">
        <v>9</v>
      </c>
      <c r="N1463" t="str">
        <f>VLOOKUP(M1463,[1]LOJA!$A:$B,2,0)</f>
        <v>ÚNICA</v>
      </c>
      <c r="O1463">
        <v>94</v>
      </c>
      <c r="P1463" t="str">
        <f>VLOOKUP(O1463,[1]OPERADORES!$A:$B,2,0)</f>
        <v>VANESSA KOBELUS</v>
      </c>
      <c r="Q1463">
        <v>23</v>
      </c>
      <c r="R1463">
        <v>18592</v>
      </c>
      <c r="S1463" t="s">
        <v>55</v>
      </c>
      <c r="T1463" s="1">
        <v>44608</v>
      </c>
      <c r="U1463">
        <v>237.43</v>
      </c>
      <c r="V1463">
        <v>237.43</v>
      </c>
    </row>
    <row r="1464" spans="1:22" x14ac:dyDescent="0.3">
      <c r="A1464" t="s">
        <v>3561</v>
      </c>
      <c r="B1464" t="s">
        <v>3562</v>
      </c>
      <c r="C1464" t="s">
        <v>13</v>
      </c>
      <c r="D1464" t="s">
        <v>3563</v>
      </c>
      <c r="E1464" t="s">
        <v>15</v>
      </c>
      <c r="J1464" s="1">
        <v>44700</v>
      </c>
      <c r="K1464">
        <v>1384</v>
      </c>
      <c r="L1464" t="s">
        <v>3569</v>
      </c>
      <c r="M1464">
        <v>9</v>
      </c>
      <c r="N1464" t="str">
        <f>VLOOKUP(M1464,[1]LOJA!$A:$B,2,0)</f>
        <v>ÚNICA</v>
      </c>
      <c r="O1464">
        <v>94</v>
      </c>
      <c r="P1464" t="str">
        <f>VLOOKUP(O1464,[1]OPERADORES!$A:$B,2,0)</f>
        <v>VANESSA KOBELUS</v>
      </c>
      <c r="Q1464">
        <v>23</v>
      </c>
      <c r="R1464">
        <v>18766</v>
      </c>
      <c r="S1464" t="s">
        <v>55</v>
      </c>
      <c r="T1464" s="1">
        <v>44610</v>
      </c>
      <c r="U1464">
        <v>412.45</v>
      </c>
      <c r="V1464">
        <v>412.45</v>
      </c>
    </row>
    <row r="1465" spans="1:22" x14ac:dyDescent="0.3">
      <c r="A1465" t="s">
        <v>3561</v>
      </c>
      <c r="B1465" t="s">
        <v>3562</v>
      </c>
      <c r="C1465" t="s">
        <v>13</v>
      </c>
      <c r="D1465" t="s">
        <v>3563</v>
      </c>
      <c r="E1465" t="s">
        <v>15</v>
      </c>
      <c r="J1465" s="1">
        <v>44700</v>
      </c>
      <c r="K1465">
        <v>1384</v>
      </c>
      <c r="L1465" t="s">
        <v>3570</v>
      </c>
      <c r="M1465">
        <v>9</v>
      </c>
      <c r="N1465" t="str">
        <f>VLOOKUP(M1465,[1]LOJA!$A:$B,2,0)</f>
        <v>ÚNICA</v>
      </c>
      <c r="O1465">
        <v>176</v>
      </c>
      <c r="P1465" t="str">
        <f>VLOOKUP(O1465,[1]OPERADORES!$A:$B,2,0)</f>
        <v>EDUARDO DE JESUS BALDUINO</v>
      </c>
      <c r="Q1465">
        <v>23</v>
      </c>
      <c r="R1465">
        <v>21349</v>
      </c>
      <c r="S1465" t="s">
        <v>51</v>
      </c>
      <c r="T1465" s="1">
        <v>44670</v>
      </c>
      <c r="U1465">
        <v>84.89</v>
      </c>
      <c r="V1465">
        <v>84.89</v>
      </c>
    </row>
    <row r="1466" spans="1:22" x14ac:dyDescent="0.3">
      <c r="A1466" t="s">
        <v>3561</v>
      </c>
      <c r="B1466" t="s">
        <v>3562</v>
      </c>
      <c r="C1466" t="s">
        <v>13</v>
      </c>
      <c r="D1466" t="s">
        <v>3563</v>
      </c>
      <c r="E1466" t="s">
        <v>15</v>
      </c>
      <c r="J1466" s="1">
        <v>44700</v>
      </c>
      <c r="K1466">
        <v>1384</v>
      </c>
      <c r="L1466" t="s">
        <v>3571</v>
      </c>
      <c r="M1466">
        <v>9</v>
      </c>
      <c r="N1466" t="str">
        <f>VLOOKUP(M1466,[1]LOJA!$A:$B,2,0)</f>
        <v>ÚNICA</v>
      </c>
      <c r="O1466">
        <v>176</v>
      </c>
      <c r="P1466" t="str">
        <f>VLOOKUP(O1466,[1]OPERADORES!$A:$B,2,0)</f>
        <v>EDUARDO DE JESUS BALDUINO</v>
      </c>
      <c r="Q1466">
        <v>23</v>
      </c>
      <c r="R1466">
        <v>21372</v>
      </c>
      <c r="S1466" t="s">
        <v>51</v>
      </c>
      <c r="T1466" s="1">
        <v>44670</v>
      </c>
      <c r="U1466">
        <v>75.55</v>
      </c>
      <c r="V1466">
        <v>75.55</v>
      </c>
    </row>
    <row r="1467" spans="1:22" x14ac:dyDescent="0.3">
      <c r="A1467" t="s">
        <v>3561</v>
      </c>
      <c r="B1467" t="s">
        <v>3562</v>
      </c>
      <c r="C1467" t="s">
        <v>13</v>
      </c>
      <c r="D1467" t="s">
        <v>3563</v>
      </c>
      <c r="E1467" t="s">
        <v>15</v>
      </c>
      <c r="J1467" s="1">
        <v>44701</v>
      </c>
      <c r="K1467">
        <v>1383</v>
      </c>
      <c r="L1467" t="s">
        <v>3572</v>
      </c>
      <c r="M1467">
        <v>9</v>
      </c>
      <c r="N1467" t="str">
        <f>VLOOKUP(M1467,[1]LOJA!$A:$B,2,0)</f>
        <v>ÚNICA</v>
      </c>
      <c r="O1467">
        <v>176</v>
      </c>
      <c r="P1467" t="str">
        <f>VLOOKUP(O1467,[1]OPERADORES!$A:$B,2,0)</f>
        <v>EDUARDO DE JESUS BALDUINO</v>
      </c>
      <c r="Q1467">
        <v>23</v>
      </c>
      <c r="R1467">
        <v>19855</v>
      </c>
      <c r="S1467" t="s">
        <v>53</v>
      </c>
      <c r="T1467" s="1">
        <v>44641</v>
      </c>
      <c r="U1467">
        <v>415.91</v>
      </c>
      <c r="V1467">
        <v>415.91</v>
      </c>
    </row>
    <row r="1468" spans="1:22" x14ac:dyDescent="0.3">
      <c r="A1468" t="s">
        <v>3561</v>
      </c>
      <c r="B1468" t="s">
        <v>3562</v>
      </c>
      <c r="C1468" t="s">
        <v>13</v>
      </c>
      <c r="D1468" t="s">
        <v>3563</v>
      </c>
      <c r="E1468" t="s">
        <v>15</v>
      </c>
      <c r="J1468" s="1">
        <v>44702</v>
      </c>
      <c r="K1468">
        <v>1382</v>
      </c>
      <c r="L1468" t="s">
        <v>3573</v>
      </c>
      <c r="M1468">
        <v>9</v>
      </c>
      <c r="N1468" t="str">
        <f>VLOOKUP(M1468,[1]LOJA!$A:$B,2,0)</f>
        <v>ÚNICA</v>
      </c>
      <c r="O1468">
        <v>176</v>
      </c>
      <c r="P1468" t="str">
        <f>VLOOKUP(O1468,[1]OPERADORES!$A:$B,2,0)</f>
        <v>EDUARDO DE JESUS BALDUINO</v>
      </c>
      <c r="Q1468">
        <v>23</v>
      </c>
      <c r="R1468">
        <v>20044</v>
      </c>
      <c r="S1468" t="s">
        <v>53</v>
      </c>
      <c r="T1468" s="1">
        <v>44642</v>
      </c>
      <c r="U1468" s="2">
        <v>2208.91</v>
      </c>
      <c r="V1468" s="2">
        <v>2208.91</v>
      </c>
    </row>
    <row r="1469" spans="1:22" x14ac:dyDescent="0.3">
      <c r="A1469" t="s">
        <v>3561</v>
      </c>
      <c r="B1469" t="s">
        <v>3562</v>
      </c>
      <c r="C1469" t="s">
        <v>13</v>
      </c>
      <c r="D1469" t="s">
        <v>3563</v>
      </c>
      <c r="E1469" t="s">
        <v>15</v>
      </c>
      <c r="J1469" s="1">
        <v>44703</v>
      </c>
      <c r="K1469">
        <v>1381</v>
      </c>
      <c r="L1469" t="s">
        <v>3574</v>
      </c>
      <c r="M1469">
        <v>9</v>
      </c>
      <c r="N1469" t="str">
        <f>VLOOKUP(M1469,[1]LOJA!$A:$B,2,0)</f>
        <v>ÚNICA</v>
      </c>
      <c r="O1469">
        <v>94</v>
      </c>
      <c r="P1469" t="str">
        <f>VLOOKUP(O1469,[1]OPERADORES!$A:$B,2,0)</f>
        <v>VANESSA KOBELUS</v>
      </c>
      <c r="Q1469">
        <v>23</v>
      </c>
      <c r="R1469">
        <v>18808</v>
      </c>
      <c r="S1469" t="s">
        <v>55</v>
      </c>
      <c r="T1469" s="1">
        <v>44613</v>
      </c>
      <c r="U1469">
        <v>113.76</v>
      </c>
      <c r="V1469">
        <v>113.76</v>
      </c>
    </row>
    <row r="1470" spans="1:22" x14ac:dyDescent="0.3">
      <c r="A1470" t="s">
        <v>3561</v>
      </c>
      <c r="B1470" t="s">
        <v>3562</v>
      </c>
      <c r="C1470" t="s">
        <v>13</v>
      </c>
      <c r="D1470" t="s">
        <v>3563</v>
      </c>
      <c r="E1470" t="s">
        <v>15</v>
      </c>
      <c r="J1470" s="1">
        <v>44704</v>
      </c>
      <c r="K1470">
        <v>1380</v>
      </c>
      <c r="L1470" t="s">
        <v>3575</v>
      </c>
      <c r="M1470">
        <v>9</v>
      </c>
      <c r="N1470" t="str">
        <f>VLOOKUP(M1470,[1]LOJA!$A:$B,2,0)</f>
        <v>ÚNICA</v>
      </c>
      <c r="O1470">
        <v>94</v>
      </c>
      <c r="P1470" t="str">
        <f>VLOOKUP(O1470,[1]OPERADORES!$A:$B,2,0)</f>
        <v>VANESSA KOBELUS</v>
      </c>
      <c r="Q1470">
        <v>23</v>
      </c>
      <c r="R1470">
        <v>18840</v>
      </c>
      <c r="S1470" t="s">
        <v>55</v>
      </c>
      <c r="T1470" s="1">
        <v>44614</v>
      </c>
      <c r="U1470">
        <v>159.5</v>
      </c>
      <c r="V1470">
        <v>159.5</v>
      </c>
    </row>
    <row r="1471" spans="1:22" x14ac:dyDescent="0.3">
      <c r="A1471" t="s">
        <v>3561</v>
      </c>
      <c r="B1471" t="s">
        <v>3562</v>
      </c>
      <c r="C1471" t="s">
        <v>13</v>
      </c>
      <c r="D1471" t="s">
        <v>3563</v>
      </c>
      <c r="E1471" t="s">
        <v>15</v>
      </c>
      <c r="J1471" s="1">
        <v>44704</v>
      </c>
      <c r="K1471">
        <v>1380</v>
      </c>
      <c r="L1471" t="s">
        <v>3576</v>
      </c>
      <c r="M1471">
        <v>9</v>
      </c>
      <c r="N1471" t="str">
        <f>VLOOKUP(M1471,[1]LOJA!$A:$B,2,0)</f>
        <v>ÚNICA</v>
      </c>
      <c r="O1471">
        <v>94</v>
      </c>
      <c r="P1471" t="str">
        <f>VLOOKUP(O1471,[1]OPERADORES!$A:$B,2,0)</f>
        <v>VANESSA KOBELUS</v>
      </c>
      <c r="Q1471">
        <v>23</v>
      </c>
      <c r="R1471">
        <v>18873</v>
      </c>
      <c r="S1471" t="s">
        <v>55</v>
      </c>
      <c r="T1471" s="1">
        <v>44614</v>
      </c>
      <c r="U1471">
        <v>145.4</v>
      </c>
      <c r="V1471">
        <v>145.4</v>
      </c>
    </row>
    <row r="1472" spans="1:22" x14ac:dyDescent="0.3">
      <c r="A1472" t="s">
        <v>3561</v>
      </c>
      <c r="B1472" t="s">
        <v>3562</v>
      </c>
      <c r="C1472" t="s">
        <v>13</v>
      </c>
      <c r="D1472" t="s">
        <v>3563</v>
      </c>
      <c r="E1472" t="s">
        <v>15</v>
      </c>
      <c r="J1472" s="1">
        <v>44704</v>
      </c>
      <c r="K1472">
        <v>1380</v>
      </c>
      <c r="L1472" t="s">
        <v>3577</v>
      </c>
      <c r="M1472">
        <v>9</v>
      </c>
      <c r="N1472" t="str">
        <f>VLOOKUP(M1472,[1]LOJA!$A:$B,2,0)</f>
        <v>ÚNICA</v>
      </c>
      <c r="O1472">
        <v>176</v>
      </c>
      <c r="P1472" t="str">
        <f>VLOOKUP(O1472,[1]OPERADORES!$A:$B,2,0)</f>
        <v>EDUARDO DE JESUS BALDUINO</v>
      </c>
      <c r="Q1472">
        <v>23</v>
      </c>
      <c r="R1472">
        <v>20093</v>
      </c>
      <c r="S1472" t="s">
        <v>53</v>
      </c>
      <c r="T1472" s="1">
        <v>44644</v>
      </c>
      <c r="U1472">
        <v>53.1</v>
      </c>
      <c r="V1472">
        <v>53.1</v>
      </c>
    </row>
    <row r="1473" spans="1:22" x14ac:dyDescent="0.3">
      <c r="A1473" t="s">
        <v>3561</v>
      </c>
      <c r="B1473" t="s">
        <v>3562</v>
      </c>
      <c r="C1473" t="s">
        <v>13</v>
      </c>
      <c r="D1473" t="s">
        <v>3563</v>
      </c>
      <c r="E1473" t="s">
        <v>15</v>
      </c>
      <c r="J1473" s="1">
        <v>44705</v>
      </c>
      <c r="K1473">
        <v>1379</v>
      </c>
      <c r="L1473" t="s">
        <v>3578</v>
      </c>
      <c r="M1473">
        <v>9</v>
      </c>
      <c r="N1473" t="str">
        <f>VLOOKUP(M1473,[1]LOJA!$A:$B,2,0)</f>
        <v>ÚNICA</v>
      </c>
      <c r="O1473">
        <v>94</v>
      </c>
      <c r="P1473" t="str">
        <f>VLOOKUP(O1473,[1]OPERADORES!$A:$B,2,0)</f>
        <v>VANESSA KOBELUS</v>
      </c>
      <c r="Q1473">
        <v>23</v>
      </c>
      <c r="R1473">
        <v>18923</v>
      </c>
      <c r="S1473" t="s">
        <v>55</v>
      </c>
      <c r="T1473" s="1">
        <v>44615</v>
      </c>
      <c r="U1473">
        <v>137.28</v>
      </c>
      <c r="V1473">
        <v>137.28</v>
      </c>
    </row>
    <row r="1474" spans="1:22" x14ac:dyDescent="0.3">
      <c r="A1474" t="s">
        <v>3561</v>
      </c>
      <c r="B1474" t="s">
        <v>3562</v>
      </c>
      <c r="C1474" t="s">
        <v>13</v>
      </c>
      <c r="D1474" t="s">
        <v>3563</v>
      </c>
      <c r="E1474" t="s">
        <v>15</v>
      </c>
      <c r="J1474" s="1">
        <v>44705</v>
      </c>
      <c r="K1474">
        <v>1379</v>
      </c>
      <c r="L1474" t="s">
        <v>3579</v>
      </c>
      <c r="M1474">
        <v>9</v>
      </c>
      <c r="N1474" t="str">
        <f>VLOOKUP(M1474,[1]LOJA!$A:$B,2,0)</f>
        <v>ÚNICA</v>
      </c>
      <c r="O1474">
        <v>176</v>
      </c>
      <c r="P1474" t="str">
        <f>VLOOKUP(O1474,[1]OPERADORES!$A:$B,2,0)</f>
        <v>EDUARDO DE JESUS BALDUINO</v>
      </c>
      <c r="Q1474">
        <v>23</v>
      </c>
      <c r="R1474">
        <v>20150</v>
      </c>
      <c r="S1474" t="s">
        <v>53</v>
      </c>
      <c r="T1474" s="1">
        <v>44645</v>
      </c>
      <c r="U1474">
        <v>693.48</v>
      </c>
      <c r="V1474">
        <v>693.48</v>
      </c>
    </row>
    <row r="1475" spans="1:22" x14ac:dyDescent="0.3">
      <c r="A1475" t="s">
        <v>3561</v>
      </c>
      <c r="B1475" t="s">
        <v>3562</v>
      </c>
      <c r="C1475" t="s">
        <v>13</v>
      </c>
      <c r="D1475" t="s">
        <v>3563</v>
      </c>
      <c r="E1475" t="s">
        <v>15</v>
      </c>
      <c r="J1475" s="1">
        <v>44706</v>
      </c>
      <c r="K1475">
        <v>1378</v>
      </c>
      <c r="L1475" t="s">
        <v>3580</v>
      </c>
      <c r="M1475">
        <v>9</v>
      </c>
      <c r="N1475" t="str">
        <f>VLOOKUP(M1475,[1]LOJA!$A:$B,2,0)</f>
        <v>ÚNICA</v>
      </c>
      <c r="O1475">
        <v>94</v>
      </c>
      <c r="P1475" t="str">
        <f>VLOOKUP(O1475,[1]OPERADORES!$A:$B,2,0)</f>
        <v>VANESSA KOBELUS</v>
      </c>
      <c r="Q1475">
        <v>23</v>
      </c>
      <c r="R1475">
        <v>18980</v>
      </c>
      <c r="S1475" t="s">
        <v>55</v>
      </c>
      <c r="T1475" s="1">
        <v>44616</v>
      </c>
      <c r="U1475">
        <v>64.41</v>
      </c>
      <c r="V1475">
        <v>64.41</v>
      </c>
    </row>
    <row r="1476" spans="1:22" x14ac:dyDescent="0.3">
      <c r="A1476" t="s">
        <v>3561</v>
      </c>
      <c r="B1476" t="s">
        <v>3562</v>
      </c>
      <c r="C1476" t="s">
        <v>13</v>
      </c>
      <c r="D1476" t="s">
        <v>3563</v>
      </c>
      <c r="E1476" t="s">
        <v>15</v>
      </c>
      <c r="J1476" s="1">
        <v>44706</v>
      </c>
      <c r="K1476">
        <v>1378</v>
      </c>
      <c r="L1476" t="s">
        <v>3581</v>
      </c>
      <c r="M1476">
        <v>9</v>
      </c>
      <c r="N1476" t="str">
        <f>VLOOKUP(M1476,[1]LOJA!$A:$B,2,0)</f>
        <v>ÚNICA</v>
      </c>
      <c r="O1476">
        <v>94</v>
      </c>
      <c r="P1476" t="str">
        <f>VLOOKUP(O1476,[1]OPERADORES!$A:$B,2,0)</f>
        <v>VANESSA KOBELUS</v>
      </c>
      <c r="Q1476">
        <v>23</v>
      </c>
      <c r="R1476">
        <v>19012</v>
      </c>
      <c r="S1476" t="s">
        <v>55</v>
      </c>
      <c r="T1476" s="1">
        <v>44616</v>
      </c>
      <c r="U1476">
        <v>112.43</v>
      </c>
      <c r="V1476">
        <v>112.43</v>
      </c>
    </row>
    <row r="1477" spans="1:22" x14ac:dyDescent="0.3">
      <c r="A1477" t="s">
        <v>3561</v>
      </c>
      <c r="B1477" t="s">
        <v>3562</v>
      </c>
      <c r="C1477" t="s">
        <v>13</v>
      </c>
      <c r="D1477" t="s">
        <v>3563</v>
      </c>
      <c r="E1477" t="s">
        <v>15</v>
      </c>
      <c r="J1477" s="1">
        <v>44707</v>
      </c>
      <c r="K1477">
        <v>1377</v>
      </c>
      <c r="L1477" t="s">
        <v>3582</v>
      </c>
      <c r="M1477">
        <v>9</v>
      </c>
      <c r="N1477" t="str">
        <f>VLOOKUP(M1477,[1]LOJA!$A:$B,2,0)</f>
        <v>ÚNICA</v>
      </c>
      <c r="O1477">
        <v>84</v>
      </c>
      <c r="P1477" t="str">
        <f>VLOOKUP(O1477,[1]OPERADORES!$A:$B,2,0)</f>
        <v>JEICY AZEVEDO</v>
      </c>
      <c r="Q1477">
        <v>23</v>
      </c>
      <c r="S1477" t="s">
        <v>3583</v>
      </c>
      <c r="T1477" s="1">
        <v>44531</v>
      </c>
      <c r="U1477" s="2">
        <v>21576.74</v>
      </c>
      <c r="V1477" s="2">
        <v>21576.74</v>
      </c>
    </row>
    <row r="1478" spans="1:22" x14ac:dyDescent="0.3">
      <c r="A1478" t="s">
        <v>3561</v>
      </c>
      <c r="B1478" t="s">
        <v>3562</v>
      </c>
      <c r="C1478" t="s">
        <v>13</v>
      </c>
      <c r="D1478" t="s">
        <v>3563</v>
      </c>
      <c r="E1478" t="s">
        <v>15</v>
      </c>
      <c r="J1478" s="1">
        <v>44707</v>
      </c>
      <c r="K1478">
        <v>1377</v>
      </c>
      <c r="L1478" t="s">
        <v>3584</v>
      </c>
      <c r="M1478">
        <v>9</v>
      </c>
      <c r="N1478" t="str">
        <f>VLOOKUP(M1478,[1]LOJA!$A:$B,2,0)</f>
        <v>ÚNICA</v>
      </c>
      <c r="O1478">
        <v>176</v>
      </c>
      <c r="P1478" t="str">
        <f>VLOOKUP(O1478,[1]OPERADORES!$A:$B,2,0)</f>
        <v>EDUARDO DE JESUS BALDUINO</v>
      </c>
      <c r="Q1478">
        <v>23</v>
      </c>
      <c r="R1478">
        <v>21471</v>
      </c>
      <c r="S1478" t="s">
        <v>51</v>
      </c>
      <c r="T1478" s="1">
        <v>44677</v>
      </c>
      <c r="U1478">
        <v>124.89</v>
      </c>
      <c r="V1478">
        <v>124.89</v>
      </c>
    </row>
    <row r="1479" spans="1:22" x14ac:dyDescent="0.3">
      <c r="A1479" t="s">
        <v>3561</v>
      </c>
      <c r="B1479" t="s">
        <v>3562</v>
      </c>
      <c r="C1479" t="s">
        <v>13</v>
      </c>
      <c r="D1479" t="s">
        <v>3563</v>
      </c>
      <c r="E1479" t="s">
        <v>15</v>
      </c>
      <c r="J1479" s="1">
        <v>44709</v>
      </c>
      <c r="K1479">
        <v>1375</v>
      </c>
      <c r="L1479" t="s">
        <v>3585</v>
      </c>
      <c r="M1479">
        <v>9</v>
      </c>
      <c r="N1479" t="str">
        <f>VLOOKUP(M1479,[1]LOJA!$A:$B,2,0)</f>
        <v>ÚNICA</v>
      </c>
      <c r="O1479">
        <v>176</v>
      </c>
      <c r="P1479" t="str">
        <f>VLOOKUP(O1479,[1]OPERADORES!$A:$B,2,0)</f>
        <v>EDUARDO DE JESUS BALDUINO</v>
      </c>
      <c r="Q1479">
        <v>23</v>
      </c>
      <c r="R1479">
        <v>20358</v>
      </c>
      <c r="S1479" t="s">
        <v>53</v>
      </c>
      <c r="T1479" s="1">
        <v>44649</v>
      </c>
      <c r="U1479">
        <v>96.95</v>
      </c>
      <c r="V1479">
        <v>96.95</v>
      </c>
    </row>
    <row r="1480" spans="1:22" x14ac:dyDescent="0.3">
      <c r="A1480" t="s">
        <v>3561</v>
      </c>
      <c r="B1480" t="s">
        <v>3562</v>
      </c>
      <c r="C1480" t="s">
        <v>13</v>
      </c>
      <c r="D1480" t="s">
        <v>3563</v>
      </c>
      <c r="E1480" t="s">
        <v>15</v>
      </c>
      <c r="J1480" s="1">
        <v>44709</v>
      </c>
      <c r="K1480">
        <v>1375</v>
      </c>
      <c r="L1480" t="s">
        <v>3586</v>
      </c>
      <c r="M1480">
        <v>9</v>
      </c>
      <c r="N1480" t="str">
        <f>VLOOKUP(M1480,[1]LOJA!$A:$B,2,0)</f>
        <v>ÚNICA</v>
      </c>
      <c r="O1480">
        <v>176</v>
      </c>
      <c r="P1480" t="str">
        <f>VLOOKUP(O1480,[1]OPERADORES!$A:$B,2,0)</f>
        <v>EDUARDO DE JESUS BALDUINO</v>
      </c>
      <c r="Q1480">
        <v>23</v>
      </c>
      <c r="R1480">
        <v>21844</v>
      </c>
      <c r="S1480" t="s">
        <v>51</v>
      </c>
      <c r="T1480" s="1">
        <v>44679</v>
      </c>
      <c r="U1480">
        <v>168.99</v>
      </c>
      <c r="V1480">
        <v>168.99</v>
      </c>
    </row>
    <row r="1481" spans="1:22" x14ac:dyDescent="0.3">
      <c r="A1481" t="s">
        <v>3561</v>
      </c>
      <c r="B1481" t="s">
        <v>3562</v>
      </c>
      <c r="C1481" t="s">
        <v>13</v>
      </c>
      <c r="D1481" t="s">
        <v>3563</v>
      </c>
      <c r="E1481" t="s">
        <v>15</v>
      </c>
      <c r="J1481" s="1">
        <v>44710</v>
      </c>
      <c r="K1481">
        <v>1374</v>
      </c>
      <c r="L1481" t="s">
        <v>3587</v>
      </c>
      <c r="M1481">
        <v>9</v>
      </c>
      <c r="N1481" t="str">
        <f>VLOOKUP(M1481,[1]LOJA!$A:$B,2,0)</f>
        <v>ÚNICA</v>
      </c>
      <c r="O1481">
        <v>176</v>
      </c>
      <c r="P1481" t="str">
        <f>VLOOKUP(O1481,[1]OPERADORES!$A:$B,2,0)</f>
        <v>EDUARDO DE JESUS BALDUINO</v>
      </c>
      <c r="Q1481">
        <v>23</v>
      </c>
      <c r="R1481">
        <v>20432</v>
      </c>
      <c r="S1481" t="s">
        <v>53</v>
      </c>
      <c r="T1481" s="1">
        <v>44650</v>
      </c>
      <c r="U1481">
        <v>190.07</v>
      </c>
      <c r="V1481">
        <v>190.07</v>
      </c>
    </row>
    <row r="1482" spans="1:22" x14ac:dyDescent="0.3">
      <c r="A1482" t="s">
        <v>3561</v>
      </c>
      <c r="B1482" t="s">
        <v>3562</v>
      </c>
      <c r="C1482" t="s">
        <v>13</v>
      </c>
      <c r="D1482" t="s">
        <v>3563</v>
      </c>
      <c r="E1482" t="s">
        <v>15</v>
      </c>
      <c r="J1482" s="1">
        <v>44710</v>
      </c>
      <c r="K1482">
        <v>1374</v>
      </c>
      <c r="L1482" t="s">
        <v>3588</v>
      </c>
      <c r="M1482">
        <v>9</v>
      </c>
      <c r="N1482" t="str">
        <f>VLOOKUP(M1482,[1]LOJA!$A:$B,2,0)</f>
        <v>ÚNICA</v>
      </c>
      <c r="O1482">
        <v>176</v>
      </c>
      <c r="P1482" t="str">
        <f>VLOOKUP(O1482,[1]OPERADORES!$A:$B,2,0)</f>
        <v>EDUARDO DE JESUS BALDUINO</v>
      </c>
      <c r="Q1482">
        <v>23</v>
      </c>
      <c r="R1482">
        <v>21885</v>
      </c>
      <c r="S1482" t="s">
        <v>51</v>
      </c>
      <c r="T1482" s="1">
        <v>44680</v>
      </c>
      <c r="U1482">
        <v>93.34</v>
      </c>
      <c r="V1482">
        <v>93.34</v>
      </c>
    </row>
    <row r="1483" spans="1:22" x14ac:dyDescent="0.3">
      <c r="A1483" t="s">
        <v>3561</v>
      </c>
      <c r="B1483" t="s">
        <v>3562</v>
      </c>
      <c r="C1483" t="s">
        <v>13</v>
      </c>
      <c r="D1483" t="s">
        <v>3563</v>
      </c>
      <c r="E1483" t="s">
        <v>15</v>
      </c>
      <c r="J1483" s="1">
        <v>44711</v>
      </c>
      <c r="K1483">
        <v>1373</v>
      </c>
      <c r="L1483" t="s">
        <v>3589</v>
      </c>
      <c r="M1483">
        <v>9</v>
      </c>
      <c r="N1483" t="str">
        <f>VLOOKUP(M1483,[1]LOJA!$A:$B,2,0)</f>
        <v>ÚNICA</v>
      </c>
      <c r="O1483">
        <v>176</v>
      </c>
      <c r="P1483" t="str">
        <f>VLOOKUP(O1483,[1]OPERADORES!$A:$B,2,0)</f>
        <v>EDUARDO DE JESUS BALDUINO</v>
      </c>
      <c r="Q1483">
        <v>23</v>
      </c>
      <c r="R1483">
        <v>20473</v>
      </c>
      <c r="S1483" t="s">
        <v>53</v>
      </c>
      <c r="T1483" s="1">
        <v>44651</v>
      </c>
      <c r="U1483">
        <v>690.15</v>
      </c>
      <c r="V1483">
        <v>690.15</v>
      </c>
    </row>
    <row r="1484" spans="1:22" x14ac:dyDescent="0.3">
      <c r="A1484" t="s">
        <v>3561</v>
      </c>
      <c r="B1484" t="s">
        <v>3562</v>
      </c>
      <c r="C1484" t="s">
        <v>13</v>
      </c>
      <c r="D1484" t="s">
        <v>3563</v>
      </c>
      <c r="E1484" t="s">
        <v>15</v>
      </c>
      <c r="J1484" s="1">
        <v>44712</v>
      </c>
      <c r="K1484">
        <v>1372</v>
      </c>
      <c r="L1484" t="s">
        <v>3590</v>
      </c>
      <c r="M1484">
        <v>9</v>
      </c>
      <c r="N1484" t="str">
        <f>VLOOKUP(M1484,[1]LOJA!$A:$B,2,0)</f>
        <v>ÚNICA</v>
      </c>
      <c r="O1484">
        <v>176</v>
      </c>
      <c r="P1484" t="str">
        <f>VLOOKUP(O1484,[1]OPERADORES!$A:$B,2,0)</f>
        <v>EDUARDO DE JESUS BALDUINO</v>
      </c>
      <c r="Q1484">
        <v>23</v>
      </c>
      <c r="R1484">
        <v>20713</v>
      </c>
      <c r="S1484" t="s">
        <v>53</v>
      </c>
      <c r="T1484" s="1">
        <v>44652</v>
      </c>
      <c r="U1484">
        <v>419.4</v>
      </c>
      <c r="V1484">
        <v>419.4</v>
      </c>
    </row>
    <row r="1485" spans="1:22" x14ac:dyDescent="0.3">
      <c r="A1485" t="s">
        <v>3561</v>
      </c>
      <c r="B1485" t="s">
        <v>3562</v>
      </c>
      <c r="C1485" t="s">
        <v>13</v>
      </c>
      <c r="D1485" t="s">
        <v>3563</v>
      </c>
      <c r="E1485" t="s">
        <v>15</v>
      </c>
      <c r="J1485" s="1">
        <v>44719</v>
      </c>
      <c r="K1485">
        <v>1365</v>
      </c>
      <c r="L1485" t="s">
        <v>3591</v>
      </c>
      <c r="M1485">
        <v>9</v>
      </c>
      <c r="N1485" t="str">
        <f>VLOOKUP(M1485,[1]LOJA!$A:$B,2,0)</f>
        <v>ÚNICA</v>
      </c>
      <c r="O1485">
        <v>176</v>
      </c>
      <c r="P1485" t="str">
        <f>VLOOKUP(O1485,[1]OPERADORES!$A:$B,2,0)</f>
        <v>EDUARDO DE JESUS BALDUINO</v>
      </c>
      <c r="Q1485">
        <v>23</v>
      </c>
      <c r="R1485">
        <v>20895</v>
      </c>
      <c r="S1485" t="s">
        <v>53</v>
      </c>
      <c r="T1485" s="1">
        <v>44659</v>
      </c>
      <c r="U1485">
        <v>737.71</v>
      </c>
      <c r="V1485">
        <v>737.71</v>
      </c>
    </row>
    <row r="1486" spans="1:22" x14ac:dyDescent="0.3">
      <c r="A1486" t="s">
        <v>3561</v>
      </c>
      <c r="B1486" t="s">
        <v>3562</v>
      </c>
      <c r="C1486" t="s">
        <v>13</v>
      </c>
      <c r="D1486" t="s">
        <v>3563</v>
      </c>
      <c r="E1486" t="s">
        <v>15</v>
      </c>
      <c r="J1486" s="1">
        <v>44724</v>
      </c>
      <c r="K1486">
        <v>1360</v>
      </c>
      <c r="L1486" t="s">
        <v>3592</v>
      </c>
      <c r="M1486">
        <v>9</v>
      </c>
      <c r="N1486" t="str">
        <f>VLOOKUP(M1486,[1]LOJA!$A:$B,2,0)</f>
        <v>ÚNICA</v>
      </c>
      <c r="O1486">
        <v>176</v>
      </c>
      <c r="P1486" t="str">
        <f>VLOOKUP(O1486,[1]OPERADORES!$A:$B,2,0)</f>
        <v>EDUARDO DE JESUS BALDUINO</v>
      </c>
      <c r="Q1486">
        <v>23</v>
      </c>
      <c r="R1486">
        <v>21216</v>
      </c>
      <c r="S1486" t="s">
        <v>53</v>
      </c>
      <c r="T1486" s="1">
        <v>44664</v>
      </c>
      <c r="U1486">
        <v>167.43</v>
      </c>
      <c r="V1486">
        <v>167.43</v>
      </c>
    </row>
    <row r="1487" spans="1:22" x14ac:dyDescent="0.3">
      <c r="A1487" t="s">
        <v>3561</v>
      </c>
      <c r="B1487" t="s">
        <v>3562</v>
      </c>
      <c r="C1487" t="s">
        <v>13</v>
      </c>
      <c r="D1487" t="s">
        <v>3563</v>
      </c>
      <c r="E1487" t="s">
        <v>15</v>
      </c>
      <c r="J1487" s="1">
        <v>44724</v>
      </c>
      <c r="K1487">
        <v>1360</v>
      </c>
      <c r="L1487" t="s">
        <v>3593</v>
      </c>
      <c r="M1487">
        <v>9</v>
      </c>
      <c r="N1487" t="str">
        <f>VLOOKUP(M1487,[1]LOJA!$A:$B,2,0)</f>
        <v>ÚNICA</v>
      </c>
      <c r="O1487">
        <v>176</v>
      </c>
      <c r="P1487" t="str">
        <f>VLOOKUP(O1487,[1]OPERADORES!$A:$B,2,0)</f>
        <v>EDUARDO DE JESUS BALDUINO</v>
      </c>
      <c r="Q1487">
        <v>23</v>
      </c>
      <c r="R1487">
        <v>22495</v>
      </c>
      <c r="S1487" t="s">
        <v>51</v>
      </c>
      <c r="T1487" s="1">
        <v>44694</v>
      </c>
      <c r="U1487">
        <v>53.52</v>
      </c>
      <c r="V1487">
        <v>53.52</v>
      </c>
    </row>
    <row r="1488" spans="1:22" x14ac:dyDescent="0.3">
      <c r="A1488" t="s">
        <v>3561</v>
      </c>
      <c r="B1488" t="s">
        <v>3562</v>
      </c>
      <c r="C1488" t="s">
        <v>13</v>
      </c>
      <c r="D1488" t="s">
        <v>3563</v>
      </c>
      <c r="E1488" t="s">
        <v>15</v>
      </c>
      <c r="J1488" s="1">
        <v>44724</v>
      </c>
      <c r="K1488">
        <v>1360</v>
      </c>
      <c r="L1488" t="s">
        <v>3594</v>
      </c>
      <c r="M1488">
        <v>9</v>
      </c>
      <c r="N1488" t="str">
        <f>VLOOKUP(M1488,[1]LOJA!$A:$B,2,0)</f>
        <v>ÚNICA</v>
      </c>
      <c r="O1488">
        <v>176</v>
      </c>
      <c r="P1488" t="str">
        <f>VLOOKUP(O1488,[1]OPERADORES!$A:$B,2,0)</f>
        <v>EDUARDO DE JESUS BALDUINO</v>
      </c>
      <c r="Q1488">
        <v>23</v>
      </c>
      <c r="R1488">
        <v>22545</v>
      </c>
      <c r="S1488" t="s">
        <v>51</v>
      </c>
      <c r="T1488" s="1">
        <v>44694</v>
      </c>
      <c r="U1488">
        <v>40.69</v>
      </c>
      <c r="V1488">
        <v>40.69</v>
      </c>
    </row>
    <row r="1489" spans="1:22" x14ac:dyDescent="0.3">
      <c r="A1489" t="s">
        <v>3561</v>
      </c>
      <c r="B1489" t="s">
        <v>3562</v>
      </c>
      <c r="C1489" t="s">
        <v>13</v>
      </c>
      <c r="D1489" t="s">
        <v>3563</v>
      </c>
      <c r="E1489" t="s">
        <v>15</v>
      </c>
      <c r="J1489" s="1">
        <v>44729</v>
      </c>
      <c r="K1489">
        <v>1355</v>
      </c>
      <c r="L1489" t="s">
        <v>3329</v>
      </c>
      <c r="M1489">
        <v>9</v>
      </c>
      <c r="N1489" t="str">
        <f>VLOOKUP(M1489,[1]LOJA!$A:$B,2,0)</f>
        <v>ÚNICA</v>
      </c>
      <c r="O1489">
        <v>176</v>
      </c>
      <c r="P1489" t="str">
        <f>VLOOKUP(O1489,[1]OPERADORES!$A:$B,2,0)</f>
        <v>EDUARDO DE JESUS BALDUINO</v>
      </c>
      <c r="Q1489">
        <v>23</v>
      </c>
      <c r="R1489">
        <v>22768</v>
      </c>
      <c r="S1489" t="s">
        <v>51</v>
      </c>
      <c r="T1489" s="1">
        <v>44699</v>
      </c>
      <c r="U1489">
        <v>90.82</v>
      </c>
      <c r="V1489">
        <v>90.82</v>
      </c>
    </row>
    <row r="1490" spans="1:22" x14ac:dyDescent="0.3">
      <c r="A1490" t="s">
        <v>3561</v>
      </c>
      <c r="B1490" t="s">
        <v>3562</v>
      </c>
      <c r="C1490" t="s">
        <v>13</v>
      </c>
      <c r="D1490" t="s">
        <v>3563</v>
      </c>
      <c r="E1490" t="s">
        <v>15</v>
      </c>
      <c r="J1490" s="1">
        <v>44730</v>
      </c>
      <c r="K1490">
        <v>1354</v>
      </c>
      <c r="L1490" t="s">
        <v>3595</v>
      </c>
      <c r="M1490">
        <v>9</v>
      </c>
      <c r="N1490" t="str">
        <f>VLOOKUP(M1490,[1]LOJA!$A:$B,2,0)</f>
        <v>ÚNICA</v>
      </c>
      <c r="O1490">
        <v>176</v>
      </c>
      <c r="P1490" t="str">
        <f>VLOOKUP(O1490,[1]OPERADORES!$A:$B,2,0)</f>
        <v>EDUARDO DE JESUS BALDUINO</v>
      </c>
      <c r="Q1490">
        <v>23</v>
      </c>
      <c r="R1490">
        <v>21356</v>
      </c>
      <c r="S1490" t="s">
        <v>53</v>
      </c>
      <c r="T1490" s="1">
        <v>44670</v>
      </c>
      <c r="U1490">
        <v>84.89</v>
      </c>
      <c r="V1490">
        <v>84.89</v>
      </c>
    </row>
    <row r="1491" spans="1:22" x14ac:dyDescent="0.3">
      <c r="A1491" t="s">
        <v>3561</v>
      </c>
      <c r="B1491" t="s">
        <v>3562</v>
      </c>
      <c r="C1491" t="s">
        <v>13</v>
      </c>
      <c r="D1491" t="s">
        <v>3563</v>
      </c>
      <c r="E1491" t="s">
        <v>15</v>
      </c>
      <c r="J1491" s="1">
        <v>44730</v>
      </c>
      <c r="K1491">
        <v>1354</v>
      </c>
      <c r="L1491" t="s">
        <v>3596</v>
      </c>
      <c r="M1491">
        <v>9</v>
      </c>
      <c r="N1491" t="str">
        <f>VLOOKUP(M1491,[1]LOJA!$A:$B,2,0)</f>
        <v>ÚNICA</v>
      </c>
      <c r="O1491">
        <v>176</v>
      </c>
      <c r="P1491" t="str">
        <f>VLOOKUP(O1491,[1]OPERADORES!$A:$B,2,0)</f>
        <v>EDUARDO DE JESUS BALDUINO</v>
      </c>
      <c r="Q1491">
        <v>23</v>
      </c>
      <c r="R1491">
        <v>21380</v>
      </c>
      <c r="S1491" t="s">
        <v>53</v>
      </c>
      <c r="T1491" s="1">
        <v>44670</v>
      </c>
      <c r="U1491">
        <v>75.55</v>
      </c>
      <c r="V1491">
        <v>75.55</v>
      </c>
    </row>
    <row r="1492" spans="1:22" x14ac:dyDescent="0.3">
      <c r="A1492" t="s">
        <v>3561</v>
      </c>
      <c r="B1492" t="s">
        <v>3562</v>
      </c>
      <c r="C1492" t="s">
        <v>13</v>
      </c>
      <c r="D1492" t="s">
        <v>3563</v>
      </c>
      <c r="E1492" t="s">
        <v>15</v>
      </c>
      <c r="J1492" s="1">
        <v>44730</v>
      </c>
      <c r="K1492">
        <v>1354</v>
      </c>
      <c r="L1492" t="s">
        <v>3597</v>
      </c>
      <c r="M1492">
        <v>9</v>
      </c>
      <c r="N1492" t="str">
        <f>VLOOKUP(M1492,[1]LOJA!$A:$B,2,0)</f>
        <v>ÚNICA</v>
      </c>
      <c r="O1492">
        <v>176</v>
      </c>
      <c r="P1492" t="str">
        <f>VLOOKUP(O1492,[1]OPERADORES!$A:$B,2,0)</f>
        <v>EDUARDO DE JESUS BALDUINO</v>
      </c>
      <c r="Q1492">
        <v>23</v>
      </c>
      <c r="R1492">
        <v>22867</v>
      </c>
      <c r="S1492" t="s">
        <v>51</v>
      </c>
      <c r="T1492" s="1">
        <v>44700</v>
      </c>
      <c r="U1492">
        <v>25.32</v>
      </c>
      <c r="V1492">
        <v>25.32</v>
      </c>
    </row>
    <row r="1493" spans="1:22" x14ac:dyDescent="0.3">
      <c r="A1493" t="s">
        <v>3561</v>
      </c>
      <c r="B1493" t="s">
        <v>3562</v>
      </c>
      <c r="C1493" t="s">
        <v>13</v>
      </c>
      <c r="D1493" t="s">
        <v>3563</v>
      </c>
      <c r="E1493" t="s">
        <v>15</v>
      </c>
      <c r="J1493" s="1">
        <v>44731</v>
      </c>
      <c r="K1493">
        <v>1353</v>
      </c>
      <c r="L1493" t="s">
        <v>3598</v>
      </c>
      <c r="M1493">
        <v>9</v>
      </c>
      <c r="N1493" t="str">
        <f>VLOOKUP(M1493,[1]LOJA!$A:$B,2,0)</f>
        <v>ÚNICA</v>
      </c>
      <c r="O1493">
        <v>176</v>
      </c>
      <c r="P1493" t="str">
        <f>VLOOKUP(O1493,[1]OPERADORES!$A:$B,2,0)</f>
        <v>EDUARDO DE JESUS BALDUINO</v>
      </c>
      <c r="Q1493">
        <v>23</v>
      </c>
      <c r="R1493">
        <v>19863</v>
      </c>
      <c r="S1493" t="s">
        <v>55</v>
      </c>
      <c r="T1493" s="1">
        <v>44641</v>
      </c>
      <c r="U1493">
        <v>415.9</v>
      </c>
      <c r="V1493">
        <v>415.9</v>
      </c>
    </row>
    <row r="1494" spans="1:22" x14ac:dyDescent="0.3">
      <c r="A1494" t="s">
        <v>3561</v>
      </c>
      <c r="B1494" t="s">
        <v>3562</v>
      </c>
      <c r="C1494" t="s">
        <v>13</v>
      </c>
      <c r="D1494" t="s">
        <v>3563</v>
      </c>
      <c r="E1494" t="s">
        <v>15</v>
      </c>
      <c r="J1494" s="1">
        <v>44732</v>
      </c>
      <c r="K1494">
        <v>1352</v>
      </c>
      <c r="L1494" t="s">
        <v>3599</v>
      </c>
      <c r="M1494">
        <v>9</v>
      </c>
      <c r="N1494" t="str">
        <f>VLOOKUP(M1494,[1]LOJA!$A:$B,2,0)</f>
        <v>ÚNICA</v>
      </c>
      <c r="O1494">
        <v>176</v>
      </c>
      <c r="P1494" t="str">
        <f>VLOOKUP(O1494,[1]OPERADORES!$A:$B,2,0)</f>
        <v>EDUARDO DE JESUS BALDUINO</v>
      </c>
      <c r="Q1494">
        <v>23</v>
      </c>
      <c r="R1494">
        <v>20051</v>
      </c>
      <c r="S1494" t="s">
        <v>55</v>
      </c>
      <c r="T1494" s="1">
        <v>44642</v>
      </c>
      <c r="U1494" s="2">
        <v>2208.91</v>
      </c>
      <c r="V1494" s="2">
        <v>2208.91</v>
      </c>
    </row>
    <row r="1495" spans="1:22" x14ac:dyDescent="0.3">
      <c r="A1495" t="s">
        <v>3561</v>
      </c>
      <c r="B1495" t="s">
        <v>3562</v>
      </c>
      <c r="C1495" t="s">
        <v>13</v>
      </c>
      <c r="D1495" t="s">
        <v>3563</v>
      </c>
      <c r="E1495" t="s">
        <v>15</v>
      </c>
      <c r="J1495" s="1">
        <v>44734</v>
      </c>
      <c r="K1495">
        <v>1350</v>
      </c>
      <c r="L1495" t="s">
        <v>3600</v>
      </c>
      <c r="M1495">
        <v>9</v>
      </c>
      <c r="N1495" t="str">
        <f>VLOOKUP(M1495,[1]LOJA!$A:$B,2,0)</f>
        <v>ÚNICA</v>
      </c>
      <c r="O1495">
        <v>176</v>
      </c>
      <c r="P1495" t="str">
        <f>VLOOKUP(O1495,[1]OPERADORES!$A:$B,2,0)</f>
        <v>EDUARDO DE JESUS BALDUINO</v>
      </c>
      <c r="Q1495">
        <v>23</v>
      </c>
      <c r="R1495">
        <v>20101</v>
      </c>
      <c r="S1495" t="s">
        <v>55</v>
      </c>
      <c r="T1495" s="1">
        <v>44644</v>
      </c>
      <c r="U1495">
        <v>53.1</v>
      </c>
      <c r="V1495">
        <v>53.1</v>
      </c>
    </row>
    <row r="1496" spans="1:22" x14ac:dyDescent="0.3">
      <c r="A1496" t="s">
        <v>3561</v>
      </c>
      <c r="B1496" t="s">
        <v>3562</v>
      </c>
      <c r="C1496" t="s">
        <v>13</v>
      </c>
      <c r="D1496" t="s">
        <v>3563</v>
      </c>
      <c r="E1496" t="s">
        <v>15</v>
      </c>
      <c r="J1496" s="1">
        <v>44734</v>
      </c>
      <c r="K1496">
        <v>1350</v>
      </c>
      <c r="L1496" t="s">
        <v>3601</v>
      </c>
      <c r="M1496">
        <v>9</v>
      </c>
      <c r="N1496" t="str">
        <f>VLOOKUP(M1496,[1]LOJA!$A:$B,2,0)</f>
        <v>ÚNICA</v>
      </c>
      <c r="O1496">
        <v>176</v>
      </c>
      <c r="P1496" t="str">
        <f>VLOOKUP(O1496,[1]OPERADORES!$A:$B,2,0)</f>
        <v>EDUARDO DE JESUS BALDUINO</v>
      </c>
      <c r="Q1496">
        <v>23</v>
      </c>
      <c r="R1496">
        <v>22966</v>
      </c>
      <c r="S1496" t="s">
        <v>51</v>
      </c>
      <c r="T1496" s="1">
        <v>44704</v>
      </c>
      <c r="U1496">
        <v>107.99</v>
      </c>
      <c r="V1496">
        <v>107.99</v>
      </c>
    </row>
    <row r="1497" spans="1:22" x14ac:dyDescent="0.3">
      <c r="A1497" t="s">
        <v>3561</v>
      </c>
      <c r="B1497" t="s">
        <v>3562</v>
      </c>
      <c r="C1497" t="s">
        <v>13</v>
      </c>
      <c r="D1497" t="s">
        <v>3563</v>
      </c>
      <c r="E1497" t="s">
        <v>15</v>
      </c>
      <c r="J1497" s="1">
        <v>44735</v>
      </c>
      <c r="K1497">
        <v>1349</v>
      </c>
      <c r="L1497" t="s">
        <v>3602</v>
      </c>
      <c r="M1497">
        <v>9</v>
      </c>
      <c r="N1497" t="str">
        <f>VLOOKUP(M1497,[1]LOJA!$A:$B,2,0)</f>
        <v>ÚNICA</v>
      </c>
      <c r="O1497">
        <v>176</v>
      </c>
      <c r="P1497" t="str">
        <f>VLOOKUP(O1497,[1]OPERADORES!$A:$B,2,0)</f>
        <v>EDUARDO DE JESUS BALDUINO</v>
      </c>
      <c r="Q1497">
        <v>23</v>
      </c>
      <c r="R1497">
        <v>20168</v>
      </c>
      <c r="S1497" t="s">
        <v>55</v>
      </c>
      <c r="T1497" s="1">
        <v>44645</v>
      </c>
      <c r="U1497">
        <v>693.48</v>
      </c>
      <c r="V1497">
        <v>693.48</v>
      </c>
    </row>
    <row r="1498" spans="1:22" x14ac:dyDescent="0.3">
      <c r="A1498" t="s">
        <v>3561</v>
      </c>
      <c r="B1498" t="s">
        <v>3562</v>
      </c>
      <c r="C1498" t="s">
        <v>13</v>
      </c>
      <c r="D1498" t="s">
        <v>3563</v>
      </c>
      <c r="E1498" t="s">
        <v>15</v>
      </c>
      <c r="J1498" s="1">
        <v>44735</v>
      </c>
      <c r="K1498">
        <v>1349</v>
      </c>
      <c r="L1498" t="s">
        <v>3603</v>
      </c>
      <c r="M1498">
        <v>9</v>
      </c>
      <c r="N1498" t="str">
        <f>VLOOKUP(M1498,[1]LOJA!$A:$B,2,0)</f>
        <v>ÚNICA</v>
      </c>
      <c r="O1498">
        <v>176</v>
      </c>
      <c r="P1498" t="str">
        <f>VLOOKUP(O1498,[1]OPERADORES!$A:$B,2,0)</f>
        <v>EDUARDO DE JESUS BALDUINO</v>
      </c>
      <c r="Q1498">
        <v>23</v>
      </c>
      <c r="R1498">
        <v>23154</v>
      </c>
      <c r="S1498" t="s">
        <v>51</v>
      </c>
      <c r="T1498" s="1">
        <v>44705</v>
      </c>
      <c r="U1498">
        <v>127.91</v>
      </c>
      <c r="V1498">
        <v>127.91</v>
      </c>
    </row>
    <row r="1499" spans="1:22" x14ac:dyDescent="0.3">
      <c r="A1499" t="s">
        <v>3561</v>
      </c>
      <c r="B1499" t="s">
        <v>3562</v>
      </c>
      <c r="C1499" t="s">
        <v>13</v>
      </c>
      <c r="D1499" t="s">
        <v>3563</v>
      </c>
      <c r="E1499" t="s">
        <v>15</v>
      </c>
      <c r="J1499" s="1">
        <v>44735</v>
      </c>
      <c r="K1499">
        <v>1349</v>
      </c>
      <c r="L1499" t="s">
        <v>3604</v>
      </c>
      <c r="M1499">
        <v>9</v>
      </c>
      <c r="N1499" t="str">
        <f>VLOOKUP(M1499,[1]LOJA!$A:$B,2,0)</f>
        <v>ÚNICA</v>
      </c>
      <c r="O1499">
        <v>94</v>
      </c>
      <c r="P1499" t="str">
        <f>VLOOKUP(O1499,[1]OPERADORES!$A:$B,2,0)</f>
        <v>VANESSA KOBELUS</v>
      </c>
      <c r="Q1499">
        <v>4</v>
      </c>
      <c r="S1499" t="s">
        <v>3605</v>
      </c>
      <c r="T1499" s="1">
        <v>44735</v>
      </c>
      <c r="U1499">
        <v>-479.04</v>
      </c>
      <c r="V1499">
        <v>-479.04</v>
      </c>
    </row>
    <row r="1500" spans="1:22" x14ac:dyDescent="0.3">
      <c r="A1500" t="s">
        <v>3561</v>
      </c>
      <c r="B1500" t="s">
        <v>3562</v>
      </c>
      <c r="C1500" t="s">
        <v>13</v>
      </c>
      <c r="D1500" t="s">
        <v>3563</v>
      </c>
      <c r="E1500" t="s">
        <v>15</v>
      </c>
      <c r="J1500" s="1">
        <v>44736</v>
      </c>
      <c r="K1500">
        <v>1348</v>
      </c>
      <c r="L1500" t="s">
        <v>3606</v>
      </c>
      <c r="M1500">
        <v>9</v>
      </c>
      <c r="N1500" t="str">
        <f>VLOOKUP(M1500,[1]LOJA!$A:$B,2,0)</f>
        <v>ÚNICA</v>
      </c>
      <c r="O1500">
        <v>176</v>
      </c>
      <c r="P1500" t="str">
        <f>VLOOKUP(O1500,[1]OPERADORES!$A:$B,2,0)</f>
        <v>EDUARDO DE JESUS BALDUINO</v>
      </c>
      <c r="Q1500">
        <v>23</v>
      </c>
      <c r="R1500">
        <v>23261</v>
      </c>
      <c r="S1500" t="s">
        <v>51</v>
      </c>
      <c r="T1500" s="1">
        <v>44706</v>
      </c>
      <c r="U1500">
        <v>80.180000000000007</v>
      </c>
      <c r="V1500">
        <v>80.180000000000007</v>
      </c>
    </row>
    <row r="1501" spans="1:22" x14ac:dyDescent="0.3">
      <c r="A1501" t="s">
        <v>3561</v>
      </c>
      <c r="B1501" t="s">
        <v>3562</v>
      </c>
      <c r="C1501" t="s">
        <v>13</v>
      </c>
      <c r="D1501" t="s">
        <v>3563</v>
      </c>
      <c r="E1501" t="s">
        <v>15</v>
      </c>
      <c r="J1501" s="1">
        <v>44737</v>
      </c>
      <c r="K1501">
        <v>1347</v>
      </c>
      <c r="L1501" t="s">
        <v>3607</v>
      </c>
      <c r="M1501">
        <v>9</v>
      </c>
      <c r="N1501" t="str">
        <f>VLOOKUP(M1501,[1]LOJA!$A:$B,2,0)</f>
        <v>ÚNICA</v>
      </c>
      <c r="O1501">
        <v>176</v>
      </c>
      <c r="P1501" t="str">
        <f>VLOOKUP(O1501,[1]OPERADORES!$A:$B,2,0)</f>
        <v>EDUARDO DE JESUS BALDUINO</v>
      </c>
      <c r="Q1501">
        <v>23</v>
      </c>
      <c r="R1501">
        <v>21489</v>
      </c>
      <c r="S1501" t="s">
        <v>53</v>
      </c>
      <c r="T1501" s="1">
        <v>44677</v>
      </c>
      <c r="U1501">
        <v>124.89</v>
      </c>
      <c r="V1501">
        <v>124.89</v>
      </c>
    </row>
    <row r="1502" spans="1:22" x14ac:dyDescent="0.3">
      <c r="A1502" t="s">
        <v>3561</v>
      </c>
      <c r="B1502" t="s">
        <v>3562</v>
      </c>
      <c r="C1502" t="s">
        <v>13</v>
      </c>
      <c r="D1502" t="s">
        <v>3563</v>
      </c>
      <c r="E1502" t="s">
        <v>15</v>
      </c>
      <c r="J1502" s="1">
        <v>44738</v>
      </c>
      <c r="K1502">
        <v>1346</v>
      </c>
      <c r="L1502" t="s">
        <v>3608</v>
      </c>
      <c r="M1502">
        <v>9</v>
      </c>
      <c r="N1502" t="str">
        <f>VLOOKUP(M1502,[1]LOJA!$A:$B,2,0)</f>
        <v>ÚNICA</v>
      </c>
      <c r="O1502">
        <v>176</v>
      </c>
      <c r="P1502" t="str">
        <f>VLOOKUP(O1502,[1]OPERADORES!$A:$B,2,0)</f>
        <v>EDUARDO DE JESUS BALDUINO</v>
      </c>
      <c r="Q1502">
        <v>23</v>
      </c>
      <c r="R1502">
        <v>23394</v>
      </c>
      <c r="S1502" t="s">
        <v>51</v>
      </c>
      <c r="T1502" s="1">
        <v>44708</v>
      </c>
      <c r="U1502">
        <v>94.4</v>
      </c>
      <c r="V1502">
        <v>94.4</v>
      </c>
    </row>
    <row r="1503" spans="1:22" x14ac:dyDescent="0.3">
      <c r="A1503" t="s">
        <v>3561</v>
      </c>
      <c r="B1503" t="s">
        <v>3562</v>
      </c>
      <c r="C1503" t="s">
        <v>13</v>
      </c>
      <c r="D1503" t="s">
        <v>3563</v>
      </c>
      <c r="E1503" t="s">
        <v>15</v>
      </c>
      <c r="J1503" s="1">
        <v>44739</v>
      </c>
      <c r="K1503">
        <v>1345</v>
      </c>
      <c r="L1503" t="s">
        <v>3609</v>
      </c>
      <c r="M1503">
        <v>9</v>
      </c>
      <c r="N1503" t="str">
        <f>VLOOKUP(M1503,[1]LOJA!$A:$B,2,0)</f>
        <v>ÚNICA</v>
      </c>
      <c r="O1503">
        <v>176</v>
      </c>
      <c r="P1503" t="str">
        <f>VLOOKUP(O1503,[1]OPERADORES!$A:$B,2,0)</f>
        <v>EDUARDO DE JESUS BALDUINO</v>
      </c>
      <c r="Q1503">
        <v>23</v>
      </c>
      <c r="R1503">
        <v>20366</v>
      </c>
      <c r="S1503" t="s">
        <v>55</v>
      </c>
      <c r="T1503" s="1">
        <v>44649</v>
      </c>
      <c r="U1503">
        <v>96.94</v>
      </c>
      <c r="V1503">
        <v>96.94</v>
      </c>
    </row>
    <row r="1504" spans="1:22" x14ac:dyDescent="0.3">
      <c r="A1504" t="s">
        <v>3561</v>
      </c>
      <c r="B1504" t="s">
        <v>3562</v>
      </c>
      <c r="C1504" t="s">
        <v>13</v>
      </c>
      <c r="D1504" t="s">
        <v>3563</v>
      </c>
      <c r="E1504" t="s">
        <v>15</v>
      </c>
      <c r="J1504" s="1">
        <v>44739</v>
      </c>
      <c r="K1504">
        <v>1345</v>
      </c>
      <c r="L1504" t="s">
        <v>3610</v>
      </c>
      <c r="M1504">
        <v>9</v>
      </c>
      <c r="N1504" t="str">
        <f>VLOOKUP(M1504,[1]LOJA!$A:$B,2,0)</f>
        <v>ÚNICA</v>
      </c>
      <c r="O1504">
        <v>176</v>
      </c>
      <c r="P1504" t="str">
        <f>VLOOKUP(O1504,[1]OPERADORES!$A:$B,2,0)</f>
        <v>EDUARDO DE JESUS BALDUINO</v>
      </c>
      <c r="Q1504">
        <v>23</v>
      </c>
      <c r="R1504">
        <v>21851</v>
      </c>
      <c r="S1504" t="s">
        <v>53</v>
      </c>
      <c r="T1504" s="1">
        <v>44679</v>
      </c>
      <c r="U1504">
        <v>168.99</v>
      </c>
      <c r="V1504">
        <v>168.99</v>
      </c>
    </row>
    <row r="1505" spans="1:22" x14ac:dyDescent="0.3">
      <c r="A1505" t="s">
        <v>3561</v>
      </c>
      <c r="B1505" t="s">
        <v>3562</v>
      </c>
      <c r="C1505" t="s">
        <v>13</v>
      </c>
      <c r="D1505" t="s">
        <v>3563</v>
      </c>
      <c r="E1505" t="s">
        <v>15</v>
      </c>
      <c r="J1505" s="1">
        <v>44740</v>
      </c>
      <c r="K1505">
        <v>1344</v>
      </c>
      <c r="L1505" t="s">
        <v>3611</v>
      </c>
      <c r="M1505">
        <v>9</v>
      </c>
      <c r="N1505" t="str">
        <f>VLOOKUP(M1505,[1]LOJA!$A:$B,2,0)</f>
        <v>ÚNICA</v>
      </c>
      <c r="O1505">
        <v>176</v>
      </c>
      <c r="P1505" t="str">
        <f>VLOOKUP(O1505,[1]OPERADORES!$A:$B,2,0)</f>
        <v>EDUARDO DE JESUS BALDUINO</v>
      </c>
      <c r="Q1505">
        <v>23</v>
      </c>
      <c r="R1505">
        <v>20440</v>
      </c>
      <c r="S1505" t="s">
        <v>55</v>
      </c>
      <c r="T1505" s="1">
        <v>44650</v>
      </c>
      <c r="U1505">
        <v>190.07</v>
      </c>
      <c r="V1505">
        <v>190.07</v>
      </c>
    </row>
    <row r="1506" spans="1:22" x14ac:dyDescent="0.3">
      <c r="A1506" t="s">
        <v>3561</v>
      </c>
      <c r="B1506" t="s">
        <v>3562</v>
      </c>
      <c r="C1506" t="s">
        <v>13</v>
      </c>
      <c r="D1506" t="s">
        <v>3563</v>
      </c>
      <c r="E1506" t="s">
        <v>15</v>
      </c>
      <c r="J1506" s="1">
        <v>44740</v>
      </c>
      <c r="K1506">
        <v>1344</v>
      </c>
      <c r="L1506" t="s">
        <v>3612</v>
      </c>
      <c r="M1506">
        <v>9</v>
      </c>
      <c r="N1506" t="str">
        <f>VLOOKUP(M1506,[1]LOJA!$A:$B,2,0)</f>
        <v>ÚNICA</v>
      </c>
      <c r="O1506">
        <v>176</v>
      </c>
      <c r="P1506" t="str">
        <f>VLOOKUP(O1506,[1]OPERADORES!$A:$B,2,0)</f>
        <v>EDUARDO DE JESUS BALDUINO</v>
      </c>
      <c r="Q1506">
        <v>23</v>
      </c>
      <c r="R1506">
        <v>21893</v>
      </c>
      <c r="S1506" t="s">
        <v>53</v>
      </c>
      <c r="T1506" s="1">
        <v>44680</v>
      </c>
      <c r="U1506">
        <v>93.34</v>
      </c>
      <c r="V1506">
        <v>93.34</v>
      </c>
    </row>
    <row r="1507" spans="1:22" x14ac:dyDescent="0.3">
      <c r="A1507" t="s">
        <v>3561</v>
      </c>
      <c r="B1507" t="s">
        <v>3562</v>
      </c>
      <c r="C1507" t="s">
        <v>13</v>
      </c>
      <c r="D1507" t="s">
        <v>3563</v>
      </c>
      <c r="E1507" t="s">
        <v>15</v>
      </c>
      <c r="J1507" s="1">
        <v>44741</v>
      </c>
      <c r="K1507">
        <v>1343</v>
      </c>
      <c r="L1507" t="s">
        <v>3613</v>
      </c>
      <c r="M1507">
        <v>9</v>
      </c>
      <c r="N1507" t="str">
        <f>VLOOKUP(M1507,[1]LOJA!$A:$B,2,0)</f>
        <v>ÚNICA</v>
      </c>
      <c r="O1507">
        <v>176</v>
      </c>
      <c r="P1507" t="str">
        <f>VLOOKUP(O1507,[1]OPERADORES!$A:$B,2,0)</f>
        <v>EDUARDO DE JESUS BALDUINO</v>
      </c>
      <c r="Q1507">
        <v>23</v>
      </c>
      <c r="R1507">
        <v>20481</v>
      </c>
      <c r="S1507" t="s">
        <v>55</v>
      </c>
      <c r="T1507" s="1">
        <v>44651</v>
      </c>
      <c r="U1507">
        <v>690.15</v>
      </c>
      <c r="V1507">
        <v>690.15</v>
      </c>
    </row>
    <row r="1508" spans="1:22" x14ac:dyDescent="0.3">
      <c r="A1508" t="s">
        <v>3561</v>
      </c>
      <c r="B1508" t="s">
        <v>3562</v>
      </c>
      <c r="C1508" t="s">
        <v>13</v>
      </c>
      <c r="D1508" t="s">
        <v>3563</v>
      </c>
      <c r="E1508" t="s">
        <v>15</v>
      </c>
      <c r="J1508" s="1">
        <v>44741</v>
      </c>
      <c r="K1508">
        <v>1343</v>
      </c>
      <c r="L1508" t="s">
        <v>3614</v>
      </c>
      <c r="M1508">
        <v>9</v>
      </c>
      <c r="N1508" t="str">
        <f>VLOOKUP(M1508,[1]LOJA!$A:$B,2,0)</f>
        <v>ÚNICA</v>
      </c>
      <c r="O1508">
        <v>176</v>
      </c>
      <c r="P1508" t="str">
        <f>VLOOKUP(O1508,[1]OPERADORES!$A:$B,2,0)</f>
        <v>EDUARDO DE JESUS BALDUINO</v>
      </c>
      <c r="Q1508">
        <v>23</v>
      </c>
      <c r="R1508">
        <v>23485</v>
      </c>
      <c r="S1508" t="s">
        <v>51</v>
      </c>
      <c r="T1508" s="1">
        <v>44711</v>
      </c>
      <c r="U1508">
        <v>261.66000000000003</v>
      </c>
      <c r="V1508">
        <v>261.66000000000003</v>
      </c>
    </row>
    <row r="1509" spans="1:22" x14ac:dyDescent="0.3">
      <c r="A1509" t="s">
        <v>3561</v>
      </c>
      <c r="B1509" t="s">
        <v>3562</v>
      </c>
      <c r="C1509" t="s">
        <v>13</v>
      </c>
      <c r="D1509" t="s">
        <v>3563</v>
      </c>
      <c r="E1509" t="s">
        <v>15</v>
      </c>
      <c r="J1509" s="1">
        <v>44741</v>
      </c>
      <c r="K1509">
        <v>1343</v>
      </c>
      <c r="L1509" t="s">
        <v>3615</v>
      </c>
      <c r="M1509">
        <v>9</v>
      </c>
      <c r="N1509" t="str">
        <f>VLOOKUP(M1509,[1]LOJA!$A:$B,2,0)</f>
        <v>ÚNICA</v>
      </c>
      <c r="O1509">
        <v>176</v>
      </c>
      <c r="P1509" t="str">
        <f>VLOOKUP(O1509,[1]OPERADORES!$A:$B,2,0)</f>
        <v>EDUARDO DE JESUS BALDUINO</v>
      </c>
      <c r="Q1509">
        <v>23</v>
      </c>
      <c r="R1509">
        <v>23519</v>
      </c>
      <c r="S1509" t="s">
        <v>51</v>
      </c>
      <c r="T1509" s="1">
        <v>44711</v>
      </c>
      <c r="U1509">
        <v>47.4</v>
      </c>
      <c r="V1509">
        <v>47.4</v>
      </c>
    </row>
    <row r="1510" spans="1:22" x14ac:dyDescent="0.3">
      <c r="A1510" t="s">
        <v>3561</v>
      </c>
      <c r="B1510" t="s">
        <v>3562</v>
      </c>
      <c r="C1510" t="s">
        <v>13</v>
      </c>
      <c r="D1510" t="s">
        <v>3563</v>
      </c>
      <c r="E1510" t="s">
        <v>15</v>
      </c>
      <c r="J1510" s="1">
        <v>44741</v>
      </c>
      <c r="K1510">
        <v>1343</v>
      </c>
      <c r="L1510" t="s">
        <v>3616</v>
      </c>
      <c r="M1510">
        <v>9</v>
      </c>
      <c r="N1510" t="str">
        <f>VLOOKUP(M1510,[1]LOJA!$A:$B,2,0)</f>
        <v>ÚNICA</v>
      </c>
      <c r="O1510">
        <v>176</v>
      </c>
      <c r="P1510" t="str">
        <f>VLOOKUP(O1510,[1]OPERADORES!$A:$B,2,0)</f>
        <v>EDUARDO DE JESUS BALDUINO</v>
      </c>
      <c r="Q1510">
        <v>23</v>
      </c>
      <c r="R1510">
        <v>23543</v>
      </c>
      <c r="S1510" t="s">
        <v>87</v>
      </c>
      <c r="T1510" s="1">
        <v>44711</v>
      </c>
      <c r="U1510">
        <v>106</v>
      </c>
      <c r="V1510">
        <v>106</v>
      </c>
    </row>
    <row r="1511" spans="1:22" x14ac:dyDescent="0.3">
      <c r="A1511" t="s">
        <v>3561</v>
      </c>
      <c r="B1511" t="s">
        <v>3562</v>
      </c>
      <c r="C1511" t="s">
        <v>13</v>
      </c>
      <c r="D1511" t="s">
        <v>3563</v>
      </c>
      <c r="E1511" t="s">
        <v>15</v>
      </c>
      <c r="J1511" s="1">
        <v>44742</v>
      </c>
      <c r="K1511">
        <v>1342</v>
      </c>
      <c r="L1511" t="s">
        <v>3617</v>
      </c>
      <c r="M1511">
        <v>9</v>
      </c>
      <c r="N1511" t="str">
        <f>VLOOKUP(M1511,[1]LOJA!$A:$B,2,0)</f>
        <v>ÚNICA</v>
      </c>
      <c r="O1511">
        <v>176</v>
      </c>
      <c r="P1511" t="str">
        <f>VLOOKUP(O1511,[1]OPERADORES!$A:$B,2,0)</f>
        <v>EDUARDO DE JESUS BALDUINO</v>
      </c>
      <c r="Q1511">
        <v>23</v>
      </c>
      <c r="R1511">
        <v>20721</v>
      </c>
      <c r="S1511" t="s">
        <v>55</v>
      </c>
      <c r="T1511" s="1">
        <v>44652</v>
      </c>
      <c r="U1511">
        <v>419.4</v>
      </c>
      <c r="V1511">
        <v>419.4</v>
      </c>
    </row>
    <row r="1512" spans="1:22" x14ac:dyDescent="0.3">
      <c r="A1512" t="s">
        <v>3561</v>
      </c>
      <c r="B1512" t="s">
        <v>3562</v>
      </c>
      <c r="C1512" t="s">
        <v>13</v>
      </c>
      <c r="D1512" t="s">
        <v>3563</v>
      </c>
      <c r="E1512" t="s">
        <v>15</v>
      </c>
      <c r="J1512" s="1">
        <v>44743</v>
      </c>
      <c r="K1512">
        <v>1341</v>
      </c>
      <c r="L1512" t="s">
        <v>3618</v>
      </c>
      <c r="M1512">
        <v>9</v>
      </c>
      <c r="N1512" t="str">
        <f>VLOOKUP(M1512,[1]LOJA!$A:$B,2,0)</f>
        <v>ÚNICA</v>
      </c>
      <c r="O1512">
        <v>176</v>
      </c>
      <c r="P1512" t="str">
        <f>VLOOKUP(O1512,[1]OPERADORES!$A:$B,2,0)</f>
        <v>EDUARDO DE JESUS BALDUINO</v>
      </c>
      <c r="Q1512">
        <v>23</v>
      </c>
      <c r="R1512">
        <v>23725</v>
      </c>
      <c r="S1512" t="s">
        <v>51</v>
      </c>
      <c r="T1512" s="1">
        <v>44713</v>
      </c>
      <c r="U1512">
        <v>93.39</v>
      </c>
      <c r="V1512">
        <v>93.39</v>
      </c>
    </row>
    <row r="1513" spans="1:22" x14ac:dyDescent="0.3">
      <c r="A1513" t="s">
        <v>3561</v>
      </c>
      <c r="B1513" t="s">
        <v>3562</v>
      </c>
      <c r="C1513" t="s">
        <v>13</v>
      </c>
      <c r="D1513" t="s">
        <v>3563</v>
      </c>
      <c r="E1513" t="s">
        <v>15</v>
      </c>
      <c r="J1513" s="1">
        <v>44743</v>
      </c>
      <c r="K1513">
        <v>1341</v>
      </c>
      <c r="L1513" t="s">
        <v>3619</v>
      </c>
      <c r="M1513">
        <v>9</v>
      </c>
      <c r="N1513" t="str">
        <f>VLOOKUP(M1513,[1]LOJA!$A:$B,2,0)</f>
        <v>ÚNICA</v>
      </c>
      <c r="O1513">
        <v>94</v>
      </c>
      <c r="P1513" t="str">
        <f>VLOOKUP(O1513,[1]OPERADORES!$A:$B,2,0)</f>
        <v>VANESSA KOBELUS</v>
      </c>
      <c r="S1513" t="s">
        <v>3620</v>
      </c>
      <c r="T1513" s="1">
        <v>44742</v>
      </c>
      <c r="U1513">
        <v>-285.08999999999997</v>
      </c>
      <c r="V1513">
        <v>-285.08999999999997</v>
      </c>
    </row>
    <row r="1514" spans="1:22" x14ac:dyDescent="0.3">
      <c r="A1514" t="s">
        <v>3561</v>
      </c>
      <c r="B1514" t="s">
        <v>3562</v>
      </c>
      <c r="C1514" t="s">
        <v>13</v>
      </c>
      <c r="D1514" t="s">
        <v>3563</v>
      </c>
      <c r="E1514" t="s">
        <v>15</v>
      </c>
      <c r="J1514" s="1">
        <v>44743</v>
      </c>
      <c r="K1514">
        <v>1341</v>
      </c>
      <c r="L1514" t="s">
        <v>3621</v>
      </c>
      <c r="M1514">
        <v>9</v>
      </c>
      <c r="N1514" t="str">
        <f>VLOOKUP(M1514,[1]LOJA!$A:$B,2,0)</f>
        <v>ÚNICA</v>
      </c>
      <c r="O1514">
        <v>94</v>
      </c>
      <c r="P1514" t="str">
        <f>VLOOKUP(O1514,[1]OPERADORES!$A:$B,2,0)</f>
        <v>VANESSA KOBELUS</v>
      </c>
      <c r="S1514" t="s">
        <v>3622</v>
      </c>
      <c r="T1514" s="1">
        <v>44742</v>
      </c>
      <c r="U1514" s="2">
        <v>-1413</v>
      </c>
      <c r="V1514" s="2">
        <v>-1413</v>
      </c>
    </row>
    <row r="1515" spans="1:22" x14ac:dyDescent="0.3">
      <c r="A1515" t="s">
        <v>3561</v>
      </c>
      <c r="B1515" t="s">
        <v>3562</v>
      </c>
      <c r="C1515" t="s">
        <v>13</v>
      </c>
      <c r="D1515" t="s">
        <v>3563</v>
      </c>
      <c r="E1515" t="s">
        <v>15</v>
      </c>
      <c r="J1515" s="1">
        <v>44745</v>
      </c>
      <c r="K1515">
        <v>1339</v>
      </c>
      <c r="L1515" t="s">
        <v>3623</v>
      </c>
      <c r="M1515">
        <v>9</v>
      </c>
      <c r="N1515" t="str">
        <f>VLOOKUP(M1515,[1]LOJA!$A:$B,2,0)</f>
        <v>ÚNICA</v>
      </c>
      <c r="O1515">
        <v>176</v>
      </c>
      <c r="P1515" t="str">
        <f>VLOOKUP(O1515,[1]OPERADORES!$A:$B,2,0)</f>
        <v>EDUARDO DE JESUS BALDUINO</v>
      </c>
      <c r="Q1515">
        <v>23</v>
      </c>
      <c r="R1515">
        <v>23758</v>
      </c>
      <c r="S1515" t="s">
        <v>51</v>
      </c>
      <c r="T1515" s="1">
        <v>44715</v>
      </c>
      <c r="U1515">
        <v>35.26</v>
      </c>
      <c r="V1515">
        <v>35.26</v>
      </c>
    </row>
    <row r="1516" spans="1:22" x14ac:dyDescent="0.3">
      <c r="A1516" t="s">
        <v>3561</v>
      </c>
      <c r="B1516" t="s">
        <v>3562</v>
      </c>
      <c r="C1516" t="s">
        <v>13</v>
      </c>
      <c r="D1516" t="s">
        <v>3563</v>
      </c>
      <c r="E1516" t="s">
        <v>15</v>
      </c>
      <c r="J1516" s="1">
        <v>44745</v>
      </c>
      <c r="K1516">
        <v>1339</v>
      </c>
      <c r="L1516" t="s">
        <v>3624</v>
      </c>
      <c r="M1516">
        <v>9</v>
      </c>
      <c r="N1516" t="str">
        <f>VLOOKUP(M1516,[1]LOJA!$A:$B,2,0)</f>
        <v>ÚNICA</v>
      </c>
      <c r="O1516">
        <v>176</v>
      </c>
      <c r="P1516" t="str">
        <f>VLOOKUP(O1516,[1]OPERADORES!$A:$B,2,0)</f>
        <v>EDUARDO DE JESUS BALDUINO</v>
      </c>
      <c r="Q1516">
        <v>23</v>
      </c>
      <c r="R1516">
        <v>23782</v>
      </c>
      <c r="S1516" t="s">
        <v>51</v>
      </c>
      <c r="T1516" s="1">
        <v>44715</v>
      </c>
      <c r="U1516">
        <v>73.400000000000006</v>
      </c>
      <c r="V1516">
        <v>73.400000000000006</v>
      </c>
    </row>
    <row r="1517" spans="1:22" x14ac:dyDescent="0.3">
      <c r="A1517" t="s">
        <v>3561</v>
      </c>
      <c r="B1517" t="s">
        <v>3562</v>
      </c>
      <c r="C1517" t="s">
        <v>13</v>
      </c>
      <c r="D1517" t="s">
        <v>3563</v>
      </c>
      <c r="E1517" t="s">
        <v>15</v>
      </c>
      <c r="J1517" s="1">
        <v>44746</v>
      </c>
      <c r="K1517">
        <v>1338</v>
      </c>
      <c r="L1517" t="s">
        <v>3625</v>
      </c>
      <c r="M1517">
        <v>9</v>
      </c>
      <c r="N1517" t="str">
        <f>VLOOKUP(M1517,[1]LOJA!$A:$B,2,0)</f>
        <v>ÚNICA</v>
      </c>
      <c r="O1517">
        <v>176</v>
      </c>
      <c r="P1517" t="str">
        <f>VLOOKUP(O1517,[1]OPERADORES!$A:$B,2,0)</f>
        <v>EDUARDO DE JESUS BALDUINO</v>
      </c>
      <c r="Q1517">
        <v>23</v>
      </c>
      <c r="R1517">
        <v>20820</v>
      </c>
      <c r="S1517" t="s">
        <v>55</v>
      </c>
      <c r="T1517" s="1">
        <v>44656</v>
      </c>
      <c r="U1517">
        <v>247.01</v>
      </c>
      <c r="V1517">
        <v>247.01</v>
      </c>
    </row>
    <row r="1518" spans="1:22" x14ac:dyDescent="0.3">
      <c r="A1518" t="s">
        <v>3561</v>
      </c>
      <c r="B1518" t="s">
        <v>3562</v>
      </c>
      <c r="C1518" t="s">
        <v>13</v>
      </c>
      <c r="D1518" t="s">
        <v>3563</v>
      </c>
      <c r="E1518" t="s">
        <v>15</v>
      </c>
      <c r="J1518" s="1">
        <v>44748</v>
      </c>
      <c r="K1518">
        <v>1336</v>
      </c>
      <c r="L1518" t="s">
        <v>3626</v>
      </c>
      <c r="M1518">
        <v>9</v>
      </c>
      <c r="N1518" t="str">
        <f>VLOOKUP(M1518,[1]LOJA!$A:$B,2,0)</f>
        <v>ÚNICA</v>
      </c>
      <c r="O1518">
        <v>176</v>
      </c>
      <c r="P1518" t="str">
        <f>VLOOKUP(O1518,[1]OPERADORES!$A:$B,2,0)</f>
        <v>EDUARDO DE JESUS BALDUINO</v>
      </c>
      <c r="Q1518">
        <v>23</v>
      </c>
      <c r="R1518">
        <v>23840</v>
      </c>
      <c r="S1518" t="s">
        <v>51</v>
      </c>
      <c r="T1518" s="1">
        <v>44718</v>
      </c>
      <c r="U1518">
        <v>30.2</v>
      </c>
      <c r="V1518">
        <v>30.2</v>
      </c>
    </row>
    <row r="1519" spans="1:22" x14ac:dyDescent="0.3">
      <c r="A1519" t="s">
        <v>3561</v>
      </c>
      <c r="B1519" t="s">
        <v>3562</v>
      </c>
      <c r="C1519" t="s">
        <v>13</v>
      </c>
      <c r="D1519" t="s">
        <v>3563</v>
      </c>
      <c r="E1519" t="s">
        <v>15</v>
      </c>
      <c r="J1519" s="1">
        <v>44749</v>
      </c>
      <c r="K1519">
        <v>1335</v>
      </c>
      <c r="L1519" t="s">
        <v>3627</v>
      </c>
      <c r="M1519">
        <v>9</v>
      </c>
      <c r="N1519" t="str">
        <f>VLOOKUP(M1519,[1]LOJA!$A:$B,2,0)</f>
        <v>ÚNICA</v>
      </c>
      <c r="O1519">
        <v>176</v>
      </c>
      <c r="P1519" t="str">
        <f>VLOOKUP(O1519,[1]OPERADORES!$A:$B,2,0)</f>
        <v>EDUARDO DE JESUS BALDUINO</v>
      </c>
      <c r="Q1519">
        <v>23</v>
      </c>
      <c r="R1519">
        <v>20903</v>
      </c>
      <c r="S1519" t="s">
        <v>55</v>
      </c>
      <c r="T1519" s="1">
        <v>44659</v>
      </c>
      <c r="U1519">
        <v>737.7</v>
      </c>
      <c r="V1519">
        <v>737.7</v>
      </c>
    </row>
    <row r="1520" spans="1:22" x14ac:dyDescent="0.3">
      <c r="A1520" t="s">
        <v>3561</v>
      </c>
      <c r="B1520" t="s">
        <v>3562</v>
      </c>
      <c r="C1520" t="s">
        <v>13</v>
      </c>
      <c r="D1520" t="s">
        <v>3563</v>
      </c>
      <c r="E1520" t="s">
        <v>15</v>
      </c>
      <c r="J1520" s="1">
        <v>44750</v>
      </c>
      <c r="K1520">
        <v>1334</v>
      </c>
      <c r="L1520" t="s">
        <v>3628</v>
      </c>
      <c r="M1520">
        <v>9</v>
      </c>
      <c r="N1520" t="str">
        <f>VLOOKUP(M1520,[1]LOJA!$A:$B,2,0)</f>
        <v>ÚNICA</v>
      </c>
      <c r="O1520">
        <v>176</v>
      </c>
      <c r="P1520" t="str">
        <f>VLOOKUP(O1520,[1]OPERADORES!$A:$B,2,0)</f>
        <v>EDUARDO DE JESUS BALDUINO</v>
      </c>
      <c r="Q1520">
        <v>23</v>
      </c>
      <c r="R1520">
        <v>24095</v>
      </c>
      <c r="S1520" t="s">
        <v>51</v>
      </c>
      <c r="T1520" s="1">
        <v>44720</v>
      </c>
      <c r="U1520">
        <v>84.37</v>
      </c>
      <c r="V1520">
        <v>84.37</v>
      </c>
    </row>
    <row r="1521" spans="1:22" x14ac:dyDescent="0.3">
      <c r="A1521" t="s">
        <v>3561</v>
      </c>
      <c r="B1521" t="s">
        <v>3562</v>
      </c>
      <c r="C1521" t="s">
        <v>13</v>
      </c>
      <c r="D1521" t="s">
        <v>3563</v>
      </c>
      <c r="E1521" t="s">
        <v>15</v>
      </c>
      <c r="J1521" s="1">
        <v>44754</v>
      </c>
      <c r="K1521">
        <v>1330</v>
      </c>
      <c r="L1521" t="s">
        <v>3629</v>
      </c>
      <c r="M1521">
        <v>9</v>
      </c>
      <c r="N1521" t="str">
        <f>VLOOKUP(M1521,[1]LOJA!$A:$B,2,0)</f>
        <v>ÚNICA</v>
      </c>
      <c r="O1521">
        <v>176</v>
      </c>
      <c r="P1521" t="str">
        <f>VLOOKUP(O1521,[1]OPERADORES!$A:$B,2,0)</f>
        <v>EDUARDO DE JESUS BALDUINO</v>
      </c>
      <c r="Q1521">
        <v>23</v>
      </c>
      <c r="R1521">
        <v>21224</v>
      </c>
      <c r="S1521" t="s">
        <v>55</v>
      </c>
      <c r="T1521" s="1">
        <v>44664</v>
      </c>
      <c r="U1521">
        <v>167.43</v>
      </c>
      <c r="V1521">
        <v>167.43</v>
      </c>
    </row>
    <row r="1522" spans="1:22" x14ac:dyDescent="0.3">
      <c r="A1522" t="s">
        <v>3561</v>
      </c>
      <c r="B1522" t="s">
        <v>3562</v>
      </c>
      <c r="C1522" t="s">
        <v>13</v>
      </c>
      <c r="D1522" t="s">
        <v>3563</v>
      </c>
      <c r="E1522" t="s">
        <v>15</v>
      </c>
      <c r="J1522" s="1">
        <v>44754</v>
      </c>
      <c r="K1522">
        <v>1330</v>
      </c>
      <c r="L1522" t="s">
        <v>3630</v>
      </c>
      <c r="M1522">
        <v>9</v>
      </c>
      <c r="N1522" t="str">
        <f>VLOOKUP(M1522,[1]LOJA!$A:$B,2,0)</f>
        <v>ÚNICA</v>
      </c>
      <c r="O1522">
        <v>176</v>
      </c>
      <c r="P1522" t="str">
        <f>VLOOKUP(O1522,[1]OPERADORES!$A:$B,2,0)</f>
        <v>EDUARDO DE JESUS BALDUINO</v>
      </c>
      <c r="Q1522">
        <v>23</v>
      </c>
      <c r="R1522">
        <v>22503</v>
      </c>
      <c r="S1522" t="s">
        <v>53</v>
      </c>
      <c r="T1522" s="1">
        <v>44694</v>
      </c>
      <c r="U1522">
        <v>53.52</v>
      </c>
      <c r="V1522">
        <v>53.52</v>
      </c>
    </row>
    <row r="1523" spans="1:22" x14ac:dyDescent="0.3">
      <c r="A1523" t="s">
        <v>3561</v>
      </c>
      <c r="B1523" t="s">
        <v>3562</v>
      </c>
      <c r="C1523" t="s">
        <v>13</v>
      </c>
      <c r="D1523" t="s">
        <v>3563</v>
      </c>
      <c r="E1523" t="s">
        <v>15</v>
      </c>
      <c r="J1523" s="1">
        <v>44754</v>
      </c>
      <c r="K1523">
        <v>1330</v>
      </c>
      <c r="L1523" t="s">
        <v>3631</v>
      </c>
      <c r="M1523">
        <v>9</v>
      </c>
      <c r="N1523" t="str">
        <f>VLOOKUP(M1523,[1]LOJA!$A:$B,2,0)</f>
        <v>ÚNICA</v>
      </c>
      <c r="O1523">
        <v>176</v>
      </c>
      <c r="P1523" t="str">
        <f>VLOOKUP(O1523,[1]OPERADORES!$A:$B,2,0)</f>
        <v>EDUARDO DE JESUS BALDUINO</v>
      </c>
      <c r="Q1523">
        <v>23</v>
      </c>
      <c r="R1523">
        <v>22552</v>
      </c>
      <c r="S1523" t="s">
        <v>53</v>
      </c>
      <c r="T1523" s="1">
        <v>44694</v>
      </c>
      <c r="U1523">
        <v>40.68</v>
      </c>
      <c r="V1523">
        <v>40.68</v>
      </c>
    </row>
    <row r="1524" spans="1:22" x14ac:dyDescent="0.3">
      <c r="A1524" t="s">
        <v>3561</v>
      </c>
      <c r="B1524" t="s">
        <v>3562</v>
      </c>
      <c r="C1524" t="s">
        <v>13</v>
      </c>
      <c r="D1524" t="s">
        <v>3563</v>
      </c>
      <c r="E1524" t="s">
        <v>15</v>
      </c>
      <c r="J1524" s="1">
        <v>44756</v>
      </c>
      <c r="K1524">
        <v>1328</v>
      </c>
      <c r="L1524" t="s">
        <v>3632</v>
      </c>
      <c r="M1524">
        <v>9</v>
      </c>
      <c r="N1524" t="str">
        <f>VLOOKUP(M1524,[1]LOJA!$A:$B,2,0)</f>
        <v>ÚNICA</v>
      </c>
      <c r="O1524">
        <v>176</v>
      </c>
      <c r="P1524" t="str">
        <f>VLOOKUP(O1524,[1]OPERADORES!$A:$B,2,0)</f>
        <v>EDUARDO DE JESUS BALDUINO</v>
      </c>
      <c r="Q1524">
        <v>23</v>
      </c>
      <c r="R1524">
        <v>24236</v>
      </c>
      <c r="S1524" t="s">
        <v>51</v>
      </c>
      <c r="T1524" s="1">
        <v>44726</v>
      </c>
      <c r="U1524">
        <v>68.5</v>
      </c>
      <c r="V1524">
        <v>68.5</v>
      </c>
    </row>
    <row r="1525" spans="1:22" x14ac:dyDescent="0.3">
      <c r="A1525" t="s">
        <v>3561</v>
      </c>
      <c r="B1525" t="s">
        <v>3562</v>
      </c>
      <c r="C1525" t="s">
        <v>13</v>
      </c>
      <c r="D1525" t="s">
        <v>3563</v>
      </c>
      <c r="E1525" t="s">
        <v>15</v>
      </c>
      <c r="J1525" s="1">
        <v>44756</v>
      </c>
      <c r="K1525">
        <v>1328</v>
      </c>
      <c r="L1525" t="s">
        <v>3633</v>
      </c>
      <c r="M1525">
        <v>9</v>
      </c>
      <c r="N1525" t="str">
        <f>VLOOKUP(M1525,[1]LOJA!$A:$B,2,0)</f>
        <v>ÚNICA</v>
      </c>
      <c r="O1525">
        <v>176</v>
      </c>
      <c r="P1525" t="str">
        <f>VLOOKUP(O1525,[1]OPERADORES!$A:$B,2,0)</f>
        <v>EDUARDO DE JESUS BALDUINO</v>
      </c>
      <c r="Q1525">
        <v>23</v>
      </c>
      <c r="R1525">
        <v>24293</v>
      </c>
      <c r="S1525" t="s">
        <v>51</v>
      </c>
      <c r="T1525" s="1">
        <v>44726</v>
      </c>
      <c r="U1525">
        <v>101.24</v>
      </c>
      <c r="V1525">
        <v>101.24</v>
      </c>
    </row>
    <row r="1526" spans="1:22" x14ac:dyDescent="0.3">
      <c r="A1526" t="s">
        <v>3561</v>
      </c>
      <c r="B1526" t="s">
        <v>3562</v>
      </c>
      <c r="C1526" t="s">
        <v>13</v>
      </c>
      <c r="D1526" t="s">
        <v>3563</v>
      </c>
      <c r="E1526" t="s">
        <v>15</v>
      </c>
      <c r="J1526" s="1">
        <v>44759</v>
      </c>
      <c r="K1526">
        <v>1325</v>
      </c>
      <c r="L1526" t="s">
        <v>3634</v>
      </c>
      <c r="M1526">
        <v>9</v>
      </c>
      <c r="N1526" t="str">
        <f>VLOOKUP(M1526,[1]LOJA!$A:$B,2,0)</f>
        <v>ÚNICA</v>
      </c>
      <c r="O1526">
        <v>176</v>
      </c>
      <c r="P1526" t="str">
        <f>VLOOKUP(O1526,[1]OPERADORES!$A:$B,2,0)</f>
        <v>EDUARDO DE JESUS BALDUINO</v>
      </c>
      <c r="Q1526">
        <v>23</v>
      </c>
      <c r="R1526">
        <v>22776</v>
      </c>
      <c r="S1526" t="s">
        <v>53</v>
      </c>
      <c r="T1526" s="1">
        <v>44699</v>
      </c>
      <c r="U1526">
        <v>90.82</v>
      </c>
      <c r="V1526">
        <v>90.82</v>
      </c>
    </row>
    <row r="1527" spans="1:22" x14ac:dyDescent="0.3">
      <c r="A1527" t="s">
        <v>3561</v>
      </c>
      <c r="B1527" t="s">
        <v>3562</v>
      </c>
      <c r="C1527" t="s">
        <v>13</v>
      </c>
      <c r="D1527" t="s">
        <v>3563</v>
      </c>
      <c r="E1527" t="s">
        <v>15</v>
      </c>
      <c r="J1527" s="1">
        <v>44760</v>
      </c>
      <c r="K1527">
        <v>1324</v>
      </c>
      <c r="L1527" t="s">
        <v>3635</v>
      </c>
      <c r="M1527">
        <v>9</v>
      </c>
      <c r="N1527" t="str">
        <f>VLOOKUP(M1527,[1]LOJA!$A:$B,2,0)</f>
        <v>ÚNICA</v>
      </c>
      <c r="O1527">
        <v>176</v>
      </c>
      <c r="P1527" t="str">
        <f>VLOOKUP(O1527,[1]OPERADORES!$A:$B,2,0)</f>
        <v>EDUARDO DE JESUS BALDUINO</v>
      </c>
      <c r="Q1527">
        <v>23</v>
      </c>
      <c r="R1527">
        <v>21364</v>
      </c>
      <c r="S1527" t="s">
        <v>55</v>
      </c>
      <c r="T1527" s="1">
        <v>44670</v>
      </c>
      <c r="U1527">
        <v>84.89</v>
      </c>
      <c r="V1527">
        <v>84.89</v>
      </c>
    </row>
    <row r="1528" spans="1:22" x14ac:dyDescent="0.3">
      <c r="A1528" t="s">
        <v>3561</v>
      </c>
      <c r="B1528" t="s">
        <v>3562</v>
      </c>
      <c r="C1528" t="s">
        <v>13</v>
      </c>
      <c r="D1528" t="s">
        <v>3563</v>
      </c>
      <c r="E1528" t="s">
        <v>15</v>
      </c>
      <c r="J1528" s="1">
        <v>44760</v>
      </c>
      <c r="K1528">
        <v>1324</v>
      </c>
      <c r="L1528" t="s">
        <v>3636</v>
      </c>
      <c r="M1528">
        <v>9</v>
      </c>
      <c r="N1528" t="str">
        <f>VLOOKUP(M1528,[1]LOJA!$A:$B,2,0)</f>
        <v>ÚNICA</v>
      </c>
      <c r="O1528">
        <v>176</v>
      </c>
      <c r="P1528" t="str">
        <f>VLOOKUP(O1528,[1]OPERADORES!$A:$B,2,0)</f>
        <v>EDUARDO DE JESUS BALDUINO</v>
      </c>
      <c r="Q1528">
        <v>23</v>
      </c>
      <c r="R1528">
        <v>21398</v>
      </c>
      <c r="S1528" t="s">
        <v>55</v>
      </c>
      <c r="T1528" s="1">
        <v>44670</v>
      </c>
      <c r="U1528">
        <v>75.55</v>
      </c>
      <c r="V1528">
        <v>75.55</v>
      </c>
    </row>
    <row r="1529" spans="1:22" x14ac:dyDescent="0.3">
      <c r="A1529" t="s">
        <v>3561</v>
      </c>
      <c r="B1529" t="s">
        <v>3562</v>
      </c>
      <c r="C1529" t="s">
        <v>13</v>
      </c>
      <c r="D1529" t="s">
        <v>3563</v>
      </c>
      <c r="E1529" t="s">
        <v>15</v>
      </c>
      <c r="J1529" s="1">
        <v>44760</v>
      </c>
      <c r="K1529">
        <v>1324</v>
      </c>
      <c r="L1529" t="s">
        <v>3637</v>
      </c>
      <c r="M1529">
        <v>9</v>
      </c>
      <c r="N1529" t="str">
        <f>VLOOKUP(M1529,[1]LOJA!$A:$B,2,0)</f>
        <v>ÚNICA</v>
      </c>
      <c r="O1529">
        <v>176</v>
      </c>
      <c r="P1529" t="str">
        <f>VLOOKUP(O1529,[1]OPERADORES!$A:$B,2,0)</f>
        <v>EDUARDO DE JESUS BALDUINO</v>
      </c>
      <c r="Q1529">
        <v>23</v>
      </c>
      <c r="R1529">
        <v>22875</v>
      </c>
      <c r="S1529" t="s">
        <v>53</v>
      </c>
      <c r="T1529" s="1">
        <v>44700</v>
      </c>
      <c r="U1529">
        <v>25.32</v>
      </c>
      <c r="V1529">
        <v>25.32</v>
      </c>
    </row>
    <row r="1530" spans="1:22" x14ac:dyDescent="0.3">
      <c r="A1530" t="s">
        <v>3561</v>
      </c>
      <c r="B1530" t="s">
        <v>3562</v>
      </c>
      <c r="C1530" t="s">
        <v>13</v>
      </c>
      <c r="D1530" t="s">
        <v>3563</v>
      </c>
      <c r="E1530" t="s">
        <v>15</v>
      </c>
      <c r="J1530" s="1">
        <v>44764</v>
      </c>
      <c r="K1530">
        <v>1320</v>
      </c>
      <c r="L1530" t="s">
        <v>3638</v>
      </c>
      <c r="M1530">
        <v>9</v>
      </c>
      <c r="N1530" t="str">
        <f>VLOOKUP(M1530,[1]LOJA!$A:$B,2,0)</f>
        <v>ÚNICA</v>
      </c>
      <c r="O1530">
        <v>176</v>
      </c>
      <c r="P1530" t="str">
        <f>VLOOKUP(O1530,[1]OPERADORES!$A:$B,2,0)</f>
        <v>EDUARDO DE JESUS BALDUINO</v>
      </c>
      <c r="Q1530">
        <v>23</v>
      </c>
      <c r="R1530">
        <v>22974</v>
      </c>
      <c r="S1530" t="s">
        <v>53</v>
      </c>
      <c r="T1530" s="1">
        <v>44704</v>
      </c>
      <c r="U1530">
        <v>107.99</v>
      </c>
      <c r="V1530">
        <v>107.99</v>
      </c>
    </row>
    <row r="1531" spans="1:22" x14ac:dyDescent="0.3">
      <c r="A1531" t="s">
        <v>3561</v>
      </c>
      <c r="B1531" t="s">
        <v>3562</v>
      </c>
      <c r="C1531" t="s">
        <v>13</v>
      </c>
      <c r="D1531" t="s">
        <v>3563</v>
      </c>
      <c r="E1531" t="s">
        <v>15</v>
      </c>
      <c r="J1531" s="1">
        <v>44765</v>
      </c>
      <c r="K1531">
        <v>1319</v>
      </c>
      <c r="L1531" t="s">
        <v>3639</v>
      </c>
      <c r="M1531">
        <v>9</v>
      </c>
      <c r="N1531" t="str">
        <f>VLOOKUP(M1531,[1]LOJA!$A:$B,2,0)</f>
        <v>ÚNICA</v>
      </c>
      <c r="O1531">
        <v>176</v>
      </c>
      <c r="P1531" t="str">
        <f>VLOOKUP(O1531,[1]OPERADORES!$A:$B,2,0)</f>
        <v>EDUARDO DE JESUS BALDUINO</v>
      </c>
      <c r="Q1531">
        <v>23</v>
      </c>
      <c r="R1531">
        <v>23162</v>
      </c>
      <c r="S1531" t="s">
        <v>53</v>
      </c>
      <c r="T1531" s="1">
        <v>44705</v>
      </c>
      <c r="U1531">
        <v>127.91</v>
      </c>
      <c r="V1531">
        <v>127.91</v>
      </c>
    </row>
    <row r="1532" spans="1:22" x14ac:dyDescent="0.3">
      <c r="A1532" t="s">
        <v>3561</v>
      </c>
      <c r="B1532" t="s">
        <v>3562</v>
      </c>
      <c r="C1532" t="s">
        <v>13</v>
      </c>
      <c r="D1532" t="s">
        <v>3563</v>
      </c>
      <c r="E1532" t="s">
        <v>15</v>
      </c>
      <c r="J1532" s="1">
        <v>44765</v>
      </c>
      <c r="K1532">
        <v>1319</v>
      </c>
      <c r="L1532" t="s">
        <v>3640</v>
      </c>
      <c r="M1532">
        <v>9</v>
      </c>
      <c r="N1532" t="str">
        <f>VLOOKUP(M1532,[1]LOJA!$A:$B,2,0)</f>
        <v>ÚNICA</v>
      </c>
      <c r="O1532">
        <v>176</v>
      </c>
      <c r="P1532" t="str">
        <f>VLOOKUP(O1532,[1]OPERADORES!$A:$B,2,0)</f>
        <v>EDUARDO DE JESUS BALDUINO</v>
      </c>
      <c r="Q1532">
        <v>23</v>
      </c>
      <c r="R1532">
        <v>24541</v>
      </c>
      <c r="S1532" t="s">
        <v>51</v>
      </c>
      <c r="T1532" s="1">
        <v>44735</v>
      </c>
      <c r="U1532">
        <v>176.3</v>
      </c>
      <c r="V1532">
        <v>176.3</v>
      </c>
    </row>
    <row r="1533" spans="1:22" x14ac:dyDescent="0.3">
      <c r="A1533" t="s">
        <v>3561</v>
      </c>
      <c r="B1533" t="s">
        <v>3562</v>
      </c>
      <c r="C1533" t="s">
        <v>13</v>
      </c>
      <c r="D1533" t="s">
        <v>3563</v>
      </c>
      <c r="E1533" t="s">
        <v>15</v>
      </c>
      <c r="J1533" s="1">
        <v>44766</v>
      </c>
      <c r="K1533">
        <v>1318</v>
      </c>
      <c r="L1533" t="s">
        <v>3641</v>
      </c>
      <c r="M1533">
        <v>9</v>
      </c>
      <c r="N1533" t="str">
        <f>VLOOKUP(M1533,[1]LOJA!$A:$B,2,0)</f>
        <v>ÚNICA</v>
      </c>
      <c r="O1533">
        <v>176</v>
      </c>
      <c r="P1533" t="str">
        <f>VLOOKUP(O1533,[1]OPERADORES!$A:$B,2,0)</f>
        <v>EDUARDO DE JESUS BALDUINO</v>
      </c>
      <c r="Q1533">
        <v>23</v>
      </c>
      <c r="R1533">
        <v>23279</v>
      </c>
      <c r="S1533" t="s">
        <v>53</v>
      </c>
      <c r="T1533" s="1">
        <v>44706</v>
      </c>
      <c r="U1533">
        <v>80.17</v>
      </c>
      <c r="V1533">
        <v>80.17</v>
      </c>
    </row>
    <row r="1534" spans="1:22" x14ac:dyDescent="0.3">
      <c r="A1534" t="s">
        <v>3561</v>
      </c>
      <c r="B1534" t="s">
        <v>3562</v>
      </c>
      <c r="C1534" t="s">
        <v>13</v>
      </c>
      <c r="D1534" t="s">
        <v>3563</v>
      </c>
      <c r="E1534" t="s">
        <v>15</v>
      </c>
      <c r="J1534" s="1">
        <v>44767</v>
      </c>
      <c r="K1534">
        <v>1317</v>
      </c>
      <c r="L1534" t="s">
        <v>3642</v>
      </c>
      <c r="M1534">
        <v>9</v>
      </c>
      <c r="N1534" t="str">
        <f>VLOOKUP(M1534,[1]LOJA!$A:$B,2,0)</f>
        <v>ÚNICA</v>
      </c>
      <c r="O1534">
        <v>176</v>
      </c>
      <c r="P1534" t="str">
        <f>VLOOKUP(O1534,[1]OPERADORES!$A:$B,2,0)</f>
        <v>EDUARDO DE JESUS BALDUINO</v>
      </c>
      <c r="Q1534">
        <v>23</v>
      </c>
      <c r="R1534">
        <v>21497</v>
      </c>
      <c r="S1534" t="s">
        <v>55</v>
      </c>
      <c r="T1534" s="1">
        <v>44677</v>
      </c>
      <c r="U1534">
        <v>124.88</v>
      </c>
      <c r="V1534">
        <v>124.88</v>
      </c>
    </row>
    <row r="1535" spans="1:22" x14ac:dyDescent="0.3">
      <c r="A1535" t="s">
        <v>3561</v>
      </c>
      <c r="B1535" t="s">
        <v>3562</v>
      </c>
      <c r="C1535" t="s">
        <v>13</v>
      </c>
      <c r="D1535" t="s">
        <v>3563</v>
      </c>
      <c r="E1535" t="s">
        <v>15</v>
      </c>
      <c r="J1535" s="1">
        <v>44768</v>
      </c>
      <c r="K1535">
        <v>1316</v>
      </c>
      <c r="L1535" t="s">
        <v>3643</v>
      </c>
      <c r="M1535">
        <v>9</v>
      </c>
      <c r="N1535" t="str">
        <f>VLOOKUP(M1535,[1]LOJA!$A:$B,2,0)</f>
        <v>ÚNICA</v>
      </c>
      <c r="O1535">
        <v>176</v>
      </c>
      <c r="P1535" t="str">
        <f>VLOOKUP(O1535,[1]OPERADORES!$A:$B,2,0)</f>
        <v>EDUARDO DE JESUS BALDUINO</v>
      </c>
      <c r="Q1535">
        <v>23</v>
      </c>
      <c r="R1535">
        <v>23402</v>
      </c>
      <c r="S1535" t="s">
        <v>53</v>
      </c>
      <c r="T1535" s="1">
        <v>44708</v>
      </c>
      <c r="U1535">
        <v>94.4</v>
      </c>
      <c r="V1535">
        <v>94.4</v>
      </c>
    </row>
    <row r="1536" spans="1:22" x14ac:dyDescent="0.3">
      <c r="A1536" t="s">
        <v>3561</v>
      </c>
      <c r="B1536" t="s">
        <v>3562</v>
      </c>
      <c r="C1536" t="s">
        <v>13</v>
      </c>
      <c r="D1536" t="s">
        <v>3563</v>
      </c>
      <c r="E1536" t="s">
        <v>15</v>
      </c>
      <c r="J1536" s="1">
        <v>44769</v>
      </c>
      <c r="K1536">
        <v>1315</v>
      </c>
      <c r="L1536" t="s">
        <v>3644</v>
      </c>
      <c r="M1536">
        <v>9</v>
      </c>
      <c r="N1536" t="str">
        <f>VLOOKUP(M1536,[1]LOJA!$A:$B,2,0)</f>
        <v>ÚNICA</v>
      </c>
      <c r="O1536">
        <v>176</v>
      </c>
      <c r="P1536" t="str">
        <f>VLOOKUP(O1536,[1]OPERADORES!$A:$B,2,0)</f>
        <v>EDUARDO DE JESUS BALDUINO</v>
      </c>
      <c r="Q1536">
        <v>23</v>
      </c>
      <c r="R1536">
        <v>21869</v>
      </c>
      <c r="S1536" t="s">
        <v>55</v>
      </c>
      <c r="T1536" s="1">
        <v>44679</v>
      </c>
      <c r="U1536">
        <v>168.98</v>
      </c>
      <c r="V1536">
        <v>168.98</v>
      </c>
    </row>
    <row r="1537" spans="1:22" x14ac:dyDescent="0.3">
      <c r="A1537" t="s">
        <v>3561</v>
      </c>
      <c r="B1537" t="s">
        <v>3562</v>
      </c>
      <c r="C1537" t="s">
        <v>13</v>
      </c>
      <c r="D1537" t="s">
        <v>3563</v>
      </c>
      <c r="E1537" t="s">
        <v>15</v>
      </c>
      <c r="J1537" s="1">
        <v>44769</v>
      </c>
      <c r="K1537">
        <v>1315</v>
      </c>
      <c r="L1537" t="s">
        <v>3645</v>
      </c>
      <c r="M1537">
        <v>9</v>
      </c>
      <c r="N1537" t="str">
        <f>VLOOKUP(M1537,[1]LOJA!$A:$B,2,0)</f>
        <v>ÚNICA</v>
      </c>
      <c r="O1537">
        <v>176</v>
      </c>
      <c r="P1537" t="str">
        <f>VLOOKUP(O1537,[1]OPERADORES!$A:$B,2,0)</f>
        <v>EDUARDO DE JESUS BALDUINO</v>
      </c>
      <c r="Q1537">
        <v>23</v>
      </c>
      <c r="R1537">
        <v>24582</v>
      </c>
      <c r="S1537" t="s">
        <v>51</v>
      </c>
      <c r="T1537" s="1">
        <v>44739</v>
      </c>
      <c r="U1537">
        <v>228.69</v>
      </c>
      <c r="V1537">
        <v>228.69</v>
      </c>
    </row>
    <row r="1538" spans="1:22" x14ac:dyDescent="0.3">
      <c r="A1538" t="s">
        <v>3561</v>
      </c>
      <c r="B1538" t="s">
        <v>3562</v>
      </c>
      <c r="C1538" t="s">
        <v>13</v>
      </c>
      <c r="D1538" t="s">
        <v>3563</v>
      </c>
      <c r="E1538" t="s">
        <v>15</v>
      </c>
      <c r="J1538" s="1">
        <v>44770</v>
      </c>
      <c r="K1538">
        <v>1314</v>
      </c>
      <c r="L1538" t="s">
        <v>3646</v>
      </c>
      <c r="M1538">
        <v>9</v>
      </c>
      <c r="N1538" t="str">
        <f>VLOOKUP(M1538,[1]LOJA!$A:$B,2,0)</f>
        <v>ÚNICA</v>
      </c>
      <c r="O1538">
        <v>176</v>
      </c>
      <c r="P1538" t="str">
        <f>VLOOKUP(O1538,[1]OPERADORES!$A:$B,2,0)</f>
        <v>EDUARDO DE JESUS BALDUINO</v>
      </c>
      <c r="Q1538">
        <v>23</v>
      </c>
      <c r="R1538">
        <v>21901</v>
      </c>
      <c r="S1538" t="s">
        <v>55</v>
      </c>
      <c r="T1538" s="1">
        <v>44680</v>
      </c>
      <c r="U1538">
        <v>93.34</v>
      </c>
      <c r="V1538">
        <v>93.34</v>
      </c>
    </row>
    <row r="1539" spans="1:22" x14ac:dyDescent="0.3">
      <c r="A1539" t="s">
        <v>3561</v>
      </c>
      <c r="B1539" t="s">
        <v>3562</v>
      </c>
      <c r="C1539" t="s">
        <v>13</v>
      </c>
      <c r="D1539" t="s">
        <v>3563</v>
      </c>
      <c r="E1539" t="s">
        <v>15</v>
      </c>
      <c r="J1539" s="1">
        <v>44771</v>
      </c>
      <c r="K1539">
        <v>1313</v>
      </c>
      <c r="L1539" t="s">
        <v>3647</v>
      </c>
      <c r="M1539">
        <v>9</v>
      </c>
      <c r="N1539" t="str">
        <f>VLOOKUP(M1539,[1]LOJA!$A:$B,2,0)</f>
        <v>ÚNICA</v>
      </c>
      <c r="O1539">
        <v>176</v>
      </c>
      <c r="P1539" t="str">
        <f>VLOOKUP(O1539,[1]OPERADORES!$A:$B,2,0)</f>
        <v>EDUARDO DE JESUS BALDUINO</v>
      </c>
      <c r="Q1539">
        <v>23</v>
      </c>
      <c r="R1539">
        <v>23493</v>
      </c>
      <c r="S1539" t="s">
        <v>53</v>
      </c>
      <c r="T1539" s="1">
        <v>44711</v>
      </c>
      <c r="U1539">
        <v>261.66000000000003</v>
      </c>
      <c r="V1539">
        <v>261.66000000000003</v>
      </c>
    </row>
    <row r="1540" spans="1:22" x14ac:dyDescent="0.3">
      <c r="A1540" t="s">
        <v>3561</v>
      </c>
      <c r="B1540" t="s">
        <v>3562</v>
      </c>
      <c r="C1540" t="s">
        <v>13</v>
      </c>
      <c r="D1540" t="s">
        <v>3563</v>
      </c>
      <c r="E1540" t="s">
        <v>15</v>
      </c>
      <c r="J1540" s="1">
        <v>44771</v>
      </c>
      <c r="K1540">
        <v>1313</v>
      </c>
      <c r="L1540" t="s">
        <v>3648</v>
      </c>
      <c r="M1540">
        <v>9</v>
      </c>
      <c r="N1540" t="str">
        <f>VLOOKUP(M1540,[1]LOJA!$A:$B,2,0)</f>
        <v>ÚNICA</v>
      </c>
      <c r="O1540">
        <v>176</v>
      </c>
      <c r="P1540" t="str">
        <f>VLOOKUP(O1540,[1]OPERADORES!$A:$B,2,0)</f>
        <v>EDUARDO DE JESUS BALDUINO</v>
      </c>
      <c r="Q1540">
        <v>23</v>
      </c>
      <c r="R1540">
        <v>23527</v>
      </c>
      <c r="S1540" t="s">
        <v>53</v>
      </c>
      <c r="T1540" s="1">
        <v>44711</v>
      </c>
      <c r="U1540">
        <v>47.39</v>
      </c>
      <c r="V1540">
        <v>47.39</v>
      </c>
    </row>
    <row r="1541" spans="1:22" x14ac:dyDescent="0.3">
      <c r="A1541" t="s">
        <v>3561</v>
      </c>
      <c r="B1541" t="s">
        <v>3562</v>
      </c>
      <c r="C1541" t="s">
        <v>13</v>
      </c>
      <c r="D1541" t="s">
        <v>3563</v>
      </c>
      <c r="E1541" t="s">
        <v>15</v>
      </c>
      <c r="J1541" s="1">
        <v>44773</v>
      </c>
      <c r="K1541">
        <v>1311</v>
      </c>
      <c r="L1541" t="s">
        <v>3649</v>
      </c>
      <c r="M1541">
        <v>9</v>
      </c>
      <c r="N1541" t="str">
        <f>VLOOKUP(M1541,[1]LOJA!$A:$B,2,0)</f>
        <v>ÚNICA</v>
      </c>
      <c r="O1541">
        <v>176</v>
      </c>
      <c r="P1541" t="str">
        <f>VLOOKUP(O1541,[1]OPERADORES!$A:$B,2,0)</f>
        <v>EDUARDO DE JESUS BALDUINO</v>
      </c>
      <c r="Q1541">
        <v>23</v>
      </c>
      <c r="R1541">
        <v>23733</v>
      </c>
      <c r="S1541" t="s">
        <v>53</v>
      </c>
      <c r="T1541" s="1">
        <v>44713</v>
      </c>
      <c r="U1541">
        <v>93.39</v>
      </c>
      <c r="V1541">
        <v>93.39</v>
      </c>
    </row>
    <row r="1542" spans="1:22" x14ac:dyDescent="0.3">
      <c r="A1542" t="s">
        <v>3561</v>
      </c>
      <c r="B1542" t="s">
        <v>3562</v>
      </c>
      <c r="C1542" t="s">
        <v>13</v>
      </c>
      <c r="D1542" t="s">
        <v>3563</v>
      </c>
      <c r="E1542" t="s">
        <v>15</v>
      </c>
      <c r="J1542" s="1">
        <v>44775</v>
      </c>
      <c r="K1542">
        <v>1309</v>
      </c>
      <c r="L1542" t="s">
        <v>3650</v>
      </c>
      <c r="M1542">
        <v>9</v>
      </c>
      <c r="N1542" t="str">
        <f>VLOOKUP(M1542,[1]LOJA!$A:$B,2,0)</f>
        <v>ÚNICA</v>
      </c>
      <c r="O1542">
        <v>176</v>
      </c>
      <c r="P1542" t="str">
        <f>VLOOKUP(O1542,[1]OPERADORES!$A:$B,2,0)</f>
        <v>EDUARDO DE JESUS BALDUINO</v>
      </c>
      <c r="Q1542">
        <v>23</v>
      </c>
      <c r="R1542">
        <v>23766</v>
      </c>
      <c r="S1542" t="s">
        <v>53</v>
      </c>
      <c r="T1542" s="1">
        <v>44715</v>
      </c>
      <c r="U1542">
        <v>35.26</v>
      </c>
      <c r="V1542">
        <v>35.26</v>
      </c>
    </row>
    <row r="1543" spans="1:22" x14ac:dyDescent="0.3">
      <c r="A1543" t="s">
        <v>3561</v>
      </c>
      <c r="B1543" t="s">
        <v>3562</v>
      </c>
      <c r="C1543" t="s">
        <v>13</v>
      </c>
      <c r="D1543" t="s">
        <v>3563</v>
      </c>
      <c r="E1543" t="s">
        <v>15</v>
      </c>
      <c r="J1543" s="1">
        <v>44775</v>
      </c>
      <c r="K1543">
        <v>1309</v>
      </c>
      <c r="L1543" t="s">
        <v>3651</v>
      </c>
      <c r="M1543">
        <v>9</v>
      </c>
      <c r="N1543" t="str">
        <f>VLOOKUP(M1543,[1]LOJA!$A:$B,2,0)</f>
        <v>ÚNICA</v>
      </c>
      <c r="O1543">
        <v>176</v>
      </c>
      <c r="P1543" t="str">
        <f>VLOOKUP(O1543,[1]OPERADORES!$A:$B,2,0)</f>
        <v>EDUARDO DE JESUS BALDUINO</v>
      </c>
      <c r="Q1543">
        <v>23</v>
      </c>
      <c r="R1543">
        <v>23790</v>
      </c>
      <c r="S1543" t="s">
        <v>53</v>
      </c>
      <c r="T1543" s="1">
        <v>44715</v>
      </c>
      <c r="U1543">
        <v>73.39</v>
      </c>
      <c r="V1543">
        <v>73.39</v>
      </c>
    </row>
    <row r="1544" spans="1:22" x14ac:dyDescent="0.3">
      <c r="A1544" t="s">
        <v>3561</v>
      </c>
      <c r="B1544" t="s">
        <v>3562</v>
      </c>
      <c r="C1544" t="s">
        <v>13</v>
      </c>
      <c r="D1544" t="s">
        <v>3563</v>
      </c>
      <c r="E1544" t="s">
        <v>15</v>
      </c>
      <c r="J1544" s="1">
        <v>44776</v>
      </c>
      <c r="K1544">
        <v>1308</v>
      </c>
      <c r="L1544" t="s">
        <v>3652</v>
      </c>
      <c r="M1544">
        <v>9</v>
      </c>
      <c r="N1544" t="str">
        <f>VLOOKUP(M1544,[1]LOJA!$A:$B,2,0)</f>
        <v>ÚNICA</v>
      </c>
      <c r="O1544">
        <v>176</v>
      </c>
      <c r="P1544" t="str">
        <f>VLOOKUP(O1544,[1]OPERADORES!$A:$B,2,0)</f>
        <v>EDUARDO DE JESUS BALDUINO</v>
      </c>
      <c r="Q1544">
        <v>23</v>
      </c>
      <c r="R1544">
        <v>24970</v>
      </c>
      <c r="S1544" t="s">
        <v>51</v>
      </c>
      <c r="T1544" s="1">
        <v>44746</v>
      </c>
      <c r="U1544">
        <v>49.59</v>
      </c>
      <c r="V1544">
        <v>49.59</v>
      </c>
    </row>
    <row r="1545" spans="1:22" x14ac:dyDescent="0.3">
      <c r="A1545" t="s">
        <v>3561</v>
      </c>
      <c r="B1545" t="s">
        <v>3562</v>
      </c>
      <c r="C1545" t="s">
        <v>13</v>
      </c>
      <c r="D1545" t="s">
        <v>3563</v>
      </c>
      <c r="E1545" t="s">
        <v>15</v>
      </c>
      <c r="J1545" s="1">
        <v>44778</v>
      </c>
      <c r="K1545">
        <v>1306</v>
      </c>
      <c r="L1545" t="s">
        <v>3653</v>
      </c>
      <c r="M1545">
        <v>9</v>
      </c>
      <c r="N1545" t="str">
        <f>VLOOKUP(M1545,[1]LOJA!$A:$B,2,0)</f>
        <v>ÚNICA</v>
      </c>
      <c r="O1545">
        <v>176</v>
      </c>
      <c r="P1545" t="str">
        <f>VLOOKUP(O1545,[1]OPERADORES!$A:$B,2,0)</f>
        <v>EDUARDO DE JESUS BALDUINO</v>
      </c>
      <c r="Q1545">
        <v>23</v>
      </c>
      <c r="R1545">
        <v>23857</v>
      </c>
      <c r="S1545" t="s">
        <v>53</v>
      </c>
      <c r="T1545" s="1">
        <v>44718</v>
      </c>
      <c r="U1545">
        <v>30.2</v>
      </c>
      <c r="V1545">
        <v>30.2</v>
      </c>
    </row>
    <row r="1546" spans="1:22" x14ac:dyDescent="0.3">
      <c r="A1546" t="s">
        <v>3561</v>
      </c>
      <c r="B1546" t="s">
        <v>3562</v>
      </c>
      <c r="C1546" t="s">
        <v>13</v>
      </c>
      <c r="D1546" t="s">
        <v>3563</v>
      </c>
      <c r="E1546" t="s">
        <v>15</v>
      </c>
      <c r="J1546" s="1">
        <v>44778</v>
      </c>
      <c r="K1546">
        <v>1306</v>
      </c>
      <c r="L1546" t="s">
        <v>3654</v>
      </c>
      <c r="M1546">
        <v>9</v>
      </c>
      <c r="N1546" t="str">
        <f>VLOOKUP(M1546,[1]LOJA!$A:$B,2,0)</f>
        <v>ÚNICA</v>
      </c>
      <c r="O1546">
        <v>176</v>
      </c>
      <c r="P1546" t="str">
        <f>VLOOKUP(O1546,[1]OPERADORES!$A:$B,2,0)</f>
        <v>EDUARDO DE JESUS BALDUINO</v>
      </c>
      <c r="Q1546">
        <v>23</v>
      </c>
      <c r="R1546">
        <v>25100</v>
      </c>
      <c r="S1546" t="s">
        <v>51</v>
      </c>
      <c r="T1546" s="1">
        <v>44748</v>
      </c>
      <c r="U1546">
        <v>118.95</v>
      </c>
      <c r="V1546">
        <v>118.95</v>
      </c>
    </row>
    <row r="1547" spans="1:22" x14ac:dyDescent="0.3">
      <c r="A1547" t="s">
        <v>3561</v>
      </c>
      <c r="B1547" t="s">
        <v>3562</v>
      </c>
      <c r="C1547" t="s">
        <v>13</v>
      </c>
      <c r="D1547" t="s">
        <v>3563</v>
      </c>
      <c r="E1547" t="s">
        <v>15</v>
      </c>
      <c r="J1547" s="1">
        <v>44780</v>
      </c>
      <c r="K1547">
        <v>1304</v>
      </c>
      <c r="L1547" t="s">
        <v>3655</v>
      </c>
      <c r="M1547">
        <v>9</v>
      </c>
      <c r="N1547" t="str">
        <f>VLOOKUP(M1547,[1]LOJA!$A:$B,2,0)</f>
        <v>ÚNICA</v>
      </c>
      <c r="O1547">
        <v>176</v>
      </c>
      <c r="P1547" t="str">
        <f>VLOOKUP(O1547,[1]OPERADORES!$A:$B,2,0)</f>
        <v>EDUARDO DE JESUS BALDUINO</v>
      </c>
      <c r="Q1547">
        <v>23</v>
      </c>
      <c r="R1547">
        <v>24103</v>
      </c>
      <c r="S1547" t="s">
        <v>53</v>
      </c>
      <c r="T1547" s="1">
        <v>44720</v>
      </c>
      <c r="U1547">
        <v>84.37</v>
      </c>
      <c r="V1547">
        <v>84.37</v>
      </c>
    </row>
    <row r="1548" spans="1:22" x14ac:dyDescent="0.3">
      <c r="A1548" t="s">
        <v>3561</v>
      </c>
      <c r="B1548" t="s">
        <v>3562</v>
      </c>
      <c r="C1548" t="s">
        <v>13</v>
      </c>
      <c r="D1548" t="s">
        <v>3563</v>
      </c>
      <c r="E1548" t="s">
        <v>15</v>
      </c>
      <c r="J1548" s="1">
        <v>44780</v>
      </c>
      <c r="K1548">
        <v>1304</v>
      </c>
      <c r="L1548" t="s">
        <v>3656</v>
      </c>
      <c r="M1548">
        <v>9</v>
      </c>
      <c r="N1548" t="str">
        <f>VLOOKUP(M1548,[1]LOJA!$A:$B,2,0)</f>
        <v>ÚNICA</v>
      </c>
      <c r="O1548">
        <v>176</v>
      </c>
      <c r="P1548" t="str">
        <f>VLOOKUP(O1548,[1]OPERADORES!$A:$B,2,0)</f>
        <v>EDUARDO DE JESUS BALDUINO</v>
      </c>
      <c r="Q1548">
        <v>23</v>
      </c>
      <c r="R1548">
        <v>25217</v>
      </c>
      <c r="S1548" t="s">
        <v>51</v>
      </c>
      <c r="T1548" s="1">
        <v>44750</v>
      </c>
      <c r="U1548">
        <v>199.41</v>
      </c>
      <c r="V1548">
        <v>199.41</v>
      </c>
    </row>
    <row r="1549" spans="1:22" x14ac:dyDescent="0.3">
      <c r="A1549" t="s">
        <v>3561</v>
      </c>
      <c r="B1549" t="s">
        <v>3562</v>
      </c>
      <c r="C1549" t="s">
        <v>13</v>
      </c>
      <c r="D1549" t="s">
        <v>3563</v>
      </c>
      <c r="E1549" t="s">
        <v>15</v>
      </c>
      <c r="J1549" s="1">
        <v>44780</v>
      </c>
      <c r="K1549">
        <v>1304</v>
      </c>
      <c r="L1549" t="s">
        <v>3657</v>
      </c>
      <c r="M1549">
        <v>9</v>
      </c>
      <c r="N1549" t="str">
        <f>VLOOKUP(M1549,[1]LOJA!$A:$B,2,0)</f>
        <v>ÚNICA</v>
      </c>
      <c r="O1549">
        <v>131</v>
      </c>
      <c r="P1549" t="str">
        <f>VLOOKUP(O1549,[1]OPERADORES!$A:$B,2,0)</f>
        <v>MARTILIANA MERIAM LOPES CARDOS</v>
      </c>
      <c r="S1549" t="s">
        <v>3658</v>
      </c>
      <c r="T1549" s="1">
        <v>44750</v>
      </c>
      <c r="U1549">
        <v>-300</v>
      </c>
      <c r="V1549">
        <v>-300</v>
      </c>
    </row>
    <row r="1550" spans="1:22" x14ac:dyDescent="0.3">
      <c r="A1550" t="s">
        <v>3561</v>
      </c>
      <c r="B1550" t="s">
        <v>3562</v>
      </c>
      <c r="C1550" t="s">
        <v>13</v>
      </c>
      <c r="D1550" t="s">
        <v>3563</v>
      </c>
      <c r="E1550" t="s">
        <v>15</v>
      </c>
      <c r="J1550" s="1">
        <v>44784</v>
      </c>
      <c r="K1550">
        <v>1300</v>
      </c>
      <c r="L1550" t="s">
        <v>3659</v>
      </c>
      <c r="M1550">
        <v>9</v>
      </c>
      <c r="N1550" t="str">
        <f>VLOOKUP(M1550,[1]LOJA!$A:$B,2,0)</f>
        <v>ÚNICA</v>
      </c>
      <c r="O1550">
        <v>176</v>
      </c>
      <c r="P1550" t="str">
        <f>VLOOKUP(O1550,[1]OPERADORES!$A:$B,2,0)</f>
        <v>EDUARDO DE JESUS BALDUINO</v>
      </c>
      <c r="Q1550">
        <v>23</v>
      </c>
      <c r="R1550">
        <v>22511</v>
      </c>
      <c r="S1550" t="s">
        <v>55</v>
      </c>
      <c r="T1550" s="1">
        <v>44694</v>
      </c>
      <c r="U1550">
        <v>53.51</v>
      </c>
      <c r="V1550">
        <v>53.51</v>
      </c>
    </row>
    <row r="1551" spans="1:22" x14ac:dyDescent="0.3">
      <c r="A1551" t="s">
        <v>3561</v>
      </c>
      <c r="B1551" t="s">
        <v>3562</v>
      </c>
      <c r="C1551" t="s">
        <v>13</v>
      </c>
      <c r="D1551" t="s">
        <v>3563</v>
      </c>
      <c r="E1551" t="s">
        <v>15</v>
      </c>
      <c r="J1551" s="1">
        <v>44784</v>
      </c>
      <c r="K1551">
        <v>1300</v>
      </c>
      <c r="L1551" t="s">
        <v>3660</v>
      </c>
      <c r="M1551">
        <v>9</v>
      </c>
      <c r="N1551" t="str">
        <f>VLOOKUP(M1551,[1]LOJA!$A:$B,2,0)</f>
        <v>ÚNICA</v>
      </c>
      <c r="O1551">
        <v>176</v>
      </c>
      <c r="P1551" t="str">
        <f>VLOOKUP(O1551,[1]OPERADORES!$A:$B,2,0)</f>
        <v>EDUARDO DE JESUS BALDUINO</v>
      </c>
      <c r="Q1551">
        <v>23</v>
      </c>
      <c r="R1551">
        <v>22560</v>
      </c>
      <c r="S1551" t="s">
        <v>55</v>
      </c>
      <c r="T1551" s="1">
        <v>44694</v>
      </c>
      <c r="U1551">
        <v>40.68</v>
      </c>
      <c r="V1551">
        <v>40.68</v>
      </c>
    </row>
    <row r="1552" spans="1:22" x14ac:dyDescent="0.3">
      <c r="A1552" t="s">
        <v>3561</v>
      </c>
      <c r="B1552" t="s">
        <v>3562</v>
      </c>
      <c r="C1552" t="s">
        <v>13</v>
      </c>
      <c r="D1552" t="s">
        <v>3563</v>
      </c>
      <c r="E1552" t="s">
        <v>15</v>
      </c>
      <c r="J1552" s="1">
        <v>44784</v>
      </c>
      <c r="K1552">
        <v>1300</v>
      </c>
      <c r="L1552" t="s">
        <v>3661</v>
      </c>
      <c r="M1552">
        <v>9</v>
      </c>
      <c r="N1552" t="str">
        <f>VLOOKUP(M1552,[1]LOJA!$A:$B,2,0)</f>
        <v>ÚNICA</v>
      </c>
      <c r="O1552">
        <v>176</v>
      </c>
      <c r="P1552" t="str">
        <f>VLOOKUP(O1552,[1]OPERADORES!$A:$B,2,0)</f>
        <v>EDUARDO DE JESUS BALDUINO</v>
      </c>
      <c r="Q1552">
        <v>23</v>
      </c>
      <c r="R1552">
        <v>25365</v>
      </c>
      <c r="S1552" t="s">
        <v>51</v>
      </c>
      <c r="T1552" s="1">
        <v>44754</v>
      </c>
      <c r="U1552">
        <v>219.75</v>
      </c>
      <c r="V1552">
        <v>219.75</v>
      </c>
    </row>
    <row r="1553" spans="1:22" x14ac:dyDescent="0.3">
      <c r="A1553" t="s">
        <v>3561</v>
      </c>
      <c r="B1553" t="s">
        <v>3562</v>
      </c>
      <c r="C1553" t="s">
        <v>13</v>
      </c>
      <c r="D1553" t="s">
        <v>3563</v>
      </c>
      <c r="E1553" t="s">
        <v>15</v>
      </c>
      <c r="J1553" s="1">
        <v>44786</v>
      </c>
      <c r="K1553">
        <v>1298</v>
      </c>
      <c r="L1553" t="s">
        <v>3662</v>
      </c>
      <c r="M1553">
        <v>9</v>
      </c>
      <c r="N1553" t="str">
        <f>VLOOKUP(M1553,[1]LOJA!$A:$B,2,0)</f>
        <v>ÚNICA</v>
      </c>
      <c r="O1553">
        <v>176</v>
      </c>
      <c r="P1553" t="str">
        <f>VLOOKUP(O1553,[1]OPERADORES!$A:$B,2,0)</f>
        <v>EDUARDO DE JESUS BALDUINO</v>
      </c>
      <c r="Q1553">
        <v>23</v>
      </c>
      <c r="R1553">
        <v>24244</v>
      </c>
      <c r="S1553" t="s">
        <v>53</v>
      </c>
      <c r="T1553" s="1">
        <v>44726</v>
      </c>
      <c r="U1553">
        <v>68.489999999999995</v>
      </c>
      <c r="V1553">
        <v>68.489999999999995</v>
      </c>
    </row>
    <row r="1554" spans="1:22" x14ac:dyDescent="0.3">
      <c r="A1554" t="s">
        <v>3561</v>
      </c>
      <c r="B1554" t="s">
        <v>3562</v>
      </c>
      <c r="C1554" t="s">
        <v>13</v>
      </c>
      <c r="D1554" t="s">
        <v>3563</v>
      </c>
      <c r="E1554" t="s">
        <v>15</v>
      </c>
      <c r="J1554" s="1">
        <v>44786</v>
      </c>
      <c r="K1554">
        <v>1298</v>
      </c>
      <c r="L1554" t="s">
        <v>3663</v>
      </c>
      <c r="M1554">
        <v>9</v>
      </c>
      <c r="N1554" t="str">
        <f>VLOOKUP(M1554,[1]LOJA!$A:$B,2,0)</f>
        <v>ÚNICA</v>
      </c>
      <c r="O1554">
        <v>176</v>
      </c>
      <c r="P1554" t="str">
        <f>VLOOKUP(O1554,[1]OPERADORES!$A:$B,2,0)</f>
        <v>EDUARDO DE JESUS BALDUINO</v>
      </c>
      <c r="Q1554">
        <v>23</v>
      </c>
      <c r="R1554">
        <v>24301</v>
      </c>
      <c r="S1554" t="s">
        <v>53</v>
      </c>
      <c r="T1554" s="1">
        <v>44726</v>
      </c>
      <c r="U1554">
        <v>101.24</v>
      </c>
      <c r="V1554">
        <v>101.24</v>
      </c>
    </row>
    <row r="1555" spans="1:22" x14ac:dyDescent="0.3">
      <c r="A1555" t="s">
        <v>3561</v>
      </c>
      <c r="B1555" t="s">
        <v>3562</v>
      </c>
      <c r="C1555" t="s">
        <v>13</v>
      </c>
      <c r="D1555" t="s">
        <v>3563</v>
      </c>
      <c r="E1555" t="s">
        <v>15</v>
      </c>
      <c r="J1555" s="1">
        <v>44786</v>
      </c>
      <c r="K1555">
        <v>1298</v>
      </c>
      <c r="L1555" t="s">
        <v>3664</v>
      </c>
      <c r="M1555">
        <v>9</v>
      </c>
      <c r="N1555" t="str">
        <f>VLOOKUP(M1555,[1]LOJA!$A:$B,2,0)</f>
        <v>ÚNICA</v>
      </c>
      <c r="O1555">
        <v>176</v>
      </c>
      <c r="P1555" t="str">
        <f>VLOOKUP(O1555,[1]OPERADORES!$A:$B,2,0)</f>
        <v>EDUARDO DE JESUS BALDUINO</v>
      </c>
      <c r="Q1555">
        <v>23</v>
      </c>
      <c r="R1555">
        <v>25530</v>
      </c>
      <c r="S1555" t="s">
        <v>51</v>
      </c>
      <c r="T1555" s="1">
        <v>44756</v>
      </c>
      <c r="U1555">
        <v>40.94</v>
      </c>
      <c r="V1555">
        <v>40.94</v>
      </c>
    </row>
    <row r="1556" spans="1:22" x14ac:dyDescent="0.3">
      <c r="A1556" t="s">
        <v>3561</v>
      </c>
      <c r="B1556" t="s">
        <v>3562</v>
      </c>
      <c r="C1556" t="s">
        <v>13</v>
      </c>
      <c r="D1556" t="s">
        <v>3563</v>
      </c>
      <c r="E1556" t="s">
        <v>15</v>
      </c>
      <c r="J1556" s="1">
        <v>44789</v>
      </c>
      <c r="K1556">
        <v>1295</v>
      </c>
      <c r="L1556" t="s">
        <v>3665</v>
      </c>
      <c r="M1556">
        <v>9</v>
      </c>
      <c r="N1556" t="str">
        <f>VLOOKUP(M1556,[1]LOJA!$A:$B,2,0)</f>
        <v>ÚNICA</v>
      </c>
      <c r="O1556">
        <v>176</v>
      </c>
      <c r="P1556" t="str">
        <f>VLOOKUP(O1556,[1]OPERADORES!$A:$B,2,0)</f>
        <v>EDUARDO DE JESUS BALDUINO</v>
      </c>
      <c r="Q1556">
        <v>23</v>
      </c>
      <c r="R1556">
        <v>22784</v>
      </c>
      <c r="S1556" t="s">
        <v>55</v>
      </c>
      <c r="T1556" s="1">
        <v>44699</v>
      </c>
      <c r="U1556">
        <v>90.82</v>
      </c>
      <c r="V1556">
        <v>90.82</v>
      </c>
    </row>
    <row r="1557" spans="1:22" x14ac:dyDescent="0.3">
      <c r="A1557" t="s">
        <v>3561</v>
      </c>
      <c r="B1557" t="s">
        <v>3562</v>
      </c>
      <c r="C1557" t="s">
        <v>13</v>
      </c>
      <c r="D1557" t="s">
        <v>3563</v>
      </c>
      <c r="E1557" t="s">
        <v>15</v>
      </c>
      <c r="J1557" s="1">
        <v>44790</v>
      </c>
      <c r="K1557">
        <v>1294</v>
      </c>
      <c r="L1557" t="s">
        <v>3666</v>
      </c>
      <c r="M1557">
        <v>9</v>
      </c>
      <c r="N1557" t="str">
        <f>VLOOKUP(M1557,[1]LOJA!$A:$B,2,0)</f>
        <v>ÚNICA</v>
      </c>
      <c r="O1557">
        <v>176</v>
      </c>
      <c r="P1557" t="str">
        <f>VLOOKUP(O1557,[1]OPERADORES!$A:$B,2,0)</f>
        <v>EDUARDO DE JESUS BALDUINO</v>
      </c>
      <c r="Q1557">
        <v>23</v>
      </c>
      <c r="R1557">
        <v>22883</v>
      </c>
      <c r="S1557" t="s">
        <v>55</v>
      </c>
      <c r="T1557" s="1">
        <v>44700</v>
      </c>
      <c r="U1557">
        <v>25.32</v>
      </c>
      <c r="V1557">
        <v>25.32</v>
      </c>
    </row>
    <row r="1558" spans="1:22" x14ac:dyDescent="0.3">
      <c r="A1558" t="s">
        <v>3561</v>
      </c>
      <c r="B1558" t="s">
        <v>3562</v>
      </c>
      <c r="C1558" t="s">
        <v>13</v>
      </c>
      <c r="D1558" t="s">
        <v>3563</v>
      </c>
      <c r="E1558" t="s">
        <v>15</v>
      </c>
      <c r="J1558" s="1">
        <v>44790</v>
      </c>
      <c r="K1558">
        <v>1294</v>
      </c>
      <c r="L1558" t="s">
        <v>3667</v>
      </c>
      <c r="M1558">
        <v>9</v>
      </c>
      <c r="N1558" t="str">
        <f>VLOOKUP(M1558,[1]LOJA!$A:$B,2,0)</f>
        <v>ÚNICA</v>
      </c>
      <c r="O1558">
        <v>94</v>
      </c>
      <c r="P1558" t="str">
        <f>VLOOKUP(O1558,[1]OPERADORES!$A:$B,2,0)</f>
        <v>VANESSA KOBELUS</v>
      </c>
      <c r="S1558" t="s">
        <v>3668</v>
      </c>
      <c r="T1558" s="1">
        <v>44760</v>
      </c>
      <c r="U1558">
        <v>-370.77</v>
      </c>
      <c r="V1558">
        <v>-370.77</v>
      </c>
    </row>
    <row r="1559" spans="1:22" x14ac:dyDescent="0.3">
      <c r="A1559" t="s">
        <v>3561</v>
      </c>
      <c r="B1559" t="s">
        <v>3562</v>
      </c>
      <c r="C1559" t="s">
        <v>13</v>
      </c>
      <c r="D1559" t="s">
        <v>3563</v>
      </c>
      <c r="E1559" t="s">
        <v>15</v>
      </c>
      <c r="J1559" s="1">
        <v>44792</v>
      </c>
      <c r="K1559">
        <v>1292</v>
      </c>
      <c r="L1559" t="s">
        <v>3669</v>
      </c>
      <c r="M1559">
        <v>9</v>
      </c>
      <c r="N1559" t="str">
        <f>VLOOKUP(M1559,[1]LOJA!$A:$B,2,0)</f>
        <v>ÚNICA</v>
      </c>
      <c r="O1559">
        <v>131</v>
      </c>
      <c r="P1559" t="str">
        <f>VLOOKUP(O1559,[1]OPERADORES!$A:$B,2,0)</f>
        <v>MARTILIANA MERIAM LOPES CARDOS</v>
      </c>
      <c r="S1559" t="s">
        <v>3670</v>
      </c>
      <c r="T1559" s="1">
        <v>44791</v>
      </c>
      <c r="U1559">
        <v>-300</v>
      </c>
      <c r="V1559">
        <v>-300</v>
      </c>
    </row>
    <row r="1560" spans="1:22" x14ac:dyDescent="0.3">
      <c r="A1560" t="s">
        <v>3561</v>
      </c>
      <c r="B1560" t="s">
        <v>3562</v>
      </c>
      <c r="C1560" t="s">
        <v>13</v>
      </c>
      <c r="D1560" t="s">
        <v>3563</v>
      </c>
      <c r="E1560" t="s">
        <v>15</v>
      </c>
      <c r="J1560" s="1">
        <v>44792</v>
      </c>
      <c r="K1560">
        <v>1292</v>
      </c>
      <c r="L1560" t="s">
        <v>3671</v>
      </c>
      <c r="M1560">
        <v>9</v>
      </c>
      <c r="N1560" t="str">
        <f>VLOOKUP(M1560,[1]LOJA!$A:$B,2,0)</f>
        <v>ÚNICA</v>
      </c>
      <c r="O1560">
        <v>131</v>
      </c>
      <c r="P1560" t="str">
        <f>VLOOKUP(O1560,[1]OPERADORES!$A:$B,2,0)</f>
        <v>MARTILIANA MERIAM LOPES CARDOS</v>
      </c>
      <c r="S1560" t="s">
        <v>3672</v>
      </c>
      <c r="T1560" s="1">
        <v>44791</v>
      </c>
      <c r="U1560">
        <v>-554.04</v>
      </c>
      <c r="V1560">
        <v>-554.04</v>
      </c>
    </row>
    <row r="1561" spans="1:22" x14ac:dyDescent="0.3">
      <c r="A1561" t="s">
        <v>3561</v>
      </c>
      <c r="B1561" t="s">
        <v>3562</v>
      </c>
      <c r="C1561" t="s">
        <v>13</v>
      </c>
      <c r="D1561" t="s">
        <v>3563</v>
      </c>
      <c r="E1561" t="s">
        <v>15</v>
      </c>
      <c r="J1561" s="1">
        <v>44792</v>
      </c>
      <c r="K1561">
        <v>1292</v>
      </c>
      <c r="L1561" t="s">
        <v>3673</v>
      </c>
      <c r="M1561">
        <v>9</v>
      </c>
      <c r="N1561" t="str">
        <f>VLOOKUP(M1561,[1]LOJA!$A:$B,2,0)</f>
        <v>ÚNICA</v>
      </c>
      <c r="O1561">
        <v>131</v>
      </c>
      <c r="P1561" t="str">
        <f>VLOOKUP(O1561,[1]OPERADORES!$A:$B,2,0)</f>
        <v>MARTILIANA MERIAM LOPES CARDOS</v>
      </c>
      <c r="S1561" t="s">
        <v>3674</v>
      </c>
      <c r="T1561" s="1">
        <v>44791</v>
      </c>
      <c r="U1561">
        <v>-870</v>
      </c>
      <c r="V1561">
        <v>-870</v>
      </c>
    </row>
    <row r="1562" spans="1:22" x14ac:dyDescent="0.3">
      <c r="A1562" t="s">
        <v>3561</v>
      </c>
      <c r="B1562" t="s">
        <v>3562</v>
      </c>
      <c r="C1562" t="s">
        <v>13</v>
      </c>
      <c r="D1562" t="s">
        <v>3563</v>
      </c>
      <c r="E1562" t="s">
        <v>15</v>
      </c>
      <c r="J1562" s="1">
        <v>44810</v>
      </c>
      <c r="K1562">
        <v>1274</v>
      </c>
      <c r="L1562" t="s">
        <v>3675</v>
      </c>
      <c r="M1562">
        <v>9</v>
      </c>
      <c r="N1562" t="str">
        <f>VLOOKUP(M1562,[1]LOJA!$A:$B,2,0)</f>
        <v>ÚNICA</v>
      </c>
      <c r="O1562">
        <v>176</v>
      </c>
      <c r="P1562" t="str">
        <f>VLOOKUP(O1562,[1]OPERADORES!$A:$B,2,0)</f>
        <v>EDUARDO DE JESUS BALDUINO</v>
      </c>
      <c r="Q1562">
        <v>23</v>
      </c>
      <c r="R1562">
        <v>24111</v>
      </c>
      <c r="S1562" t="s">
        <v>55</v>
      </c>
      <c r="T1562" s="1">
        <v>44720</v>
      </c>
      <c r="U1562">
        <v>84.36</v>
      </c>
      <c r="V1562">
        <v>84.36</v>
      </c>
    </row>
    <row r="1563" spans="1:22" x14ac:dyDescent="0.3">
      <c r="A1563" t="s">
        <v>3561</v>
      </c>
      <c r="B1563" t="s">
        <v>3562</v>
      </c>
      <c r="C1563" t="s">
        <v>13</v>
      </c>
      <c r="D1563" t="s">
        <v>3563</v>
      </c>
      <c r="E1563" t="s">
        <v>15</v>
      </c>
      <c r="J1563" s="1">
        <v>44810</v>
      </c>
      <c r="K1563">
        <v>1274</v>
      </c>
      <c r="L1563" t="s">
        <v>3676</v>
      </c>
      <c r="M1563">
        <v>9</v>
      </c>
      <c r="N1563" t="str">
        <f>VLOOKUP(M1563,[1]LOJA!$A:$B,2,0)</f>
        <v>ÚNICA</v>
      </c>
      <c r="O1563">
        <v>176</v>
      </c>
      <c r="P1563" t="str">
        <f>VLOOKUP(O1563,[1]OPERADORES!$A:$B,2,0)</f>
        <v>EDUARDO DE JESUS BALDUINO</v>
      </c>
      <c r="Q1563">
        <v>23</v>
      </c>
      <c r="R1563">
        <v>25225</v>
      </c>
      <c r="S1563" t="s">
        <v>53</v>
      </c>
      <c r="T1563" s="1">
        <v>44750</v>
      </c>
      <c r="U1563">
        <v>199.41</v>
      </c>
      <c r="V1563">
        <v>199.41</v>
      </c>
    </row>
    <row r="1564" spans="1:22" x14ac:dyDescent="0.3">
      <c r="A1564" t="s">
        <v>3561</v>
      </c>
      <c r="B1564" t="s">
        <v>3562</v>
      </c>
      <c r="C1564" t="s">
        <v>13</v>
      </c>
      <c r="D1564" t="s">
        <v>3563</v>
      </c>
      <c r="E1564" t="s">
        <v>15</v>
      </c>
      <c r="J1564" s="1">
        <v>44811</v>
      </c>
      <c r="K1564">
        <v>1273</v>
      </c>
      <c r="L1564" t="s">
        <v>3677</v>
      </c>
      <c r="M1564">
        <v>9</v>
      </c>
      <c r="N1564" t="str">
        <f>VLOOKUP(M1564,[1]LOJA!$A:$B,2,0)</f>
        <v>ÚNICA</v>
      </c>
      <c r="O1564">
        <v>94</v>
      </c>
      <c r="P1564" t="str">
        <f>VLOOKUP(O1564,[1]OPERADORES!$A:$B,2,0)</f>
        <v>VANESSA KOBELUS</v>
      </c>
      <c r="S1564" t="s">
        <v>3678</v>
      </c>
      <c r="T1564" s="1">
        <v>44781</v>
      </c>
      <c r="U1564">
        <v>-347.22</v>
      </c>
      <c r="V1564">
        <v>-347.22</v>
      </c>
    </row>
    <row r="1565" spans="1:22" x14ac:dyDescent="0.3">
      <c r="A1565" t="s">
        <v>3561</v>
      </c>
      <c r="B1565" t="s">
        <v>3562</v>
      </c>
      <c r="C1565" t="s">
        <v>13</v>
      </c>
      <c r="D1565" t="s">
        <v>3563</v>
      </c>
      <c r="E1565" t="s">
        <v>15</v>
      </c>
      <c r="J1565" s="1">
        <v>44814</v>
      </c>
      <c r="K1565">
        <v>1270</v>
      </c>
      <c r="L1565" t="s">
        <v>3679</v>
      </c>
      <c r="M1565">
        <v>9</v>
      </c>
      <c r="N1565" t="str">
        <f>VLOOKUP(M1565,[1]LOJA!$A:$B,2,0)</f>
        <v>ÚNICA</v>
      </c>
      <c r="O1565">
        <v>176</v>
      </c>
      <c r="P1565" t="str">
        <f>VLOOKUP(O1565,[1]OPERADORES!$A:$B,2,0)</f>
        <v>EDUARDO DE JESUS BALDUINO</v>
      </c>
      <c r="Q1565">
        <v>23</v>
      </c>
      <c r="R1565">
        <v>25373</v>
      </c>
      <c r="S1565" t="s">
        <v>53</v>
      </c>
      <c r="T1565" s="1">
        <v>44754</v>
      </c>
      <c r="U1565">
        <v>219.75</v>
      </c>
      <c r="V1565">
        <v>219.75</v>
      </c>
    </row>
    <row r="1566" spans="1:22" x14ac:dyDescent="0.3">
      <c r="A1566" t="s">
        <v>3561</v>
      </c>
      <c r="B1566" t="s">
        <v>3562</v>
      </c>
      <c r="C1566" t="s">
        <v>13</v>
      </c>
      <c r="D1566" t="s">
        <v>3563</v>
      </c>
      <c r="E1566" t="s">
        <v>15</v>
      </c>
      <c r="J1566" s="1">
        <v>44814</v>
      </c>
      <c r="K1566">
        <v>1270</v>
      </c>
      <c r="L1566" t="s">
        <v>3680</v>
      </c>
      <c r="M1566">
        <v>9</v>
      </c>
      <c r="N1566" t="str">
        <f>VLOOKUP(M1566,[1]LOJA!$A:$B,2,0)</f>
        <v>ÚNICA</v>
      </c>
      <c r="O1566">
        <v>176</v>
      </c>
      <c r="P1566" t="str">
        <f>VLOOKUP(O1566,[1]OPERADORES!$A:$B,2,0)</f>
        <v>EDUARDO DE JESUS BALDUINO</v>
      </c>
      <c r="Q1566">
        <v>23</v>
      </c>
      <c r="R1566">
        <v>27015</v>
      </c>
      <c r="S1566" t="s">
        <v>51</v>
      </c>
      <c r="T1566" s="1">
        <v>44784</v>
      </c>
      <c r="U1566">
        <v>64.88</v>
      </c>
      <c r="V1566">
        <v>64.88</v>
      </c>
    </row>
    <row r="1567" spans="1:22" x14ac:dyDescent="0.3">
      <c r="A1567" t="s">
        <v>3561</v>
      </c>
      <c r="B1567" t="s">
        <v>3562</v>
      </c>
      <c r="C1567" t="s">
        <v>13</v>
      </c>
      <c r="D1567" t="s">
        <v>3563</v>
      </c>
      <c r="E1567" t="s">
        <v>15</v>
      </c>
      <c r="J1567" s="1">
        <v>44815</v>
      </c>
      <c r="K1567">
        <v>1269</v>
      </c>
      <c r="L1567" t="s">
        <v>3681</v>
      </c>
      <c r="M1567">
        <v>9</v>
      </c>
      <c r="N1567" t="str">
        <f>VLOOKUP(M1567,[1]LOJA!$A:$B,2,0)</f>
        <v>ÚNICA</v>
      </c>
      <c r="O1567">
        <v>176</v>
      </c>
      <c r="P1567" t="str">
        <f>VLOOKUP(O1567,[1]OPERADORES!$A:$B,2,0)</f>
        <v>EDUARDO DE JESUS BALDUINO</v>
      </c>
      <c r="Q1567">
        <v>23</v>
      </c>
      <c r="R1567">
        <v>27122</v>
      </c>
      <c r="S1567" t="s">
        <v>51</v>
      </c>
      <c r="T1567" s="1">
        <v>44785</v>
      </c>
      <c r="U1567">
        <v>71.08</v>
      </c>
      <c r="V1567">
        <v>71.08</v>
      </c>
    </row>
    <row r="1568" spans="1:22" x14ac:dyDescent="0.3">
      <c r="A1568" t="s">
        <v>3561</v>
      </c>
      <c r="B1568" t="s">
        <v>3562</v>
      </c>
      <c r="C1568" t="s">
        <v>13</v>
      </c>
      <c r="D1568" t="s">
        <v>3563</v>
      </c>
      <c r="E1568" t="s">
        <v>15</v>
      </c>
      <c r="J1568" s="1">
        <v>44816</v>
      </c>
      <c r="K1568">
        <v>1268</v>
      </c>
      <c r="L1568" t="s">
        <v>3682</v>
      </c>
      <c r="M1568">
        <v>9</v>
      </c>
      <c r="N1568" t="str">
        <f>VLOOKUP(M1568,[1]LOJA!$A:$B,2,0)</f>
        <v>ÚNICA</v>
      </c>
      <c r="O1568">
        <v>176</v>
      </c>
      <c r="P1568" t="str">
        <f>VLOOKUP(O1568,[1]OPERADORES!$A:$B,2,0)</f>
        <v>EDUARDO DE JESUS BALDUINO</v>
      </c>
      <c r="Q1568">
        <v>23</v>
      </c>
      <c r="R1568">
        <v>24251</v>
      </c>
      <c r="S1568" t="s">
        <v>55</v>
      </c>
      <c r="T1568" s="1">
        <v>44726</v>
      </c>
      <c r="U1568">
        <v>68.489999999999995</v>
      </c>
      <c r="V1568">
        <v>68.489999999999995</v>
      </c>
    </row>
    <row r="1569" spans="1:22" x14ac:dyDescent="0.3">
      <c r="A1569" t="s">
        <v>3561</v>
      </c>
      <c r="B1569" t="s">
        <v>3562</v>
      </c>
      <c r="C1569" t="s">
        <v>13</v>
      </c>
      <c r="D1569" t="s">
        <v>3563</v>
      </c>
      <c r="E1569" t="s">
        <v>15</v>
      </c>
      <c r="J1569" s="1">
        <v>44816</v>
      </c>
      <c r="K1569">
        <v>1268</v>
      </c>
      <c r="L1569" t="s">
        <v>3683</v>
      </c>
      <c r="M1569">
        <v>9</v>
      </c>
      <c r="N1569" t="str">
        <f>VLOOKUP(M1569,[1]LOJA!$A:$B,2,0)</f>
        <v>ÚNICA</v>
      </c>
      <c r="O1569">
        <v>176</v>
      </c>
      <c r="P1569" t="str">
        <f>VLOOKUP(O1569,[1]OPERADORES!$A:$B,2,0)</f>
        <v>EDUARDO DE JESUS BALDUINO</v>
      </c>
      <c r="Q1569">
        <v>23</v>
      </c>
      <c r="R1569">
        <v>24319</v>
      </c>
      <c r="S1569" t="s">
        <v>55</v>
      </c>
      <c r="T1569" s="1">
        <v>44726</v>
      </c>
      <c r="U1569">
        <v>101.24</v>
      </c>
      <c r="V1569">
        <v>101.24</v>
      </c>
    </row>
    <row r="1570" spans="1:22" x14ac:dyDescent="0.3">
      <c r="A1570" t="s">
        <v>3561</v>
      </c>
      <c r="B1570" t="s">
        <v>3562</v>
      </c>
      <c r="C1570" t="s">
        <v>13</v>
      </c>
      <c r="D1570" t="s">
        <v>3563</v>
      </c>
      <c r="E1570" t="s">
        <v>15</v>
      </c>
      <c r="J1570" s="1">
        <v>44816</v>
      </c>
      <c r="K1570">
        <v>1268</v>
      </c>
      <c r="L1570" t="s">
        <v>3684</v>
      </c>
      <c r="M1570">
        <v>9</v>
      </c>
      <c r="N1570" t="str">
        <f>VLOOKUP(M1570,[1]LOJA!$A:$B,2,0)</f>
        <v>ÚNICA</v>
      </c>
      <c r="O1570">
        <v>176</v>
      </c>
      <c r="P1570" t="str">
        <f>VLOOKUP(O1570,[1]OPERADORES!$A:$B,2,0)</f>
        <v>EDUARDO DE JESUS BALDUINO</v>
      </c>
      <c r="Q1570">
        <v>23</v>
      </c>
      <c r="R1570">
        <v>25548</v>
      </c>
      <c r="S1570" t="s">
        <v>53</v>
      </c>
      <c r="T1570" s="1">
        <v>44756</v>
      </c>
      <c r="U1570">
        <v>40.93</v>
      </c>
      <c r="V1570">
        <v>40.93</v>
      </c>
    </row>
    <row r="1571" spans="1:22" x14ac:dyDescent="0.3">
      <c r="A1571" t="s">
        <v>3561</v>
      </c>
      <c r="B1571" t="s">
        <v>3562</v>
      </c>
      <c r="C1571" t="s">
        <v>13</v>
      </c>
      <c r="D1571" t="s">
        <v>3563</v>
      </c>
      <c r="E1571" t="s">
        <v>15</v>
      </c>
      <c r="J1571" s="1">
        <v>44818</v>
      </c>
      <c r="K1571">
        <v>1266</v>
      </c>
      <c r="L1571" t="s">
        <v>3685</v>
      </c>
      <c r="M1571">
        <v>9</v>
      </c>
      <c r="N1571" t="str">
        <f>VLOOKUP(M1571,[1]LOJA!$A:$B,2,0)</f>
        <v>ÚNICA</v>
      </c>
      <c r="O1571">
        <v>176</v>
      </c>
      <c r="P1571" t="str">
        <f>VLOOKUP(O1571,[1]OPERADORES!$A:$B,2,0)</f>
        <v>EDUARDO DE JESUS BALDUINO</v>
      </c>
      <c r="Q1571">
        <v>23</v>
      </c>
      <c r="R1571">
        <v>27155</v>
      </c>
      <c r="S1571" t="s">
        <v>51</v>
      </c>
      <c r="T1571" s="1">
        <v>44788</v>
      </c>
      <c r="U1571">
        <v>110.06</v>
      </c>
      <c r="V1571">
        <v>110.06</v>
      </c>
    </row>
    <row r="1572" spans="1:22" x14ac:dyDescent="0.3">
      <c r="A1572" t="s">
        <v>3561</v>
      </c>
      <c r="B1572" t="s">
        <v>3562</v>
      </c>
      <c r="C1572" t="s">
        <v>13</v>
      </c>
      <c r="D1572" t="s">
        <v>3563</v>
      </c>
      <c r="E1572" t="s">
        <v>15</v>
      </c>
      <c r="J1572" s="1">
        <v>44820</v>
      </c>
      <c r="K1572">
        <v>1264</v>
      </c>
      <c r="L1572" t="s">
        <v>3686</v>
      </c>
      <c r="M1572">
        <v>9</v>
      </c>
      <c r="N1572" t="str">
        <f>VLOOKUP(M1572,[1]LOJA!$A:$B,2,0)</f>
        <v>ÚNICA</v>
      </c>
      <c r="O1572">
        <v>176</v>
      </c>
      <c r="P1572" t="str">
        <f>VLOOKUP(O1572,[1]OPERADORES!$A:$B,2,0)</f>
        <v>EDUARDO DE JESUS BALDUINO</v>
      </c>
      <c r="Q1572">
        <v>23</v>
      </c>
      <c r="R1572">
        <v>27254</v>
      </c>
      <c r="S1572" t="s">
        <v>51</v>
      </c>
      <c r="T1572" s="1">
        <v>44790</v>
      </c>
      <c r="U1572">
        <v>106.68</v>
      </c>
      <c r="V1572">
        <v>106.68</v>
      </c>
    </row>
    <row r="1573" spans="1:22" x14ac:dyDescent="0.3">
      <c r="A1573" t="s">
        <v>3561</v>
      </c>
      <c r="B1573" t="s">
        <v>3562</v>
      </c>
      <c r="C1573" t="s">
        <v>13</v>
      </c>
      <c r="D1573" t="s">
        <v>3563</v>
      </c>
      <c r="E1573" t="s">
        <v>15</v>
      </c>
      <c r="J1573" s="1">
        <v>44820</v>
      </c>
      <c r="K1573">
        <v>1264</v>
      </c>
      <c r="L1573" t="s">
        <v>3687</v>
      </c>
      <c r="M1573">
        <v>9</v>
      </c>
      <c r="N1573" t="str">
        <f>VLOOKUP(M1573,[1]LOJA!$A:$B,2,0)</f>
        <v>ÚNICA</v>
      </c>
      <c r="O1573">
        <v>131</v>
      </c>
      <c r="P1573" t="str">
        <f>VLOOKUP(O1573,[1]OPERADORES!$A:$B,2,0)</f>
        <v>MARTILIANA MERIAM LOPES CARDOS</v>
      </c>
      <c r="S1573" t="s">
        <v>3688</v>
      </c>
      <c r="T1573" s="1">
        <v>44790</v>
      </c>
      <c r="U1573">
        <v>-154.32</v>
      </c>
      <c r="V1573">
        <v>-154.32</v>
      </c>
    </row>
    <row r="1574" spans="1:22" x14ac:dyDescent="0.3">
      <c r="A1574" t="s">
        <v>3561</v>
      </c>
      <c r="B1574" t="s">
        <v>3562</v>
      </c>
      <c r="C1574" t="s">
        <v>13</v>
      </c>
      <c r="D1574" t="s">
        <v>3563</v>
      </c>
      <c r="E1574" t="s">
        <v>15</v>
      </c>
      <c r="J1574" s="1">
        <v>44821</v>
      </c>
      <c r="K1574">
        <v>1263</v>
      </c>
      <c r="L1574" t="s">
        <v>3689</v>
      </c>
      <c r="M1574">
        <v>9</v>
      </c>
      <c r="N1574" t="str">
        <f>VLOOKUP(M1574,[1]LOJA!$A:$B,2,0)</f>
        <v>ÚNICA</v>
      </c>
      <c r="O1574">
        <v>176</v>
      </c>
      <c r="P1574" t="str">
        <f>VLOOKUP(O1574,[1]OPERADORES!$A:$B,2,0)</f>
        <v>EDUARDO DE JESUS BALDUINO</v>
      </c>
      <c r="Q1574">
        <v>23</v>
      </c>
      <c r="R1574">
        <v>25639</v>
      </c>
      <c r="S1574" t="s">
        <v>53</v>
      </c>
      <c r="T1574" s="1">
        <v>44761</v>
      </c>
      <c r="U1574">
        <v>55.81</v>
      </c>
      <c r="V1574">
        <v>55.81</v>
      </c>
    </row>
    <row r="1575" spans="1:22" x14ac:dyDescent="0.3">
      <c r="A1575" t="s">
        <v>3561</v>
      </c>
      <c r="B1575" t="s">
        <v>3562</v>
      </c>
      <c r="C1575" t="s">
        <v>13</v>
      </c>
      <c r="D1575" t="s">
        <v>3563</v>
      </c>
      <c r="E1575" t="s">
        <v>15</v>
      </c>
      <c r="J1575" s="1">
        <v>44822</v>
      </c>
      <c r="K1575">
        <v>1262</v>
      </c>
      <c r="L1575" t="s">
        <v>3690</v>
      </c>
      <c r="M1575">
        <v>9</v>
      </c>
      <c r="N1575" t="str">
        <f>VLOOKUP(M1575,[1]LOJA!$A:$B,2,0)</f>
        <v>ÚNICA</v>
      </c>
      <c r="O1575">
        <v>176</v>
      </c>
      <c r="P1575" t="str">
        <f>VLOOKUP(O1575,[1]OPERADORES!$A:$B,2,0)</f>
        <v>EDUARDO DE JESUS BALDUINO</v>
      </c>
      <c r="Q1575">
        <v>23</v>
      </c>
      <c r="R1575">
        <v>25787</v>
      </c>
      <c r="S1575" t="s">
        <v>53</v>
      </c>
      <c r="T1575" s="1">
        <v>44762</v>
      </c>
      <c r="U1575">
        <v>204.04</v>
      </c>
      <c r="V1575">
        <v>204.04</v>
      </c>
    </row>
    <row r="1576" spans="1:22" x14ac:dyDescent="0.3">
      <c r="A1576" t="s">
        <v>3561</v>
      </c>
      <c r="B1576" t="s">
        <v>3562</v>
      </c>
      <c r="C1576" t="s">
        <v>13</v>
      </c>
      <c r="D1576" t="s">
        <v>3563</v>
      </c>
      <c r="E1576" t="s">
        <v>15</v>
      </c>
      <c r="J1576" s="1">
        <v>44822</v>
      </c>
      <c r="K1576">
        <v>1262</v>
      </c>
      <c r="L1576" t="s">
        <v>3691</v>
      </c>
      <c r="M1576">
        <v>9</v>
      </c>
      <c r="N1576" t="str">
        <f>VLOOKUP(M1576,[1]LOJA!$A:$B,2,0)</f>
        <v>ÚNICA</v>
      </c>
      <c r="O1576">
        <v>176</v>
      </c>
      <c r="P1576" t="str">
        <f>VLOOKUP(O1576,[1]OPERADORES!$A:$B,2,0)</f>
        <v>EDUARDO DE JESUS BALDUINO</v>
      </c>
      <c r="Q1576">
        <v>23</v>
      </c>
      <c r="R1576">
        <v>25811</v>
      </c>
      <c r="S1576" t="s">
        <v>53</v>
      </c>
      <c r="T1576" s="1">
        <v>44762</v>
      </c>
      <c r="U1576">
        <v>75.099999999999994</v>
      </c>
      <c r="V1576">
        <v>75.099999999999994</v>
      </c>
    </row>
    <row r="1577" spans="1:22" x14ac:dyDescent="0.3">
      <c r="A1577" t="s">
        <v>3561</v>
      </c>
      <c r="B1577" t="s">
        <v>3562</v>
      </c>
      <c r="C1577" t="s">
        <v>13</v>
      </c>
      <c r="D1577" t="s">
        <v>3563</v>
      </c>
      <c r="E1577" t="s">
        <v>15</v>
      </c>
      <c r="J1577" s="1">
        <v>44823</v>
      </c>
      <c r="K1577">
        <v>1261</v>
      </c>
      <c r="L1577" t="s">
        <v>3692</v>
      </c>
      <c r="M1577">
        <v>9</v>
      </c>
      <c r="N1577" t="str">
        <f>VLOOKUP(M1577,[1]LOJA!$A:$B,2,0)</f>
        <v>ÚNICA</v>
      </c>
      <c r="O1577">
        <v>176</v>
      </c>
      <c r="P1577" t="str">
        <f>VLOOKUP(O1577,[1]OPERADORES!$A:$B,2,0)</f>
        <v>EDUARDO DE JESUS BALDUINO</v>
      </c>
      <c r="Q1577">
        <v>23</v>
      </c>
      <c r="R1577">
        <v>25878</v>
      </c>
      <c r="S1577" t="s">
        <v>53</v>
      </c>
      <c r="T1577" s="1">
        <v>44763</v>
      </c>
      <c r="U1577">
        <v>86.51</v>
      </c>
      <c r="V1577">
        <v>86.51</v>
      </c>
    </row>
    <row r="1578" spans="1:22" x14ac:dyDescent="0.3">
      <c r="A1578" t="s">
        <v>3561</v>
      </c>
      <c r="B1578" t="s">
        <v>3562</v>
      </c>
      <c r="C1578" t="s">
        <v>13</v>
      </c>
      <c r="D1578" t="s">
        <v>3563</v>
      </c>
      <c r="E1578" t="s">
        <v>15</v>
      </c>
      <c r="J1578" s="1">
        <v>44825</v>
      </c>
      <c r="K1578">
        <v>1259</v>
      </c>
      <c r="L1578" t="s">
        <v>3693</v>
      </c>
      <c r="M1578">
        <v>9</v>
      </c>
      <c r="N1578" t="str">
        <f>VLOOKUP(M1578,[1]LOJA!$A:$B,2,0)</f>
        <v>ÚNICA</v>
      </c>
      <c r="O1578">
        <v>176</v>
      </c>
      <c r="P1578" t="str">
        <f>VLOOKUP(O1578,[1]OPERADORES!$A:$B,2,0)</f>
        <v>EDUARDO DE JESUS BALDUINO</v>
      </c>
      <c r="Q1578">
        <v>23</v>
      </c>
      <c r="R1578">
        <v>24566</v>
      </c>
      <c r="S1578" t="s">
        <v>55</v>
      </c>
      <c r="T1578" s="1">
        <v>44735</v>
      </c>
      <c r="U1578">
        <v>176.3</v>
      </c>
      <c r="V1578">
        <v>176.3</v>
      </c>
    </row>
    <row r="1579" spans="1:22" x14ac:dyDescent="0.3">
      <c r="A1579" t="s">
        <v>3561</v>
      </c>
      <c r="B1579" t="s">
        <v>3562</v>
      </c>
      <c r="C1579" t="s">
        <v>13</v>
      </c>
      <c r="D1579" t="s">
        <v>3563</v>
      </c>
      <c r="E1579" t="s">
        <v>15</v>
      </c>
      <c r="J1579" s="1">
        <v>44825</v>
      </c>
      <c r="K1579">
        <v>1259</v>
      </c>
      <c r="L1579" t="s">
        <v>3694</v>
      </c>
      <c r="M1579">
        <v>9</v>
      </c>
      <c r="N1579" t="str">
        <f>VLOOKUP(M1579,[1]LOJA!$A:$B,2,0)</f>
        <v>ÚNICA</v>
      </c>
      <c r="O1579">
        <v>176</v>
      </c>
      <c r="P1579" t="str">
        <f>VLOOKUP(O1579,[1]OPERADORES!$A:$B,2,0)</f>
        <v>EDUARDO DE JESUS BALDUINO</v>
      </c>
      <c r="Q1579">
        <v>23</v>
      </c>
      <c r="R1579">
        <v>27460</v>
      </c>
      <c r="S1579" t="s">
        <v>51</v>
      </c>
      <c r="T1579" s="1">
        <v>44795</v>
      </c>
      <c r="U1579">
        <v>158.71</v>
      </c>
      <c r="V1579">
        <v>158.71</v>
      </c>
    </row>
    <row r="1580" spans="1:22" x14ac:dyDescent="0.3">
      <c r="A1580" t="s">
        <v>3561</v>
      </c>
      <c r="B1580" t="s">
        <v>3562</v>
      </c>
      <c r="C1580" t="s">
        <v>13</v>
      </c>
      <c r="D1580" t="s">
        <v>3563</v>
      </c>
      <c r="E1580" t="s">
        <v>15</v>
      </c>
      <c r="J1580" s="1">
        <v>44826</v>
      </c>
      <c r="K1580">
        <v>1258</v>
      </c>
      <c r="L1580" t="s">
        <v>3695</v>
      </c>
      <c r="M1580">
        <v>9</v>
      </c>
      <c r="N1580" t="str">
        <f>VLOOKUP(M1580,[1]LOJA!$A:$B,2,0)</f>
        <v>ÚNICA</v>
      </c>
      <c r="O1580">
        <v>131</v>
      </c>
      <c r="P1580" t="str">
        <f>VLOOKUP(O1580,[1]OPERADORES!$A:$B,2,0)</f>
        <v>MARTILIANA MERIAM LOPES CARDOS</v>
      </c>
      <c r="S1580" t="s">
        <v>3696</v>
      </c>
      <c r="T1580" s="1">
        <v>44796</v>
      </c>
      <c r="U1580">
        <v>-277.02</v>
      </c>
      <c r="V1580">
        <v>-277.02</v>
      </c>
    </row>
    <row r="1581" spans="1:22" x14ac:dyDescent="0.3">
      <c r="A1581" t="s">
        <v>3561</v>
      </c>
      <c r="B1581" t="s">
        <v>3562</v>
      </c>
      <c r="C1581" t="s">
        <v>13</v>
      </c>
      <c r="D1581" t="s">
        <v>3563</v>
      </c>
      <c r="E1581" t="s">
        <v>15</v>
      </c>
      <c r="J1581" s="1">
        <v>44827</v>
      </c>
      <c r="K1581">
        <v>1257</v>
      </c>
      <c r="L1581" t="s">
        <v>3697</v>
      </c>
      <c r="M1581">
        <v>9</v>
      </c>
      <c r="N1581" t="str">
        <f>VLOOKUP(M1581,[1]LOJA!$A:$B,2,0)</f>
        <v>ÚNICA</v>
      </c>
      <c r="O1581">
        <v>176</v>
      </c>
      <c r="P1581" t="str">
        <f>VLOOKUP(O1581,[1]OPERADORES!$A:$B,2,0)</f>
        <v>EDUARDO DE JESUS BALDUINO</v>
      </c>
      <c r="Q1581">
        <v>23</v>
      </c>
      <c r="R1581">
        <v>27577</v>
      </c>
      <c r="S1581" t="s">
        <v>51</v>
      </c>
      <c r="T1581" s="1">
        <v>44797</v>
      </c>
      <c r="U1581">
        <v>133.99</v>
      </c>
      <c r="V1581">
        <v>133.99</v>
      </c>
    </row>
    <row r="1582" spans="1:22" x14ac:dyDescent="0.3">
      <c r="A1582" t="s">
        <v>3561</v>
      </c>
      <c r="B1582" t="s">
        <v>3562</v>
      </c>
      <c r="C1582" t="s">
        <v>13</v>
      </c>
      <c r="D1582" t="s">
        <v>3563</v>
      </c>
      <c r="E1582" t="s">
        <v>15</v>
      </c>
      <c r="J1582" s="1">
        <v>44828</v>
      </c>
      <c r="K1582">
        <v>1256</v>
      </c>
      <c r="L1582" t="s">
        <v>3698</v>
      </c>
      <c r="M1582">
        <v>9</v>
      </c>
      <c r="N1582" t="str">
        <f>VLOOKUP(M1582,[1]LOJA!$A:$B,2,0)</f>
        <v>ÚNICA</v>
      </c>
      <c r="O1582">
        <v>176</v>
      </c>
      <c r="P1582" t="str">
        <f>VLOOKUP(O1582,[1]OPERADORES!$A:$B,2,0)</f>
        <v>EDUARDO DE JESUS BALDUINO</v>
      </c>
      <c r="Q1582">
        <v>23</v>
      </c>
      <c r="R1582">
        <v>26066</v>
      </c>
      <c r="S1582" t="s">
        <v>53</v>
      </c>
      <c r="T1582" s="1">
        <v>44768</v>
      </c>
      <c r="U1582">
        <v>84.37</v>
      </c>
      <c r="V1582">
        <v>84.37</v>
      </c>
    </row>
    <row r="1583" spans="1:22" x14ac:dyDescent="0.3">
      <c r="A1583" t="s">
        <v>3561</v>
      </c>
      <c r="B1583" t="s">
        <v>3562</v>
      </c>
      <c r="C1583" t="s">
        <v>13</v>
      </c>
      <c r="D1583" t="s">
        <v>3563</v>
      </c>
      <c r="E1583" t="s">
        <v>15</v>
      </c>
      <c r="J1583" s="1">
        <v>44828</v>
      </c>
      <c r="K1583">
        <v>1256</v>
      </c>
      <c r="L1583" t="s">
        <v>3699</v>
      </c>
      <c r="M1583">
        <v>9</v>
      </c>
      <c r="N1583" t="str">
        <f>VLOOKUP(M1583,[1]LOJA!$A:$B,2,0)</f>
        <v>ÚNICA</v>
      </c>
      <c r="O1583">
        <v>131</v>
      </c>
      <c r="P1583" t="str">
        <f>VLOOKUP(O1583,[1]OPERADORES!$A:$B,2,0)</f>
        <v>MARTILIANA MERIAM LOPES CARDOS</v>
      </c>
      <c r="S1583" t="s">
        <v>3700</v>
      </c>
      <c r="T1583" s="1">
        <v>44798</v>
      </c>
      <c r="U1583">
        <v>-98.21</v>
      </c>
      <c r="V1583">
        <v>-98.21</v>
      </c>
    </row>
    <row r="1584" spans="1:22" x14ac:dyDescent="0.3">
      <c r="A1584" t="s">
        <v>3561</v>
      </c>
      <c r="B1584" t="s">
        <v>3562</v>
      </c>
      <c r="C1584" t="s">
        <v>13</v>
      </c>
      <c r="D1584" t="s">
        <v>3563</v>
      </c>
      <c r="E1584" t="s">
        <v>15</v>
      </c>
      <c r="J1584" s="1">
        <v>44829</v>
      </c>
      <c r="K1584">
        <v>1255</v>
      </c>
      <c r="L1584" t="s">
        <v>3701</v>
      </c>
      <c r="M1584">
        <v>9</v>
      </c>
      <c r="N1584" t="str">
        <f>VLOOKUP(M1584,[1]LOJA!$A:$B,2,0)</f>
        <v>ÚNICA</v>
      </c>
      <c r="O1584">
        <v>176</v>
      </c>
      <c r="P1584" t="str">
        <f>VLOOKUP(O1584,[1]OPERADORES!$A:$B,2,0)</f>
        <v>EDUARDO DE JESUS BALDUINO</v>
      </c>
      <c r="Q1584">
        <v>23</v>
      </c>
      <c r="R1584">
        <v>24608</v>
      </c>
      <c r="S1584" t="s">
        <v>55</v>
      </c>
      <c r="T1584" s="1">
        <v>44739</v>
      </c>
      <c r="U1584">
        <v>228.68</v>
      </c>
      <c r="V1584">
        <v>228.68</v>
      </c>
    </row>
    <row r="1585" spans="1:22" x14ac:dyDescent="0.3">
      <c r="A1585" t="s">
        <v>3561</v>
      </c>
      <c r="B1585" t="s">
        <v>3562</v>
      </c>
      <c r="C1585" t="s">
        <v>13</v>
      </c>
      <c r="D1585" t="s">
        <v>3563</v>
      </c>
      <c r="E1585" t="s">
        <v>15</v>
      </c>
      <c r="J1585" s="1">
        <v>44831</v>
      </c>
      <c r="K1585">
        <v>1253</v>
      </c>
      <c r="L1585" t="s">
        <v>3702</v>
      </c>
      <c r="M1585">
        <v>9</v>
      </c>
      <c r="N1585" t="str">
        <f>VLOOKUP(M1585,[1]LOJA!$A:$B,2,0)</f>
        <v>ÚNICA</v>
      </c>
      <c r="O1585">
        <v>176</v>
      </c>
      <c r="P1585" t="str">
        <f>VLOOKUP(O1585,[1]OPERADORES!$A:$B,2,0)</f>
        <v>EDUARDO DE JESUS BALDUINO</v>
      </c>
      <c r="Q1585">
        <v>23</v>
      </c>
      <c r="R1585">
        <v>26223</v>
      </c>
      <c r="S1585" t="s">
        <v>53</v>
      </c>
      <c r="T1585" s="1">
        <v>44771</v>
      </c>
      <c r="U1585">
        <v>62.71</v>
      </c>
      <c r="V1585">
        <v>62.71</v>
      </c>
    </row>
    <row r="1586" spans="1:22" x14ac:dyDescent="0.3">
      <c r="A1586" t="s">
        <v>3561</v>
      </c>
      <c r="B1586" t="s">
        <v>3562</v>
      </c>
      <c r="C1586" t="s">
        <v>13</v>
      </c>
      <c r="D1586" t="s">
        <v>3563</v>
      </c>
      <c r="E1586" t="s">
        <v>15</v>
      </c>
      <c r="J1586" s="1">
        <v>44832</v>
      </c>
      <c r="K1586">
        <v>1252</v>
      </c>
      <c r="L1586" t="s">
        <v>3703</v>
      </c>
      <c r="M1586">
        <v>9</v>
      </c>
      <c r="N1586" t="str">
        <f>VLOOKUP(M1586,[1]LOJA!$A:$B,2,0)</f>
        <v>ÚNICA</v>
      </c>
      <c r="O1586">
        <v>176</v>
      </c>
      <c r="P1586" t="str">
        <f>VLOOKUP(O1586,[1]OPERADORES!$A:$B,2,0)</f>
        <v>EDUARDO DE JESUS BALDUINO</v>
      </c>
      <c r="Q1586">
        <v>23</v>
      </c>
      <c r="R1586">
        <v>27726</v>
      </c>
      <c r="S1586" t="s">
        <v>51</v>
      </c>
      <c r="T1586" s="1">
        <v>44802</v>
      </c>
      <c r="U1586">
        <v>93.44</v>
      </c>
      <c r="V1586">
        <v>93.44</v>
      </c>
    </row>
    <row r="1587" spans="1:22" x14ac:dyDescent="0.3">
      <c r="A1587" t="s">
        <v>3561</v>
      </c>
      <c r="B1587" t="s">
        <v>3562</v>
      </c>
      <c r="C1587" t="s">
        <v>13</v>
      </c>
      <c r="D1587" t="s">
        <v>3563</v>
      </c>
      <c r="E1587" t="s">
        <v>15</v>
      </c>
      <c r="J1587" s="1">
        <v>44832</v>
      </c>
      <c r="K1587">
        <v>1252</v>
      </c>
      <c r="L1587" t="s">
        <v>3704</v>
      </c>
      <c r="M1587">
        <v>9</v>
      </c>
      <c r="N1587" t="str">
        <f>VLOOKUP(M1587,[1]LOJA!$A:$B,2,0)</f>
        <v>ÚNICA</v>
      </c>
      <c r="O1587">
        <v>131</v>
      </c>
      <c r="P1587" t="str">
        <f>VLOOKUP(O1587,[1]OPERADORES!$A:$B,2,0)</f>
        <v>MARTILIANA MERIAM LOPES CARDOS</v>
      </c>
      <c r="S1587" t="s">
        <v>3705</v>
      </c>
      <c r="T1587" s="1">
        <v>44802</v>
      </c>
      <c r="U1587" s="2">
        <v>-11503.29</v>
      </c>
      <c r="V1587" s="2">
        <v>-11503.29</v>
      </c>
    </row>
    <row r="1588" spans="1:22" x14ac:dyDescent="0.3">
      <c r="A1588" t="s">
        <v>3561</v>
      </c>
      <c r="B1588" t="s">
        <v>3562</v>
      </c>
      <c r="C1588" t="s">
        <v>13</v>
      </c>
      <c r="D1588" t="s">
        <v>3563</v>
      </c>
      <c r="E1588" t="s">
        <v>15</v>
      </c>
      <c r="J1588" s="1">
        <v>44834</v>
      </c>
      <c r="K1588">
        <v>1250</v>
      </c>
      <c r="L1588" t="s">
        <v>3706</v>
      </c>
      <c r="M1588">
        <v>9</v>
      </c>
      <c r="N1588" t="str">
        <f>VLOOKUP(M1588,[1]LOJA!$A:$B,2,0)</f>
        <v>ÚNICA</v>
      </c>
      <c r="O1588">
        <v>176</v>
      </c>
      <c r="P1588" t="str">
        <f>VLOOKUP(O1588,[1]OPERADORES!$A:$B,2,0)</f>
        <v>EDUARDO DE JESUS BALDUINO</v>
      </c>
      <c r="Q1588">
        <v>23</v>
      </c>
      <c r="R1588">
        <v>28039</v>
      </c>
      <c r="S1588" t="s">
        <v>51</v>
      </c>
      <c r="T1588" s="1">
        <v>44804</v>
      </c>
      <c r="U1588">
        <v>171.66</v>
      </c>
      <c r="V1588">
        <v>171.66</v>
      </c>
    </row>
    <row r="1589" spans="1:22" x14ac:dyDescent="0.3">
      <c r="A1589" t="s">
        <v>3561</v>
      </c>
      <c r="B1589" t="s">
        <v>3562</v>
      </c>
      <c r="C1589" t="s">
        <v>13</v>
      </c>
      <c r="D1589" t="s">
        <v>3563</v>
      </c>
      <c r="E1589" t="s">
        <v>15</v>
      </c>
      <c r="J1589" s="1">
        <v>44836</v>
      </c>
      <c r="K1589">
        <v>1248</v>
      </c>
      <c r="L1589" t="s">
        <v>3707</v>
      </c>
      <c r="M1589">
        <v>9</v>
      </c>
      <c r="N1589" t="str">
        <f>VLOOKUP(M1589,[1]LOJA!$A:$B,2,0)</f>
        <v>ÚNICA</v>
      </c>
      <c r="O1589">
        <v>176</v>
      </c>
      <c r="P1589" t="str">
        <f>VLOOKUP(O1589,[1]OPERADORES!$A:$B,2,0)</f>
        <v>EDUARDO DE JESUS BALDUINO</v>
      </c>
      <c r="Q1589">
        <v>23</v>
      </c>
      <c r="R1589">
        <v>24996</v>
      </c>
      <c r="S1589" t="s">
        <v>55</v>
      </c>
      <c r="T1589" s="1">
        <v>44746</v>
      </c>
      <c r="U1589">
        <v>49.59</v>
      </c>
      <c r="V1589">
        <v>49.59</v>
      </c>
    </row>
    <row r="1590" spans="1:22" x14ac:dyDescent="0.3">
      <c r="A1590" t="s">
        <v>3561</v>
      </c>
      <c r="B1590" t="s">
        <v>3562</v>
      </c>
      <c r="C1590" t="s">
        <v>13</v>
      </c>
      <c r="D1590" t="s">
        <v>3563</v>
      </c>
      <c r="E1590" t="s">
        <v>15</v>
      </c>
      <c r="J1590" s="1">
        <v>44836</v>
      </c>
      <c r="K1590">
        <v>1248</v>
      </c>
      <c r="L1590" t="s">
        <v>3708</v>
      </c>
      <c r="M1590">
        <v>9</v>
      </c>
      <c r="N1590" t="str">
        <f>VLOOKUP(M1590,[1]LOJA!$A:$B,2,0)</f>
        <v>ÚNICA</v>
      </c>
      <c r="O1590">
        <v>176</v>
      </c>
      <c r="P1590" t="str">
        <f>VLOOKUP(O1590,[1]OPERADORES!$A:$B,2,0)</f>
        <v>EDUARDO DE JESUS BALDUINO</v>
      </c>
      <c r="Q1590">
        <v>23</v>
      </c>
      <c r="R1590">
        <v>26520</v>
      </c>
      <c r="S1590" t="s">
        <v>53</v>
      </c>
      <c r="T1590" s="1">
        <v>44776</v>
      </c>
      <c r="U1590">
        <v>138.66999999999999</v>
      </c>
      <c r="V1590">
        <v>138.66999999999999</v>
      </c>
    </row>
    <row r="1591" spans="1:22" x14ac:dyDescent="0.3">
      <c r="A1591" t="s">
        <v>3561</v>
      </c>
      <c r="B1591" t="s">
        <v>3562</v>
      </c>
      <c r="C1591" t="s">
        <v>13</v>
      </c>
      <c r="D1591" t="s">
        <v>3563</v>
      </c>
      <c r="E1591" t="s">
        <v>15</v>
      </c>
      <c r="J1591" s="1">
        <v>44836</v>
      </c>
      <c r="K1591">
        <v>1248</v>
      </c>
      <c r="L1591" t="s">
        <v>3709</v>
      </c>
      <c r="M1591">
        <v>9</v>
      </c>
      <c r="N1591" t="str">
        <f>VLOOKUP(M1591,[1]LOJA!$A:$B,2,0)</f>
        <v>ÚNICA</v>
      </c>
      <c r="O1591">
        <v>176</v>
      </c>
      <c r="P1591" t="str">
        <f>VLOOKUP(O1591,[1]OPERADORES!$A:$B,2,0)</f>
        <v>EDUARDO DE JESUS BALDUINO</v>
      </c>
      <c r="Q1591">
        <v>23</v>
      </c>
      <c r="R1591">
        <v>26611</v>
      </c>
      <c r="S1591" t="s">
        <v>53</v>
      </c>
      <c r="T1591" s="1">
        <v>44776</v>
      </c>
      <c r="U1591">
        <v>42.6</v>
      </c>
      <c r="V1591">
        <v>42.6</v>
      </c>
    </row>
    <row r="1592" spans="1:22" x14ac:dyDescent="0.3">
      <c r="A1592" t="s">
        <v>3561</v>
      </c>
      <c r="B1592" t="s">
        <v>3562</v>
      </c>
      <c r="C1592" t="s">
        <v>13</v>
      </c>
      <c r="D1592" t="s">
        <v>3563</v>
      </c>
      <c r="E1592" t="s">
        <v>15</v>
      </c>
      <c r="J1592" s="1">
        <v>44838</v>
      </c>
      <c r="K1592">
        <v>1246</v>
      </c>
      <c r="L1592" t="s">
        <v>3710</v>
      </c>
      <c r="M1592">
        <v>9</v>
      </c>
      <c r="N1592" t="str">
        <f>VLOOKUP(M1592,[1]LOJA!$A:$B,2,0)</f>
        <v>ÚNICA</v>
      </c>
      <c r="O1592">
        <v>176</v>
      </c>
      <c r="P1592" t="str">
        <f>VLOOKUP(O1592,[1]OPERADORES!$A:$B,2,0)</f>
        <v>EDUARDO DE JESUS BALDUINO</v>
      </c>
      <c r="Q1592">
        <v>23</v>
      </c>
      <c r="R1592">
        <v>25126</v>
      </c>
      <c r="S1592" t="s">
        <v>55</v>
      </c>
      <c r="T1592" s="1">
        <v>44748</v>
      </c>
      <c r="U1592">
        <v>118.95</v>
      </c>
      <c r="V1592">
        <v>118.95</v>
      </c>
    </row>
    <row r="1593" spans="1:22" x14ac:dyDescent="0.3">
      <c r="A1593" t="s">
        <v>3561</v>
      </c>
      <c r="B1593" t="s">
        <v>3562</v>
      </c>
      <c r="C1593" t="s">
        <v>13</v>
      </c>
      <c r="D1593" t="s">
        <v>3563</v>
      </c>
      <c r="E1593" t="s">
        <v>15</v>
      </c>
      <c r="J1593" s="1">
        <v>44838</v>
      </c>
      <c r="K1593">
        <v>1246</v>
      </c>
      <c r="L1593" t="s">
        <v>3711</v>
      </c>
      <c r="M1593">
        <v>9</v>
      </c>
      <c r="N1593" t="str">
        <f>VLOOKUP(M1593,[1]LOJA!$A:$B,2,0)</f>
        <v>ÚNICA</v>
      </c>
      <c r="O1593">
        <v>176</v>
      </c>
      <c r="P1593" t="str">
        <f>VLOOKUP(O1593,[1]OPERADORES!$A:$B,2,0)</f>
        <v>EDUARDO DE JESUS BALDUINO</v>
      </c>
      <c r="Q1593">
        <v>23</v>
      </c>
      <c r="R1593">
        <v>26736</v>
      </c>
      <c r="S1593" t="s">
        <v>53</v>
      </c>
      <c r="T1593" s="1">
        <v>44778</v>
      </c>
      <c r="U1593">
        <v>55.95</v>
      </c>
      <c r="V1593">
        <v>55.95</v>
      </c>
    </row>
    <row r="1594" spans="1:22" x14ac:dyDescent="0.3">
      <c r="A1594" t="s">
        <v>3561</v>
      </c>
      <c r="B1594" t="s">
        <v>3562</v>
      </c>
      <c r="C1594" t="s">
        <v>13</v>
      </c>
      <c r="D1594" t="s">
        <v>3563</v>
      </c>
      <c r="E1594" t="s">
        <v>15</v>
      </c>
      <c r="J1594" s="1">
        <v>44839</v>
      </c>
      <c r="K1594">
        <v>1245</v>
      </c>
      <c r="L1594" t="s">
        <v>3712</v>
      </c>
      <c r="M1594">
        <v>9</v>
      </c>
      <c r="N1594" t="str">
        <f>VLOOKUP(M1594,[1]LOJA!$A:$B,2,0)</f>
        <v>ÚNICA</v>
      </c>
      <c r="O1594">
        <v>131</v>
      </c>
      <c r="P1594" t="str">
        <f>VLOOKUP(O1594,[1]OPERADORES!$A:$B,2,0)</f>
        <v>MARTILIANA MERIAM LOPES CARDOS</v>
      </c>
      <c r="S1594" t="s">
        <v>3713</v>
      </c>
      <c r="T1594" s="1">
        <v>44809</v>
      </c>
      <c r="U1594">
        <v>-163.5</v>
      </c>
      <c r="V1594">
        <v>-163.5</v>
      </c>
    </row>
    <row r="1595" spans="1:22" x14ac:dyDescent="0.3">
      <c r="A1595" t="s">
        <v>3561</v>
      </c>
      <c r="B1595" t="s">
        <v>3562</v>
      </c>
      <c r="C1595" t="s">
        <v>13</v>
      </c>
      <c r="D1595" t="s">
        <v>3563</v>
      </c>
      <c r="E1595" t="s">
        <v>15</v>
      </c>
      <c r="J1595" s="1">
        <v>44840</v>
      </c>
      <c r="K1595">
        <v>1244</v>
      </c>
      <c r="L1595" t="s">
        <v>3714</v>
      </c>
      <c r="M1595">
        <v>9</v>
      </c>
      <c r="N1595" t="str">
        <f>VLOOKUP(M1595,[1]LOJA!$A:$B,2,0)</f>
        <v>ÚNICA</v>
      </c>
      <c r="O1595">
        <v>176</v>
      </c>
      <c r="P1595" t="str">
        <f>VLOOKUP(O1595,[1]OPERADORES!$A:$B,2,0)</f>
        <v>EDUARDO DE JESUS BALDUINO</v>
      </c>
      <c r="Q1595">
        <v>23</v>
      </c>
      <c r="R1595">
        <v>25233</v>
      </c>
      <c r="S1595" t="s">
        <v>55</v>
      </c>
      <c r="T1595" s="1">
        <v>44750</v>
      </c>
      <c r="U1595">
        <v>199.41</v>
      </c>
      <c r="V1595">
        <v>199.41</v>
      </c>
    </row>
    <row r="1596" spans="1:22" x14ac:dyDescent="0.3">
      <c r="A1596" t="s">
        <v>3561</v>
      </c>
      <c r="B1596" t="s">
        <v>3562</v>
      </c>
      <c r="C1596" t="s">
        <v>13</v>
      </c>
      <c r="D1596" t="s">
        <v>3563</v>
      </c>
      <c r="E1596" t="s">
        <v>15</v>
      </c>
      <c r="J1596" s="1">
        <v>44840</v>
      </c>
      <c r="K1596">
        <v>1244</v>
      </c>
      <c r="L1596" t="s">
        <v>3715</v>
      </c>
      <c r="M1596">
        <v>9</v>
      </c>
      <c r="N1596" t="str">
        <f>VLOOKUP(M1596,[1]LOJA!$A:$B,2,0)</f>
        <v>ÚNICA</v>
      </c>
      <c r="O1596">
        <v>176</v>
      </c>
      <c r="P1596" t="str">
        <f>VLOOKUP(O1596,[1]OPERADORES!$A:$B,2,0)</f>
        <v>EDUARDO DE JESUS BALDUINO</v>
      </c>
      <c r="Q1596">
        <v>23</v>
      </c>
      <c r="R1596">
        <v>28252</v>
      </c>
      <c r="S1596" t="s">
        <v>51</v>
      </c>
      <c r="T1596" s="1">
        <v>44810</v>
      </c>
      <c r="U1596">
        <v>169.9</v>
      </c>
      <c r="V1596">
        <v>169.9</v>
      </c>
    </row>
    <row r="1597" spans="1:22" x14ac:dyDescent="0.3">
      <c r="A1597" t="s">
        <v>3561</v>
      </c>
      <c r="B1597" t="s">
        <v>3562</v>
      </c>
      <c r="C1597" t="s">
        <v>13</v>
      </c>
      <c r="D1597" t="s">
        <v>3563</v>
      </c>
      <c r="E1597" t="s">
        <v>15</v>
      </c>
      <c r="J1597" s="1">
        <v>44841</v>
      </c>
      <c r="K1597">
        <v>1243</v>
      </c>
      <c r="L1597" t="s">
        <v>3716</v>
      </c>
      <c r="M1597">
        <v>9</v>
      </c>
      <c r="N1597" t="str">
        <f>VLOOKUP(M1597,[1]LOJA!$A:$B,2,0)</f>
        <v>ÚNICA</v>
      </c>
      <c r="O1597">
        <v>176</v>
      </c>
      <c r="P1597" t="str">
        <f>VLOOKUP(O1597,[1]OPERADORES!$A:$B,2,0)</f>
        <v>EDUARDO DE JESUS BALDUINO</v>
      </c>
      <c r="Q1597">
        <v>23</v>
      </c>
      <c r="R1597">
        <v>26843</v>
      </c>
      <c r="S1597" t="s">
        <v>53</v>
      </c>
      <c r="T1597" s="1">
        <v>44781</v>
      </c>
      <c r="U1597">
        <v>49.95</v>
      </c>
      <c r="V1597">
        <v>49.95</v>
      </c>
    </row>
    <row r="1598" spans="1:22" x14ac:dyDescent="0.3">
      <c r="A1598" t="s">
        <v>3561</v>
      </c>
      <c r="B1598" t="s">
        <v>3562</v>
      </c>
      <c r="C1598" t="s">
        <v>13</v>
      </c>
      <c r="D1598" t="s">
        <v>3563</v>
      </c>
      <c r="E1598" t="s">
        <v>15</v>
      </c>
      <c r="J1598" s="1">
        <v>44842</v>
      </c>
      <c r="K1598">
        <v>1242</v>
      </c>
      <c r="L1598" t="s">
        <v>3717</v>
      </c>
      <c r="M1598">
        <v>9</v>
      </c>
      <c r="N1598" t="str">
        <f>VLOOKUP(M1598,[1]LOJA!$A:$B,2,0)</f>
        <v>ÚNICA</v>
      </c>
      <c r="O1598">
        <v>176</v>
      </c>
      <c r="P1598" t="str">
        <f>VLOOKUP(O1598,[1]OPERADORES!$A:$B,2,0)</f>
        <v>EDUARDO DE JESUS BALDUINO</v>
      </c>
      <c r="Q1598">
        <v>23</v>
      </c>
      <c r="R1598">
        <v>28328</v>
      </c>
      <c r="S1598" t="s">
        <v>51</v>
      </c>
      <c r="T1598" s="1">
        <v>44812</v>
      </c>
      <c r="U1598">
        <v>351.97</v>
      </c>
      <c r="V1598">
        <v>351.97</v>
      </c>
    </row>
    <row r="1599" spans="1:22" x14ac:dyDescent="0.3">
      <c r="A1599" t="s">
        <v>3561</v>
      </c>
      <c r="B1599" t="s">
        <v>3562</v>
      </c>
      <c r="C1599" t="s">
        <v>13</v>
      </c>
      <c r="D1599" t="s">
        <v>3563</v>
      </c>
      <c r="E1599" t="s">
        <v>15</v>
      </c>
      <c r="J1599" s="1">
        <v>44842</v>
      </c>
      <c r="K1599">
        <v>1242</v>
      </c>
      <c r="L1599" t="s">
        <v>3718</v>
      </c>
      <c r="M1599">
        <v>9</v>
      </c>
      <c r="N1599" t="str">
        <f>VLOOKUP(M1599,[1]LOJA!$A:$B,2,0)</f>
        <v>ÚNICA</v>
      </c>
      <c r="O1599">
        <v>176</v>
      </c>
      <c r="P1599" t="str">
        <f>VLOOKUP(O1599,[1]OPERADORES!$A:$B,2,0)</f>
        <v>EDUARDO DE JESUS BALDUINO</v>
      </c>
      <c r="Q1599">
        <v>23</v>
      </c>
      <c r="R1599">
        <v>28377</v>
      </c>
      <c r="S1599" t="s">
        <v>51</v>
      </c>
      <c r="T1599" s="1">
        <v>44812</v>
      </c>
      <c r="U1599">
        <v>110.56</v>
      </c>
      <c r="V1599">
        <v>110.56</v>
      </c>
    </row>
    <row r="1600" spans="1:22" x14ac:dyDescent="0.3">
      <c r="A1600" t="s">
        <v>3561</v>
      </c>
      <c r="B1600" t="s">
        <v>3562</v>
      </c>
      <c r="C1600" t="s">
        <v>13</v>
      </c>
      <c r="D1600" t="s">
        <v>3563</v>
      </c>
      <c r="E1600" t="s">
        <v>15</v>
      </c>
      <c r="J1600" s="1">
        <v>44844</v>
      </c>
      <c r="K1600">
        <v>1240</v>
      </c>
      <c r="L1600" t="s">
        <v>3719</v>
      </c>
      <c r="M1600">
        <v>9</v>
      </c>
      <c r="N1600" t="str">
        <f>VLOOKUP(M1600,[1]LOJA!$A:$B,2,0)</f>
        <v>ÚNICA</v>
      </c>
      <c r="O1600">
        <v>176</v>
      </c>
      <c r="P1600" t="str">
        <f>VLOOKUP(O1600,[1]OPERADORES!$A:$B,2,0)</f>
        <v>EDUARDO DE JESUS BALDUINO</v>
      </c>
      <c r="Q1600">
        <v>23</v>
      </c>
      <c r="R1600">
        <v>25381</v>
      </c>
      <c r="S1600" t="s">
        <v>55</v>
      </c>
      <c r="T1600" s="1">
        <v>44754</v>
      </c>
      <c r="U1600">
        <v>219.74</v>
      </c>
      <c r="V1600">
        <v>219.74</v>
      </c>
    </row>
    <row r="1601" spans="1:22" x14ac:dyDescent="0.3">
      <c r="A1601" t="s">
        <v>3561</v>
      </c>
      <c r="B1601" t="s">
        <v>3562</v>
      </c>
      <c r="C1601" t="s">
        <v>13</v>
      </c>
      <c r="D1601" t="s">
        <v>3563</v>
      </c>
      <c r="E1601" t="s">
        <v>15</v>
      </c>
      <c r="J1601" s="1">
        <v>44844</v>
      </c>
      <c r="K1601">
        <v>1240</v>
      </c>
      <c r="L1601" t="s">
        <v>3720</v>
      </c>
      <c r="M1601">
        <v>9</v>
      </c>
      <c r="N1601" t="str">
        <f>VLOOKUP(M1601,[1]LOJA!$A:$B,2,0)</f>
        <v>ÚNICA</v>
      </c>
      <c r="O1601">
        <v>176</v>
      </c>
      <c r="P1601" t="str">
        <f>VLOOKUP(O1601,[1]OPERADORES!$A:$B,2,0)</f>
        <v>EDUARDO DE JESUS BALDUINO</v>
      </c>
      <c r="Q1601">
        <v>23</v>
      </c>
      <c r="R1601">
        <v>27023</v>
      </c>
      <c r="S1601" t="s">
        <v>53</v>
      </c>
      <c r="T1601" s="1">
        <v>44784</v>
      </c>
      <c r="U1601">
        <v>64.88</v>
      </c>
      <c r="V1601">
        <v>64.88</v>
      </c>
    </row>
    <row r="1602" spans="1:22" x14ac:dyDescent="0.3">
      <c r="A1602" t="s">
        <v>3561</v>
      </c>
      <c r="B1602" t="s">
        <v>3562</v>
      </c>
      <c r="C1602" t="s">
        <v>13</v>
      </c>
      <c r="D1602" t="s">
        <v>3563</v>
      </c>
      <c r="E1602" t="s">
        <v>15</v>
      </c>
      <c r="J1602" s="1">
        <v>44845</v>
      </c>
      <c r="K1602">
        <v>1239</v>
      </c>
      <c r="L1602" t="s">
        <v>3721</v>
      </c>
      <c r="M1602">
        <v>9</v>
      </c>
      <c r="N1602" t="str">
        <f>VLOOKUP(M1602,[1]LOJA!$A:$B,2,0)</f>
        <v>ÚNICA</v>
      </c>
      <c r="O1602">
        <v>84</v>
      </c>
      <c r="P1602" t="str">
        <f>VLOOKUP(O1602,[1]OPERADORES!$A:$B,2,0)</f>
        <v>JEICY AZEVEDO</v>
      </c>
      <c r="Q1602">
        <v>23</v>
      </c>
      <c r="R1602">
        <v>19434</v>
      </c>
      <c r="S1602" t="s">
        <v>3722</v>
      </c>
      <c r="T1602" s="1">
        <v>44531</v>
      </c>
      <c r="U1602" s="2">
        <v>7538.6</v>
      </c>
      <c r="V1602" s="2">
        <v>7538.6</v>
      </c>
    </row>
    <row r="1603" spans="1:22" x14ac:dyDescent="0.3">
      <c r="A1603" t="s">
        <v>3561</v>
      </c>
      <c r="B1603" t="s">
        <v>3562</v>
      </c>
      <c r="C1603" t="s">
        <v>13</v>
      </c>
      <c r="D1603" t="s">
        <v>3563</v>
      </c>
      <c r="E1603" t="s">
        <v>15</v>
      </c>
      <c r="J1603" s="1">
        <v>44845</v>
      </c>
      <c r="K1603">
        <v>1239</v>
      </c>
      <c r="L1603" t="s">
        <v>3723</v>
      </c>
      <c r="M1603">
        <v>9</v>
      </c>
      <c r="N1603" t="str">
        <f>VLOOKUP(M1603,[1]LOJA!$A:$B,2,0)</f>
        <v>ÚNICA</v>
      </c>
      <c r="O1603">
        <v>176</v>
      </c>
      <c r="P1603" t="str">
        <f>VLOOKUP(O1603,[1]OPERADORES!$A:$B,2,0)</f>
        <v>EDUARDO DE JESUS BALDUINO</v>
      </c>
      <c r="Q1603">
        <v>23</v>
      </c>
      <c r="R1603">
        <v>27130</v>
      </c>
      <c r="S1603" t="s">
        <v>53</v>
      </c>
      <c r="T1603" s="1">
        <v>44785</v>
      </c>
      <c r="U1603">
        <v>71.08</v>
      </c>
      <c r="V1603">
        <v>71.08</v>
      </c>
    </row>
    <row r="1604" spans="1:22" x14ac:dyDescent="0.3">
      <c r="A1604" t="s">
        <v>3561</v>
      </c>
      <c r="B1604" t="s">
        <v>3562</v>
      </c>
      <c r="C1604" t="s">
        <v>13</v>
      </c>
      <c r="D1604" t="s">
        <v>3563</v>
      </c>
      <c r="E1604" t="s">
        <v>15</v>
      </c>
      <c r="J1604" s="1">
        <v>44846</v>
      </c>
      <c r="K1604">
        <v>1238</v>
      </c>
      <c r="L1604" t="s">
        <v>3724</v>
      </c>
      <c r="M1604">
        <v>9</v>
      </c>
      <c r="N1604" t="str">
        <f>VLOOKUP(M1604,[1]LOJA!$A:$B,2,0)</f>
        <v>ÚNICA</v>
      </c>
      <c r="O1604">
        <v>176</v>
      </c>
      <c r="P1604" t="str">
        <f>VLOOKUP(O1604,[1]OPERADORES!$A:$B,2,0)</f>
        <v>EDUARDO DE JESUS BALDUINO</v>
      </c>
      <c r="Q1604">
        <v>23</v>
      </c>
      <c r="R1604">
        <v>25555</v>
      </c>
      <c r="S1604" t="s">
        <v>55</v>
      </c>
      <c r="T1604" s="1">
        <v>44756</v>
      </c>
      <c r="U1604">
        <v>40.93</v>
      </c>
      <c r="V1604">
        <v>40.93</v>
      </c>
    </row>
    <row r="1605" spans="1:22" x14ac:dyDescent="0.3">
      <c r="A1605" t="s">
        <v>3561</v>
      </c>
      <c r="B1605" t="s">
        <v>3562</v>
      </c>
      <c r="C1605" t="s">
        <v>13</v>
      </c>
      <c r="D1605" t="s">
        <v>3563</v>
      </c>
      <c r="E1605" t="s">
        <v>15</v>
      </c>
      <c r="J1605" s="1">
        <v>44846</v>
      </c>
      <c r="K1605">
        <v>1238</v>
      </c>
      <c r="L1605" t="s">
        <v>3725</v>
      </c>
      <c r="M1605">
        <v>9</v>
      </c>
      <c r="N1605" t="str">
        <f>VLOOKUP(M1605,[1]LOJA!$A:$B,2,0)</f>
        <v>ÚNICA</v>
      </c>
      <c r="O1605">
        <v>176</v>
      </c>
      <c r="P1605" t="str">
        <f>VLOOKUP(O1605,[1]OPERADORES!$A:$B,2,0)</f>
        <v>EDUARDO DE JESUS BALDUINO</v>
      </c>
      <c r="Q1605">
        <v>23</v>
      </c>
      <c r="R1605">
        <v>28435</v>
      </c>
      <c r="S1605" t="s">
        <v>51</v>
      </c>
      <c r="T1605" s="1">
        <v>44816</v>
      </c>
      <c r="U1605">
        <v>159.05000000000001</v>
      </c>
      <c r="V1605">
        <v>159.05000000000001</v>
      </c>
    </row>
    <row r="1606" spans="1:22" x14ac:dyDescent="0.3">
      <c r="A1606" t="s">
        <v>3561</v>
      </c>
      <c r="B1606" t="s">
        <v>3562</v>
      </c>
      <c r="C1606" t="s">
        <v>13</v>
      </c>
      <c r="D1606" t="s">
        <v>3563</v>
      </c>
      <c r="E1606" t="s">
        <v>15</v>
      </c>
      <c r="J1606" s="1">
        <v>44847</v>
      </c>
      <c r="K1606">
        <v>1237</v>
      </c>
      <c r="L1606" t="s">
        <v>3726</v>
      </c>
      <c r="M1606">
        <v>9</v>
      </c>
      <c r="N1606" t="str">
        <f>VLOOKUP(M1606,[1]LOJA!$A:$B,2,0)</f>
        <v>ÚNICA</v>
      </c>
      <c r="O1606">
        <v>176</v>
      </c>
      <c r="P1606" t="str">
        <f>VLOOKUP(O1606,[1]OPERADORES!$A:$B,2,0)</f>
        <v>EDUARDO DE JESUS BALDUINO</v>
      </c>
      <c r="Q1606">
        <v>23</v>
      </c>
      <c r="R1606">
        <v>28468</v>
      </c>
      <c r="S1606" t="s">
        <v>51</v>
      </c>
      <c r="T1606" s="1">
        <v>44817</v>
      </c>
      <c r="U1606">
        <v>122.74</v>
      </c>
      <c r="V1606">
        <v>122.74</v>
      </c>
    </row>
    <row r="1607" spans="1:22" x14ac:dyDescent="0.3">
      <c r="A1607" t="s">
        <v>3561</v>
      </c>
      <c r="B1607" t="s">
        <v>3562</v>
      </c>
      <c r="C1607" t="s">
        <v>13</v>
      </c>
      <c r="D1607" t="s">
        <v>3563</v>
      </c>
      <c r="E1607" t="s">
        <v>15</v>
      </c>
      <c r="J1607" s="1">
        <v>44848</v>
      </c>
      <c r="K1607">
        <v>1236</v>
      </c>
      <c r="L1607" t="s">
        <v>3727</v>
      </c>
      <c r="M1607">
        <v>9</v>
      </c>
      <c r="N1607" t="str">
        <f>VLOOKUP(M1607,[1]LOJA!$A:$B,2,0)</f>
        <v>ÚNICA</v>
      </c>
      <c r="O1607">
        <v>176</v>
      </c>
      <c r="P1607" t="str">
        <f>VLOOKUP(O1607,[1]OPERADORES!$A:$B,2,0)</f>
        <v>EDUARDO DE JESUS BALDUINO</v>
      </c>
      <c r="Q1607">
        <v>23</v>
      </c>
      <c r="R1607">
        <v>27163</v>
      </c>
      <c r="S1607" t="s">
        <v>53</v>
      </c>
      <c r="T1607" s="1">
        <v>44788</v>
      </c>
      <c r="U1607">
        <v>110.06</v>
      </c>
      <c r="V1607">
        <v>110.06</v>
      </c>
    </row>
    <row r="1608" spans="1:22" x14ac:dyDescent="0.3">
      <c r="A1608" t="s">
        <v>3561</v>
      </c>
      <c r="B1608" t="s">
        <v>3562</v>
      </c>
      <c r="C1608" t="s">
        <v>13</v>
      </c>
      <c r="D1608" t="s">
        <v>3563</v>
      </c>
      <c r="E1608" t="s">
        <v>15</v>
      </c>
      <c r="J1608" s="1">
        <v>44849</v>
      </c>
      <c r="K1608">
        <v>1235</v>
      </c>
      <c r="L1608" t="s">
        <v>3728</v>
      </c>
      <c r="M1608">
        <v>9</v>
      </c>
      <c r="N1608" t="str">
        <f>VLOOKUP(M1608,[1]LOJA!$A:$B,2,0)</f>
        <v>ÚNICA</v>
      </c>
      <c r="O1608">
        <v>176</v>
      </c>
      <c r="P1608" t="str">
        <f>VLOOKUP(O1608,[1]OPERADORES!$A:$B,2,0)</f>
        <v>EDUARDO DE JESUS BALDUINO</v>
      </c>
      <c r="Q1608">
        <v>23</v>
      </c>
      <c r="R1608">
        <v>28526</v>
      </c>
      <c r="S1608" t="s">
        <v>51</v>
      </c>
      <c r="T1608" s="1">
        <v>44819</v>
      </c>
      <c r="U1608">
        <v>187.75</v>
      </c>
      <c r="V1608">
        <v>187.75</v>
      </c>
    </row>
    <row r="1609" spans="1:22" x14ac:dyDescent="0.3">
      <c r="A1609" t="s">
        <v>3561</v>
      </c>
      <c r="B1609" t="s">
        <v>3562</v>
      </c>
      <c r="C1609" t="s">
        <v>13</v>
      </c>
      <c r="D1609" t="s">
        <v>3563</v>
      </c>
      <c r="E1609" t="s">
        <v>15</v>
      </c>
      <c r="J1609" s="1">
        <v>44850</v>
      </c>
      <c r="K1609">
        <v>1234</v>
      </c>
      <c r="L1609" t="s">
        <v>3729</v>
      </c>
      <c r="M1609">
        <v>9</v>
      </c>
      <c r="N1609" t="str">
        <f>VLOOKUP(M1609,[1]LOJA!$A:$B,2,0)</f>
        <v>ÚNICA</v>
      </c>
      <c r="O1609">
        <v>176</v>
      </c>
      <c r="P1609" t="str">
        <f>VLOOKUP(O1609,[1]OPERADORES!$A:$B,2,0)</f>
        <v>EDUARDO DE JESUS BALDUINO</v>
      </c>
      <c r="Q1609">
        <v>23</v>
      </c>
      <c r="R1609">
        <v>27262</v>
      </c>
      <c r="S1609" t="s">
        <v>53</v>
      </c>
      <c r="T1609" s="1">
        <v>44790</v>
      </c>
      <c r="U1609">
        <v>106.67</v>
      </c>
      <c r="V1609">
        <v>106.67</v>
      </c>
    </row>
    <row r="1610" spans="1:22" x14ac:dyDescent="0.3">
      <c r="A1610" t="s">
        <v>3561</v>
      </c>
      <c r="B1610" t="s">
        <v>3562</v>
      </c>
      <c r="C1610" t="s">
        <v>13</v>
      </c>
      <c r="D1610" t="s">
        <v>3563</v>
      </c>
      <c r="E1610" t="s">
        <v>15</v>
      </c>
      <c r="J1610" s="1">
        <v>44851</v>
      </c>
      <c r="K1610">
        <v>1233</v>
      </c>
      <c r="L1610" t="s">
        <v>3730</v>
      </c>
      <c r="M1610">
        <v>9</v>
      </c>
      <c r="N1610" t="str">
        <f>VLOOKUP(M1610,[1]LOJA!$A:$B,2,0)</f>
        <v>ÚNICA</v>
      </c>
      <c r="O1610">
        <v>176</v>
      </c>
      <c r="P1610" t="str">
        <f>VLOOKUP(O1610,[1]OPERADORES!$A:$B,2,0)</f>
        <v>EDUARDO DE JESUS BALDUINO</v>
      </c>
      <c r="Q1610">
        <v>23</v>
      </c>
      <c r="R1610">
        <v>25647</v>
      </c>
      <c r="S1610" t="s">
        <v>55</v>
      </c>
      <c r="T1610" s="1">
        <v>44761</v>
      </c>
      <c r="U1610">
        <v>55.81</v>
      </c>
      <c r="V1610">
        <v>55.81</v>
      </c>
    </row>
    <row r="1611" spans="1:22" x14ac:dyDescent="0.3">
      <c r="A1611" t="s">
        <v>3561</v>
      </c>
      <c r="B1611" t="s">
        <v>3562</v>
      </c>
      <c r="C1611" t="s">
        <v>13</v>
      </c>
      <c r="D1611" t="s">
        <v>3563</v>
      </c>
      <c r="E1611" t="s">
        <v>15</v>
      </c>
      <c r="J1611" s="1">
        <v>44852</v>
      </c>
      <c r="K1611">
        <v>1232</v>
      </c>
      <c r="L1611" t="s">
        <v>3731</v>
      </c>
      <c r="M1611">
        <v>9</v>
      </c>
      <c r="N1611" t="str">
        <f>VLOOKUP(M1611,[1]LOJA!$A:$B,2,0)</f>
        <v>ÚNICA</v>
      </c>
      <c r="O1611">
        <v>176</v>
      </c>
      <c r="P1611" t="str">
        <f>VLOOKUP(O1611,[1]OPERADORES!$A:$B,2,0)</f>
        <v>EDUARDO DE JESUS BALDUINO</v>
      </c>
      <c r="Q1611">
        <v>23</v>
      </c>
      <c r="R1611">
        <v>25795</v>
      </c>
      <c r="S1611" t="s">
        <v>55</v>
      </c>
      <c r="T1611" s="1">
        <v>44762</v>
      </c>
      <c r="U1611">
        <v>204.04</v>
      </c>
      <c r="V1611">
        <v>204.04</v>
      </c>
    </row>
    <row r="1612" spans="1:22" x14ac:dyDescent="0.3">
      <c r="A1612" t="s">
        <v>3561</v>
      </c>
      <c r="B1612" t="s">
        <v>3562</v>
      </c>
      <c r="C1612" t="s">
        <v>13</v>
      </c>
      <c r="D1612" t="s">
        <v>3563</v>
      </c>
      <c r="E1612" t="s">
        <v>15</v>
      </c>
      <c r="J1612" s="1">
        <v>44852</v>
      </c>
      <c r="K1612">
        <v>1232</v>
      </c>
      <c r="L1612" t="s">
        <v>3732</v>
      </c>
      <c r="M1612">
        <v>9</v>
      </c>
      <c r="N1612" t="str">
        <f>VLOOKUP(M1612,[1]LOJA!$A:$B,2,0)</f>
        <v>ÚNICA</v>
      </c>
      <c r="O1612">
        <v>176</v>
      </c>
      <c r="P1612" t="str">
        <f>VLOOKUP(O1612,[1]OPERADORES!$A:$B,2,0)</f>
        <v>EDUARDO DE JESUS BALDUINO</v>
      </c>
      <c r="Q1612">
        <v>23</v>
      </c>
      <c r="R1612">
        <v>25829</v>
      </c>
      <c r="S1612" t="s">
        <v>55</v>
      </c>
      <c r="T1612" s="1">
        <v>44762</v>
      </c>
      <c r="U1612">
        <v>75.099999999999994</v>
      </c>
      <c r="V1612">
        <v>75.099999999999994</v>
      </c>
    </row>
    <row r="1613" spans="1:22" x14ac:dyDescent="0.3">
      <c r="A1613" t="s">
        <v>3561</v>
      </c>
      <c r="B1613" t="s">
        <v>3562</v>
      </c>
      <c r="C1613" t="s">
        <v>13</v>
      </c>
      <c r="D1613" t="s">
        <v>3563</v>
      </c>
      <c r="E1613" t="s">
        <v>15</v>
      </c>
      <c r="J1613" s="1">
        <v>44853</v>
      </c>
      <c r="K1613">
        <v>1231</v>
      </c>
      <c r="L1613" t="s">
        <v>3733</v>
      </c>
      <c r="M1613">
        <v>9</v>
      </c>
      <c r="N1613" t="str">
        <f>VLOOKUP(M1613,[1]LOJA!$A:$B,2,0)</f>
        <v>ÚNICA</v>
      </c>
      <c r="O1613">
        <v>176</v>
      </c>
      <c r="P1613" t="str">
        <f>VLOOKUP(O1613,[1]OPERADORES!$A:$B,2,0)</f>
        <v>EDUARDO DE JESUS BALDUINO</v>
      </c>
      <c r="Q1613">
        <v>23</v>
      </c>
      <c r="R1613">
        <v>25886</v>
      </c>
      <c r="S1613" t="s">
        <v>55</v>
      </c>
      <c r="T1613" s="1">
        <v>44763</v>
      </c>
      <c r="U1613">
        <v>86.51</v>
      </c>
      <c r="V1613">
        <v>86.51</v>
      </c>
    </row>
    <row r="1614" spans="1:22" x14ac:dyDescent="0.3">
      <c r="A1614" t="s">
        <v>3561</v>
      </c>
      <c r="B1614" t="s">
        <v>3562</v>
      </c>
      <c r="C1614" t="s">
        <v>13</v>
      </c>
      <c r="D1614" t="s">
        <v>3563</v>
      </c>
      <c r="E1614" t="s">
        <v>15</v>
      </c>
      <c r="J1614" s="1">
        <v>44854</v>
      </c>
      <c r="K1614">
        <v>1230</v>
      </c>
      <c r="L1614" t="s">
        <v>3734</v>
      </c>
      <c r="M1614">
        <v>9</v>
      </c>
      <c r="N1614" t="str">
        <f>VLOOKUP(M1614,[1]LOJA!$A:$B,2,0)</f>
        <v>ÚNICA</v>
      </c>
      <c r="O1614">
        <v>176</v>
      </c>
      <c r="P1614" t="str">
        <f>VLOOKUP(O1614,[1]OPERADORES!$A:$B,2,0)</f>
        <v>EDUARDO DE JESUS BALDUINO</v>
      </c>
      <c r="Q1614">
        <v>23</v>
      </c>
      <c r="R1614">
        <v>28690</v>
      </c>
      <c r="S1614" t="s">
        <v>51</v>
      </c>
      <c r="T1614" s="1">
        <v>44824</v>
      </c>
      <c r="U1614">
        <v>87.4</v>
      </c>
      <c r="V1614">
        <v>87.4</v>
      </c>
    </row>
    <row r="1615" spans="1:22" x14ac:dyDescent="0.3">
      <c r="A1615" t="s">
        <v>3561</v>
      </c>
      <c r="B1615" t="s">
        <v>3562</v>
      </c>
      <c r="C1615" t="s">
        <v>13</v>
      </c>
      <c r="D1615" t="s">
        <v>3563</v>
      </c>
      <c r="E1615" t="s">
        <v>15</v>
      </c>
      <c r="J1615" s="1">
        <v>44855</v>
      </c>
      <c r="K1615">
        <v>1229</v>
      </c>
      <c r="L1615" t="s">
        <v>3735</v>
      </c>
      <c r="M1615">
        <v>9</v>
      </c>
      <c r="N1615" t="str">
        <f>VLOOKUP(M1615,[1]LOJA!$A:$B,2,0)</f>
        <v>ÚNICA</v>
      </c>
      <c r="O1615">
        <v>176</v>
      </c>
      <c r="P1615" t="str">
        <f>VLOOKUP(O1615,[1]OPERADORES!$A:$B,2,0)</f>
        <v>EDUARDO DE JESUS BALDUINO</v>
      </c>
      <c r="Q1615">
        <v>23</v>
      </c>
      <c r="R1615">
        <v>27478</v>
      </c>
      <c r="S1615" t="s">
        <v>53</v>
      </c>
      <c r="T1615" s="1">
        <v>44795</v>
      </c>
      <c r="U1615">
        <v>158.71</v>
      </c>
      <c r="V1615">
        <v>158.71</v>
      </c>
    </row>
    <row r="1616" spans="1:22" x14ac:dyDescent="0.3">
      <c r="A1616" t="s">
        <v>3561</v>
      </c>
      <c r="B1616" t="s">
        <v>3562</v>
      </c>
      <c r="C1616" t="s">
        <v>13</v>
      </c>
      <c r="D1616" t="s">
        <v>3563</v>
      </c>
      <c r="E1616" t="s">
        <v>15</v>
      </c>
      <c r="J1616" s="1">
        <v>44855</v>
      </c>
      <c r="K1616">
        <v>1229</v>
      </c>
      <c r="L1616" t="s">
        <v>3736</v>
      </c>
      <c r="M1616">
        <v>9</v>
      </c>
      <c r="N1616" t="str">
        <f>VLOOKUP(M1616,[1]LOJA!$A:$B,2,0)</f>
        <v>ÚNICA</v>
      </c>
      <c r="O1616">
        <v>176</v>
      </c>
      <c r="P1616" t="str">
        <f>VLOOKUP(O1616,[1]OPERADORES!$A:$B,2,0)</f>
        <v>EDUARDO DE JESUS BALDUINO</v>
      </c>
      <c r="Q1616">
        <v>23</v>
      </c>
      <c r="R1616">
        <v>28799</v>
      </c>
      <c r="S1616" t="s">
        <v>51</v>
      </c>
      <c r="T1616" s="1">
        <v>44825</v>
      </c>
      <c r="U1616">
        <v>91.98</v>
      </c>
      <c r="V1616">
        <v>91.98</v>
      </c>
    </row>
    <row r="1617" spans="1:22" x14ac:dyDescent="0.3">
      <c r="A1617" t="s">
        <v>3561</v>
      </c>
      <c r="B1617" t="s">
        <v>3562</v>
      </c>
      <c r="C1617" t="s">
        <v>13</v>
      </c>
      <c r="D1617" t="s">
        <v>3563</v>
      </c>
      <c r="E1617" t="s">
        <v>15</v>
      </c>
      <c r="J1617" s="1">
        <v>44857</v>
      </c>
      <c r="K1617">
        <v>1227</v>
      </c>
      <c r="L1617" t="s">
        <v>3737</v>
      </c>
      <c r="M1617">
        <v>9</v>
      </c>
      <c r="N1617" t="str">
        <f>VLOOKUP(M1617,[1]LOJA!$A:$B,2,0)</f>
        <v>ÚNICA</v>
      </c>
      <c r="O1617">
        <v>176</v>
      </c>
      <c r="P1617" t="str">
        <f>VLOOKUP(O1617,[1]OPERADORES!$A:$B,2,0)</f>
        <v>EDUARDO DE JESUS BALDUINO</v>
      </c>
      <c r="Q1617">
        <v>23</v>
      </c>
      <c r="R1617">
        <v>27585</v>
      </c>
      <c r="S1617" t="s">
        <v>53</v>
      </c>
      <c r="T1617" s="1">
        <v>44797</v>
      </c>
      <c r="U1617">
        <v>133.99</v>
      </c>
      <c r="V1617">
        <v>133.99</v>
      </c>
    </row>
    <row r="1618" spans="1:22" x14ac:dyDescent="0.3">
      <c r="A1618" t="s">
        <v>3561</v>
      </c>
      <c r="B1618" t="s">
        <v>3562</v>
      </c>
      <c r="C1618" t="s">
        <v>13</v>
      </c>
      <c r="D1618" t="s">
        <v>3563</v>
      </c>
      <c r="E1618" t="s">
        <v>15</v>
      </c>
      <c r="J1618" s="1">
        <v>44858</v>
      </c>
      <c r="K1618">
        <v>1226</v>
      </c>
      <c r="L1618" t="s">
        <v>3738</v>
      </c>
      <c r="M1618">
        <v>9</v>
      </c>
      <c r="N1618" t="str">
        <f>VLOOKUP(M1618,[1]LOJA!$A:$B,2,0)</f>
        <v>ÚNICA</v>
      </c>
      <c r="O1618">
        <v>176</v>
      </c>
      <c r="P1618" t="str">
        <f>VLOOKUP(O1618,[1]OPERADORES!$A:$B,2,0)</f>
        <v>EDUARDO DE JESUS BALDUINO</v>
      </c>
      <c r="Q1618">
        <v>23</v>
      </c>
      <c r="R1618">
        <v>26074</v>
      </c>
      <c r="S1618" t="s">
        <v>55</v>
      </c>
      <c r="T1618" s="1">
        <v>44768</v>
      </c>
      <c r="U1618">
        <v>84.36</v>
      </c>
      <c r="V1618">
        <v>84.36</v>
      </c>
    </row>
    <row r="1619" spans="1:22" x14ac:dyDescent="0.3">
      <c r="A1619" t="s">
        <v>3561</v>
      </c>
      <c r="B1619" t="s">
        <v>3562</v>
      </c>
      <c r="C1619" t="s">
        <v>13</v>
      </c>
      <c r="D1619" t="s">
        <v>3563</v>
      </c>
      <c r="E1619" t="s">
        <v>15</v>
      </c>
      <c r="J1619" s="1">
        <v>44861</v>
      </c>
      <c r="K1619">
        <v>1223</v>
      </c>
      <c r="L1619" t="s">
        <v>3739</v>
      </c>
      <c r="M1619">
        <v>9</v>
      </c>
      <c r="N1619" t="str">
        <f>VLOOKUP(M1619,[1]LOJA!$A:$B,2,0)</f>
        <v>ÚNICA</v>
      </c>
      <c r="O1619">
        <v>176</v>
      </c>
      <c r="P1619" t="str">
        <f>VLOOKUP(O1619,[1]OPERADORES!$A:$B,2,0)</f>
        <v>EDUARDO DE JESUS BALDUINO</v>
      </c>
      <c r="Q1619">
        <v>23</v>
      </c>
      <c r="R1619">
        <v>26231</v>
      </c>
      <c r="S1619" t="s">
        <v>55</v>
      </c>
      <c r="T1619" s="1">
        <v>44771</v>
      </c>
      <c r="U1619">
        <v>62.7</v>
      </c>
      <c r="V1619">
        <v>62.7</v>
      </c>
    </row>
    <row r="1620" spans="1:22" x14ac:dyDescent="0.3">
      <c r="A1620" t="s">
        <v>3561</v>
      </c>
      <c r="B1620" t="s">
        <v>3562</v>
      </c>
      <c r="C1620" t="s">
        <v>13</v>
      </c>
      <c r="D1620" t="s">
        <v>3563</v>
      </c>
      <c r="E1620" t="s">
        <v>15</v>
      </c>
      <c r="J1620" s="1">
        <v>44862</v>
      </c>
      <c r="K1620">
        <v>1222</v>
      </c>
      <c r="L1620" t="s">
        <v>3740</v>
      </c>
      <c r="M1620">
        <v>9</v>
      </c>
      <c r="N1620" t="str">
        <f>VLOOKUP(M1620,[1]LOJA!$A:$B,2,0)</f>
        <v>ÚNICA</v>
      </c>
      <c r="O1620">
        <v>176</v>
      </c>
      <c r="P1620" t="str">
        <f>VLOOKUP(O1620,[1]OPERADORES!$A:$B,2,0)</f>
        <v>EDUARDO DE JESUS BALDUINO</v>
      </c>
      <c r="Q1620">
        <v>23</v>
      </c>
      <c r="R1620">
        <v>27734</v>
      </c>
      <c r="S1620" t="s">
        <v>53</v>
      </c>
      <c r="T1620" s="1">
        <v>44802</v>
      </c>
      <c r="U1620">
        <v>93.44</v>
      </c>
      <c r="V1620">
        <v>93.44</v>
      </c>
    </row>
    <row r="1621" spans="1:22" x14ac:dyDescent="0.3">
      <c r="A1621" t="s">
        <v>3561</v>
      </c>
      <c r="B1621" t="s">
        <v>3562</v>
      </c>
      <c r="C1621" t="s">
        <v>13</v>
      </c>
      <c r="D1621" t="s">
        <v>3563</v>
      </c>
      <c r="E1621" t="s">
        <v>15</v>
      </c>
      <c r="J1621" s="1">
        <v>44863</v>
      </c>
      <c r="K1621">
        <v>1221</v>
      </c>
      <c r="L1621" t="s">
        <v>3741</v>
      </c>
      <c r="M1621">
        <v>9</v>
      </c>
      <c r="N1621" t="str">
        <f>VLOOKUP(M1621,[1]LOJA!$A:$B,2,0)</f>
        <v>ÚNICA</v>
      </c>
      <c r="O1621">
        <v>176</v>
      </c>
      <c r="P1621" t="str">
        <f>VLOOKUP(O1621,[1]OPERADORES!$A:$B,2,0)</f>
        <v>EDUARDO DE JESUS BALDUINO</v>
      </c>
      <c r="Q1621">
        <v>23</v>
      </c>
      <c r="R1621">
        <v>29029</v>
      </c>
      <c r="S1621" t="s">
        <v>51</v>
      </c>
      <c r="T1621" s="1">
        <v>44833</v>
      </c>
      <c r="U1621">
        <v>96.09</v>
      </c>
      <c r="V1621">
        <v>96.09</v>
      </c>
    </row>
    <row r="1622" spans="1:22" x14ac:dyDescent="0.3">
      <c r="A1622" t="s">
        <v>3561</v>
      </c>
      <c r="B1622" t="s">
        <v>3562</v>
      </c>
      <c r="C1622" t="s">
        <v>13</v>
      </c>
      <c r="D1622" t="s">
        <v>3563</v>
      </c>
      <c r="E1622" t="s">
        <v>15</v>
      </c>
      <c r="J1622" s="1">
        <v>44863</v>
      </c>
      <c r="K1622">
        <v>1221</v>
      </c>
      <c r="L1622" t="s">
        <v>3742</v>
      </c>
      <c r="M1622">
        <v>9</v>
      </c>
      <c r="N1622" t="str">
        <f>VLOOKUP(M1622,[1]LOJA!$A:$B,2,0)</f>
        <v>ÚNICA</v>
      </c>
      <c r="O1622">
        <v>176</v>
      </c>
      <c r="P1622" t="str">
        <f>VLOOKUP(O1622,[1]OPERADORES!$A:$B,2,0)</f>
        <v>EDUARDO DE JESUS BALDUINO</v>
      </c>
      <c r="Q1622">
        <v>23</v>
      </c>
      <c r="R1622">
        <v>29052</v>
      </c>
      <c r="S1622" t="s">
        <v>51</v>
      </c>
      <c r="T1622" s="1">
        <v>44833</v>
      </c>
      <c r="U1622">
        <v>304.74</v>
      </c>
      <c r="V1622">
        <v>304.74</v>
      </c>
    </row>
    <row r="1623" spans="1:22" x14ac:dyDescent="0.3">
      <c r="A1623" t="s">
        <v>3561</v>
      </c>
      <c r="B1623" t="s">
        <v>3562</v>
      </c>
      <c r="C1623" t="s">
        <v>13</v>
      </c>
      <c r="D1623" t="s">
        <v>3563</v>
      </c>
      <c r="E1623" t="s">
        <v>15</v>
      </c>
      <c r="J1623" s="1">
        <v>44864</v>
      </c>
      <c r="K1623">
        <v>1220</v>
      </c>
      <c r="L1623" t="s">
        <v>3743</v>
      </c>
      <c r="M1623">
        <v>9</v>
      </c>
      <c r="N1623" t="str">
        <f>VLOOKUP(M1623,[1]LOJA!$A:$B,2,0)</f>
        <v>ÚNICA</v>
      </c>
      <c r="O1623">
        <v>176</v>
      </c>
      <c r="P1623" t="str">
        <f>VLOOKUP(O1623,[1]OPERADORES!$A:$B,2,0)</f>
        <v>EDUARDO DE JESUS BALDUINO</v>
      </c>
      <c r="Q1623">
        <v>23</v>
      </c>
      <c r="R1623">
        <v>28047</v>
      </c>
      <c r="S1623" t="s">
        <v>53</v>
      </c>
      <c r="T1623" s="1">
        <v>44804</v>
      </c>
      <c r="U1623">
        <v>171.65</v>
      </c>
      <c r="V1623">
        <v>171.65</v>
      </c>
    </row>
    <row r="1624" spans="1:22" x14ac:dyDescent="0.3">
      <c r="A1624" t="s">
        <v>3561</v>
      </c>
      <c r="B1624" t="s">
        <v>3562</v>
      </c>
      <c r="C1624" t="s">
        <v>13</v>
      </c>
      <c r="D1624" t="s">
        <v>3563</v>
      </c>
      <c r="E1624" t="s">
        <v>15</v>
      </c>
      <c r="J1624" s="1">
        <v>44866</v>
      </c>
      <c r="K1624">
        <v>1218</v>
      </c>
      <c r="L1624" t="s">
        <v>3744</v>
      </c>
      <c r="M1624">
        <v>9</v>
      </c>
      <c r="N1624" t="str">
        <f>VLOOKUP(M1624,[1]LOJA!$A:$B,2,0)</f>
        <v>ÚNICA</v>
      </c>
      <c r="O1624">
        <v>176</v>
      </c>
      <c r="P1624" t="str">
        <f>VLOOKUP(O1624,[1]OPERADORES!$A:$B,2,0)</f>
        <v>EDUARDO DE JESUS BALDUINO</v>
      </c>
      <c r="Q1624">
        <v>23</v>
      </c>
      <c r="R1624">
        <v>26538</v>
      </c>
      <c r="S1624" t="s">
        <v>55</v>
      </c>
      <c r="T1624" s="1">
        <v>44776</v>
      </c>
      <c r="U1624">
        <v>138.66</v>
      </c>
      <c r="V1624">
        <v>138.66</v>
      </c>
    </row>
    <row r="1625" spans="1:22" x14ac:dyDescent="0.3">
      <c r="A1625" t="s">
        <v>3561</v>
      </c>
      <c r="B1625" t="s">
        <v>3562</v>
      </c>
      <c r="C1625" t="s">
        <v>13</v>
      </c>
      <c r="D1625" t="s">
        <v>3563</v>
      </c>
      <c r="E1625" t="s">
        <v>15</v>
      </c>
      <c r="J1625" s="1">
        <v>44866</v>
      </c>
      <c r="K1625">
        <v>1218</v>
      </c>
      <c r="L1625" t="s">
        <v>3745</v>
      </c>
      <c r="M1625">
        <v>9</v>
      </c>
      <c r="N1625" t="str">
        <f>VLOOKUP(M1625,[1]LOJA!$A:$B,2,0)</f>
        <v>ÚNICA</v>
      </c>
      <c r="O1625">
        <v>176</v>
      </c>
      <c r="P1625" t="str">
        <f>VLOOKUP(O1625,[1]OPERADORES!$A:$B,2,0)</f>
        <v>EDUARDO DE JESUS BALDUINO</v>
      </c>
      <c r="Q1625">
        <v>23</v>
      </c>
      <c r="R1625">
        <v>26629</v>
      </c>
      <c r="S1625" t="s">
        <v>55</v>
      </c>
      <c r="T1625" s="1">
        <v>44776</v>
      </c>
      <c r="U1625">
        <v>42.59</v>
      </c>
      <c r="V1625">
        <v>42.59</v>
      </c>
    </row>
    <row r="1626" spans="1:22" x14ac:dyDescent="0.3">
      <c r="A1626" t="s">
        <v>3561</v>
      </c>
      <c r="B1626" t="s">
        <v>3562</v>
      </c>
      <c r="C1626" t="s">
        <v>13</v>
      </c>
      <c r="D1626" t="s">
        <v>3563</v>
      </c>
      <c r="E1626" t="s">
        <v>15</v>
      </c>
      <c r="J1626" s="1">
        <v>44868</v>
      </c>
      <c r="K1626">
        <v>1216</v>
      </c>
      <c r="L1626" t="s">
        <v>3746</v>
      </c>
      <c r="M1626">
        <v>9</v>
      </c>
      <c r="N1626" t="str">
        <f>VLOOKUP(M1626,[1]LOJA!$A:$B,2,0)</f>
        <v>ÚNICA</v>
      </c>
      <c r="O1626">
        <v>176</v>
      </c>
      <c r="P1626" t="str">
        <f>VLOOKUP(O1626,[1]OPERADORES!$A:$B,2,0)</f>
        <v>EDUARDO DE JESUS BALDUINO</v>
      </c>
      <c r="Q1626">
        <v>23</v>
      </c>
      <c r="R1626">
        <v>26744</v>
      </c>
      <c r="S1626" t="s">
        <v>55</v>
      </c>
      <c r="T1626" s="1">
        <v>44778</v>
      </c>
      <c r="U1626">
        <v>55.95</v>
      </c>
      <c r="V1626">
        <v>55.95</v>
      </c>
    </row>
    <row r="1627" spans="1:22" x14ac:dyDescent="0.3">
      <c r="A1627" t="s">
        <v>3561</v>
      </c>
      <c r="B1627" t="s">
        <v>3562</v>
      </c>
      <c r="C1627" t="s">
        <v>13</v>
      </c>
      <c r="D1627" t="s">
        <v>3563</v>
      </c>
      <c r="E1627" t="s">
        <v>15</v>
      </c>
      <c r="J1627" s="1">
        <v>44870</v>
      </c>
      <c r="K1627">
        <v>1214</v>
      </c>
      <c r="L1627" t="s">
        <v>3747</v>
      </c>
      <c r="M1627">
        <v>9</v>
      </c>
      <c r="N1627" t="str">
        <f>VLOOKUP(M1627,[1]LOJA!$A:$B,2,0)</f>
        <v>ÚNICA</v>
      </c>
      <c r="O1627">
        <v>176</v>
      </c>
      <c r="P1627" t="str">
        <f>VLOOKUP(O1627,[1]OPERADORES!$A:$B,2,0)</f>
        <v>EDUARDO DE JESUS BALDUINO</v>
      </c>
      <c r="Q1627">
        <v>23</v>
      </c>
      <c r="R1627">
        <v>28260</v>
      </c>
      <c r="S1627" t="s">
        <v>53</v>
      </c>
      <c r="T1627" s="1">
        <v>44810</v>
      </c>
      <c r="U1627">
        <v>169.89</v>
      </c>
      <c r="V1627">
        <v>169.89</v>
      </c>
    </row>
    <row r="1628" spans="1:22" x14ac:dyDescent="0.3">
      <c r="A1628" t="s">
        <v>3561</v>
      </c>
      <c r="B1628" t="s">
        <v>3562</v>
      </c>
      <c r="C1628" t="s">
        <v>13</v>
      </c>
      <c r="D1628" t="s">
        <v>3563</v>
      </c>
      <c r="E1628" t="s">
        <v>15</v>
      </c>
      <c r="J1628" s="1">
        <v>44870</v>
      </c>
      <c r="K1628">
        <v>1214</v>
      </c>
      <c r="L1628" t="s">
        <v>3748</v>
      </c>
      <c r="M1628">
        <v>9</v>
      </c>
      <c r="N1628" t="str">
        <f>VLOOKUP(M1628,[1]LOJA!$A:$B,2,0)</f>
        <v>ÚNICA</v>
      </c>
      <c r="O1628">
        <v>176</v>
      </c>
      <c r="P1628" t="str">
        <f>VLOOKUP(O1628,[1]OPERADORES!$A:$B,2,0)</f>
        <v>EDUARDO DE JESUS BALDUINO</v>
      </c>
      <c r="Q1628">
        <v>23</v>
      </c>
      <c r="R1628">
        <v>29342</v>
      </c>
      <c r="S1628" t="s">
        <v>51</v>
      </c>
      <c r="T1628" s="1">
        <v>44840</v>
      </c>
      <c r="U1628">
        <v>86.67</v>
      </c>
      <c r="V1628">
        <v>86.67</v>
      </c>
    </row>
    <row r="1629" spans="1:22" x14ac:dyDescent="0.3">
      <c r="A1629" t="s">
        <v>3561</v>
      </c>
      <c r="B1629" t="s">
        <v>3562</v>
      </c>
      <c r="C1629" t="s">
        <v>13</v>
      </c>
      <c r="D1629" t="s">
        <v>3563</v>
      </c>
      <c r="E1629" t="s">
        <v>15</v>
      </c>
      <c r="J1629" s="1">
        <v>44871</v>
      </c>
      <c r="K1629">
        <v>1213</v>
      </c>
      <c r="L1629" t="s">
        <v>3749</v>
      </c>
      <c r="M1629">
        <v>9</v>
      </c>
      <c r="N1629" t="str">
        <f>VLOOKUP(M1629,[1]LOJA!$A:$B,2,0)</f>
        <v>ÚNICA</v>
      </c>
      <c r="O1629">
        <v>176</v>
      </c>
      <c r="P1629" t="str">
        <f>VLOOKUP(O1629,[1]OPERADORES!$A:$B,2,0)</f>
        <v>EDUARDO DE JESUS BALDUINO</v>
      </c>
      <c r="Q1629">
        <v>23</v>
      </c>
      <c r="R1629">
        <v>26850</v>
      </c>
      <c r="S1629" t="s">
        <v>55</v>
      </c>
      <c r="T1629" s="1">
        <v>44781</v>
      </c>
      <c r="U1629">
        <v>49.95</v>
      </c>
      <c r="V1629">
        <v>49.95</v>
      </c>
    </row>
    <row r="1630" spans="1:22" x14ac:dyDescent="0.3">
      <c r="A1630" t="s">
        <v>3561</v>
      </c>
      <c r="B1630" t="s">
        <v>3562</v>
      </c>
      <c r="C1630" t="s">
        <v>13</v>
      </c>
      <c r="D1630" t="s">
        <v>3563</v>
      </c>
      <c r="E1630" t="s">
        <v>15</v>
      </c>
      <c r="J1630" s="1">
        <v>44871</v>
      </c>
      <c r="K1630">
        <v>1213</v>
      </c>
      <c r="L1630" t="s">
        <v>3750</v>
      </c>
      <c r="M1630">
        <v>9</v>
      </c>
      <c r="N1630" t="str">
        <f>VLOOKUP(M1630,[1]LOJA!$A:$B,2,0)</f>
        <v>ÚNICA</v>
      </c>
      <c r="O1630">
        <v>176</v>
      </c>
      <c r="P1630" t="str">
        <f>VLOOKUP(O1630,[1]OPERADORES!$A:$B,2,0)</f>
        <v>EDUARDO DE JESUS BALDUINO</v>
      </c>
      <c r="Q1630">
        <v>23</v>
      </c>
      <c r="R1630">
        <v>29441</v>
      </c>
      <c r="S1630" t="s">
        <v>51</v>
      </c>
      <c r="T1630" s="1">
        <v>44841</v>
      </c>
      <c r="U1630">
        <v>67.09</v>
      </c>
      <c r="V1630">
        <v>67.09</v>
      </c>
    </row>
    <row r="1631" spans="1:22" x14ac:dyDescent="0.3">
      <c r="A1631" t="s">
        <v>3561</v>
      </c>
      <c r="B1631" t="s">
        <v>3562</v>
      </c>
      <c r="C1631" t="s">
        <v>13</v>
      </c>
      <c r="D1631" t="s">
        <v>3563</v>
      </c>
      <c r="E1631" t="s">
        <v>15</v>
      </c>
      <c r="J1631" s="1">
        <v>44872</v>
      </c>
      <c r="K1631">
        <v>1212</v>
      </c>
      <c r="L1631" t="s">
        <v>3751</v>
      </c>
      <c r="M1631">
        <v>9</v>
      </c>
      <c r="N1631" t="str">
        <f>VLOOKUP(M1631,[1]LOJA!$A:$B,2,0)</f>
        <v>ÚNICA</v>
      </c>
      <c r="O1631">
        <v>176</v>
      </c>
      <c r="P1631" t="str">
        <f>VLOOKUP(O1631,[1]OPERADORES!$A:$B,2,0)</f>
        <v>EDUARDO DE JESUS BALDUINO</v>
      </c>
      <c r="Q1631">
        <v>23</v>
      </c>
      <c r="R1631">
        <v>28336</v>
      </c>
      <c r="S1631" t="s">
        <v>53</v>
      </c>
      <c r="T1631" s="1">
        <v>44812</v>
      </c>
      <c r="U1631">
        <v>351.97</v>
      </c>
      <c r="V1631">
        <v>351.97</v>
      </c>
    </row>
    <row r="1632" spans="1:22" x14ac:dyDescent="0.3">
      <c r="A1632" t="s">
        <v>3561</v>
      </c>
      <c r="B1632" t="s">
        <v>3562</v>
      </c>
      <c r="C1632" t="s">
        <v>13</v>
      </c>
      <c r="D1632" t="s">
        <v>3563</v>
      </c>
      <c r="E1632" t="s">
        <v>15</v>
      </c>
      <c r="J1632" s="1">
        <v>44872</v>
      </c>
      <c r="K1632">
        <v>1212</v>
      </c>
      <c r="L1632" t="s">
        <v>3752</v>
      </c>
      <c r="M1632">
        <v>9</v>
      </c>
      <c r="N1632" t="str">
        <f>VLOOKUP(M1632,[1]LOJA!$A:$B,2,0)</f>
        <v>ÚNICA</v>
      </c>
      <c r="O1632">
        <v>176</v>
      </c>
      <c r="P1632" t="str">
        <f>VLOOKUP(O1632,[1]OPERADORES!$A:$B,2,0)</f>
        <v>EDUARDO DE JESUS BALDUINO</v>
      </c>
      <c r="Q1632">
        <v>23</v>
      </c>
      <c r="R1632">
        <v>28385</v>
      </c>
      <c r="S1632" t="s">
        <v>53</v>
      </c>
      <c r="T1632" s="1">
        <v>44812</v>
      </c>
      <c r="U1632">
        <v>110.56</v>
      </c>
      <c r="V1632">
        <v>110.56</v>
      </c>
    </row>
    <row r="1633" spans="1:22" x14ac:dyDescent="0.3">
      <c r="A1633" t="s">
        <v>3561</v>
      </c>
      <c r="B1633" t="s">
        <v>3562</v>
      </c>
      <c r="C1633" t="s">
        <v>13</v>
      </c>
      <c r="D1633" t="s">
        <v>3563</v>
      </c>
      <c r="E1633" t="s">
        <v>15</v>
      </c>
      <c r="J1633" s="1">
        <v>44874</v>
      </c>
      <c r="K1633">
        <v>1210</v>
      </c>
      <c r="L1633" t="s">
        <v>3753</v>
      </c>
      <c r="M1633">
        <v>9</v>
      </c>
      <c r="N1633" t="str">
        <f>VLOOKUP(M1633,[1]LOJA!$A:$B,2,0)</f>
        <v>ÚNICA</v>
      </c>
      <c r="O1633">
        <v>176</v>
      </c>
      <c r="P1633" t="str">
        <f>VLOOKUP(O1633,[1]OPERADORES!$A:$B,2,0)</f>
        <v>EDUARDO DE JESUS BALDUINO</v>
      </c>
      <c r="Q1633">
        <v>23</v>
      </c>
      <c r="R1633">
        <v>27031</v>
      </c>
      <c r="S1633" t="s">
        <v>55</v>
      </c>
      <c r="T1633" s="1">
        <v>44784</v>
      </c>
      <c r="U1633">
        <v>64.88</v>
      </c>
      <c r="V1633">
        <v>64.88</v>
      </c>
    </row>
    <row r="1634" spans="1:22" x14ac:dyDescent="0.3">
      <c r="A1634" t="s">
        <v>3561</v>
      </c>
      <c r="B1634" t="s">
        <v>3562</v>
      </c>
      <c r="C1634" t="s">
        <v>13</v>
      </c>
      <c r="D1634" t="s">
        <v>3563</v>
      </c>
      <c r="E1634" t="s">
        <v>15</v>
      </c>
      <c r="J1634" s="1">
        <v>44874</v>
      </c>
      <c r="K1634">
        <v>1210</v>
      </c>
      <c r="L1634" t="s">
        <v>3754</v>
      </c>
      <c r="M1634">
        <v>9</v>
      </c>
      <c r="N1634" t="str">
        <f>VLOOKUP(M1634,[1]LOJA!$A:$B,2,0)</f>
        <v>ÚNICA</v>
      </c>
      <c r="O1634">
        <v>176</v>
      </c>
      <c r="P1634" t="str">
        <f>VLOOKUP(O1634,[1]OPERADORES!$A:$B,2,0)</f>
        <v>EDUARDO DE JESUS BALDUINO</v>
      </c>
      <c r="Q1634">
        <v>23</v>
      </c>
      <c r="R1634">
        <v>29490</v>
      </c>
      <c r="S1634" t="s">
        <v>51</v>
      </c>
      <c r="T1634" s="1">
        <v>44844</v>
      </c>
      <c r="U1634">
        <v>114.88</v>
      </c>
      <c r="V1634">
        <v>114.88</v>
      </c>
    </row>
    <row r="1635" spans="1:22" x14ac:dyDescent="0.3">
      <c r="A1635" t="s">
        <v>3561</v>
      </c>
      <c r="B1635" t="s">
        <v>3562</v>
      </c>
      <c r="C1635" t="s">
        <v>13</v>
      </c>
      <c r="D1635" t="s">
        <v>3563</v>
      </c>
      <c r="E1635" t="s">
        <v>15</v>
      </c>
      <c r="J1635" s="1">
        <v>44875</v>
      </c>
      <c r="K1635">
        <v>1209</v>
      </c>
      <c r="L1635" t="s">
        <v>3755</v>
      </c>
      <c r="M1635">
        <v>9</v>
      </c>
      <c r="N1635" t="str">
        <f>VLOOKUP(M1635,[1]LOJA!$A:$B,2,0)</f>
        <v>ÚNICA</v>
      </c>
      <c r="O1635">
        <v>176</v>
      </c>
      <c r="P1635" t="str">
        <f>VLOOKUP(O1635,[1]OPERADORES!$A:$B,2,0)</f>
        <v>EDUARDO DE JESUS BALDUINO</v>
      </c>
      <c r="Q1635">
        <v>23</v>
      </c>
      <c r="R1635">
        <v>27148</v>
      </c>
      <c r="S1635" t="s">
        <v>55</v>
      </c>
      <c r="T1635" s="1">
        <v>44785</v>
      </c>
      <c r="U1635">
        <v>71.069999999999993</v>
      </c>
      <c r="V1635">
        <v>71.069999999999993</v>
      </c>
    </row>
    <row r="1636" spans="1:22" x14ac:dyDescent="0.3">
      <c r="A1636" t="s">
        <v>3561</v>
      </c>
      <c r="B1636" t="s">
        <v>3562</v>
      </c>
      <c r="C1636" t="s">
        <v>13</v>
      </c>
      <c r="D1636" t="s">
        <v>3563</v>
      </c>
      <c r="E1636" t="s">
        <v>15</v>
      </c>
      <c r="J1636" s="1">
        <v>44876</v>
      </c>
      <c r="K1636">
        <v>1208</v>
      </c>
      <c r="L1636" t="s">
        <v>3756</v>
      </c>
      <c r="M1636">
        <v>9</v>
      </c>
      <c r="N1636" t="str">
        <f>VLOOKUP(M1636,[1]LOJA!$A:$B,2,0)</f>
        <v>ÚNICA</v>
      </c>
      <c r="O1636">
        <v>176</v>
      </c>
      <c r="P1636" t="str">
        <f>VLOOKUP(O1636,[1]OPERADORES!$A:$B,2,0)</f>
        <v>EDUARDO DE JESUS BALDUINO</v>
      </c>
      <c r="Q1636">
        <v>23</v>
      </c>
      <c r="R1636">
        <v>28443</v>
      </c>
      <c r="S1636" t="s">
        <v>53</v>
      </c>
      <c r="T1636" s="1">
        <v>44816</v>
      </c>
      <c r="U1636">
        <v>159.05000000000001</v>
      </c>
      <c r="V1636">
        <v>159.05000000000001</v>
      </c>
    </row>
    <row r="1637" spans="1:22" x14ac:dyDescent="0.3">
      <c r="A1637" t="s">
        <v>3561</v>
      </c>
      <c r="B1637" t="s">
        <v>3562</v>
      </c>
      <c r="C1637" t="s">
        <v>13</v>
      </c>
      <c r="D1637" t="s">
        <v>3563</v>
      </c>
      <c r="E1637" t="s">
        <v>15</v>
      </c>
      <c r="J1637" s="1">
        <v>44877</v>
      </c>
      <c r="K1637">
        <v>1207</v>
      </c>
      <c r="L1637" t="s">
        <v>3757</v>
      </c>
      <c r="M1637">
        <v>9</v>
      </c>
      <c r="N1637" t="str">
        <f>VLOOKUP(M1637,[1]LOJA!$A:$B,2,0)</f>
        <v>ÚNICA</v>
      </c>
      <c r="O1637">
        <v>176</v>
      </c>
      <c r="P1637" t="str">
        <f>VLOOKUP(O1637,[1]OPERADORES!$A:$B,2,0)</f>
        <v>EDUARDO DE JESUS BALDUINO</v>
      </c>
      <c r="Q1637">
        <v>23</v>
      </c>
      <c r="R1637">
        <v>28476</v>
      </c>
      <c r="S1637" t="s">
        <v>53</v>
      </c>
      <c r="T1637" s="1">
        <v>44817</v>
      </c>
      <c r="U1637">
        <v>122.74</v>
      </c>
      <c r="V1637">
        <v>122.74</v>
      </c>
    </row>
    <row r="1638" spans="1:22" x14ac:dyDescent="0.3">
      <c r="A1638" t="s">
        <v>3561</v>
      </c>
      <c r="B1638" t="s">
        <v>3562</v>
      </c>
      <c r="C1638" t="s">
        <v>13</v>
      </c>
      <c r="D1638" t="s">
        <v>3563</v>
      </c>
      <c r="E1638" t="s">
        <v>15</v>
      </c>
      <c r="J1638" s="1">
        <v>44877</v>
      </c>
      <c r="K1638">
        <v>1207</v>
      </c>
      <c r="L1638" t="s">
        <v>3758</v>
      </c>
      <c r="M1638">
        <v>9</v>
      </c>
      <c r="N1638" t="str">
        <f>VLOOKUP(M1638,[1]LOJA!$A:$B,2,0)</f>
        <v>ÚNICA</v>
      </c>
      <c r="O1638">
        <v>176</v>
      </c>
      <c r="P1638" t="str">
        <f>VLOOKUP(O1638,[1]OPERADORES!$A:$B,2,0)</f>
        <v>EDUARDO DE JESUS BALDUINO</v>
      </c>
      <c r="Q1638">
        <v>23</v>
      </c>
      <c r="R1638">
        <v>29615</v>
      </c>
      <c r="S1638" t="s">
        <v>51</v>
      </c>
      <c r="T1638" s="1">
        <v>44847</v>
      </c>
      <c r="U1638">
        <v>132.84</v>
      </c>
      <c r="V1638">
        <v>132.84</v>
      </c>
    </row>
    <row r="1639" spans="1:22" x14ac:dyDescent="0.3">
      <c r="A1639" t="s">
        <v>3561</v>
      </c>
      <c r="B1639" t="s">
        <v>3562</v>
      </c>
      <c r="C1639" t="s">
        <v>13</v>
      </c>
      <c r="D1639" t="s">
        <v>3563</v>
      </c>
      <c r="E1639" t="s">
        <v>15</v>
      </c>
      <c r="J1639" s="1">
        <v>44877</v>
      </c>
      <c r="K1639">
        <v>1207</v>
      </c>
      <c r="L1639" t="s">
        <v>3759</v>
      </c>
      <c r="M1639">
        <v>9</v>
      </c>
      <c r="N1639" t="str">
        <f>VLOOKUP(M1639,[1]LOJA!$A:$B,2,0)</f>
        <v>ÚNICA</v>
      </c>
      <c r="O1639">
        <v>176</v>
      </c>
      <c r="P1639" t="str">
        <f>VLOOKUP(O1639,[1]OPERADORES!$A:$B,2,0)</f>
        <v>EDUARDO DE JESUS BALDUINO</v>
      </c>
      <c r="Q1639">
        <v>23</v>
      </c>
      <c r="R1639">
        <v>29649</v>
      </c>
      <c r="S1639" t="s">
        <v>51</v>
      </c>
      <c r="T1639" s="1">
        <v>44847</v>
      </c>
      <c r="U1639">
        <v>82.5</v>
      </c>
      <c r="V1639">
        <v>82.5</v>
      </c>
    </row>
    <row r="1640" spans="1:22" x14ac:dyDescent="0.3">
      <c r="A1640" t="s">
        <v>3561</v>
      </c>
      <c r="B1640" t="s">
        <v>3562</v>
      </c>
      <c r="C1640" t="s">
        <v>13</v>
      </c>
      <c r="D1640" t="s">
        <v>3563</v>
      </c>
      <c r="E1640" t="s">
        <v>15</v>
      </c>
      <c r="J1640" s="1">
        <v>44878</v>
      </c>
      <c r="K1640">
        <v>1206</v>
      </c>
      <c r="L1640" t="s">
        <v>3760</v>
      </c>
      <c r="M1640">
        <v>9</v>
      </c>
      <c r="N1640" t="str">
        <f>VLOOKUP(M1640,[1]LOJA!$A:$B,2,0)</f>
        <v>ÚNICA</v>
      </c>
      <c r="O1640">
        <v>176</v>
      </c>
      <c r="P1640" t="str">
        <f>VLOOKUP(O1640,[1]OPERADORES!$A:$B,2,0)</f>
        <v>EDUARDO DE JESUS BALDUINO</v>
      </c>
      <c r="Q1640">
        <v>23</v>
      </c>
      <c r="R1640">
        <v>27171</v>
      </c>
      <c r="S1640" t="s">
        <v>55</v>
      </c>
      <c r="T1640" s="1">
        <v>44788</v>
      </c>
      <c r="U1640">
        <v>110.06</v>
      </c>
      <c r="V1640">
        <v>110.06</v>
      </c>
    </row>
    <row r="1641" spans="1:22" x14ac:dyDescent="0.3">
      <c r="A1641" t="s">
        <v>3561</v>
      </c>
      <c r="B1641" t="s">
        <v>3562</v>
      </c>
      <c r="C1641" t="s">
        <v>13</v>
      </c>
      <c r="D1641" t="s">
        <v>3563</v>
      </c>
      <c r="E1641" t="s">
        <v>15</v>
      </c>
      <c r="J1641" s="1">
        <v>44879</v>
      </c>
      <c r="K1641">
        <v>1205</v>
      </c>
      <c r="L1641" t="s">
        <v>3761</v>
      </c>
      <c r="M1641">
        <v>9</v>
      </c>
      <c r="N1641" t="str">
        <f>VLOOKUP(M1641,[1]LOJA!$A:$B,2,0)</f>
        <v>ÚNICA</v>
      </c>
      <c r="O1641">
        <v>176</v>
      </c>
      <c r="P1641" t="str">
        <f>VLOOKUP(O1641,[1]OPERADORES!$A:$B,2,0)</f>
        <v>EDUARDO DE JESUS BALDUINO</v>
      </c>
      <c r="Q1641">
        <v>23</v>
      </c>
      <c r="R1641">
        <v>28534</v>
      </c>
      <c r="S1641" t="s">
        <v>53</v>
      </c>
      <c r="T1641" s="1">
        <v>44819</v>
      </c>
      <c r="U1641">
        <v>187.75</v>
      </c>
      <c r="V1641">
        <v>187.75</v>
      </c>
    </row>
    <row r="1642" spans="1:22" x14ac:dyDescent="0.3">
      <c r="A1642" t="s">
        <v>3561</v>
      </c>
      <c r="B1642" t="s">
        <v>3562</v>
      </c>
      <c r="C1642" t="s">
        <v>13</v>
      </c>
      <c r="D1642" t="s">
        <v>3563</v>
      </c>
      <c r="E1642" t="s">
        <v>15</v>
      </c>
      <c r="J1642" s="1">
        <v>44880</v>
      </c>
      <c r="K1642">
        <v>1204</v>
      </c>
      <c r="L1642" t="s">
        <v>3762</v>
      </c>
      <c r="M1642">
        <v>9</v>
      </c>
      <c r="N1642" t="str">
        <f>VLOOKUP(M1642,[1]LOJA!$A:$B,2,0)</f>
        <v>ÚNICA</v>
      </c>
      <c r="O1642">
        <v>176</v>
      </c>
      <c r="P1642" t="str">
        <f>VLOOKUP(O1642,[1]OPERADORES!$A:$B,2,0)</f>
        <v>EDUARDO DE JESUS BALDUINO</v>
      </c>
      <c r="Q1642">
        <v>23</v>
      </c>
      <c r="R1642">
        <v>27270</v>
      </c>
      <c r="S1642" t="s">
        <v>55</v>
      </c>
      <c r="T1642" s="1">
        <v>44790</v>
      </c>
      <c r="U1642">
        <v>106.67</v>
      </c>
      <c r="V1642">
        <v>106.67</v>
      </c>
    </row>
    <row r="1643" spans="1:22" x14ac:dyDescent="0.3">
      <c r="A1643" t="s">
        <v>3561</v>
      </c>
      <c r="B1643" t="s">
        <v>3562</v>
      </c>
      <c r="C1643" t="s">
        <v>13</v>
      </c>
      <c r="D1643" t="s">
        <v>3563</v>
      </c>
      <c r="E1643" t="s">
        <v>15</v>
      </c>
      <c r="J1643" s="1">
        <v>44883</v>
      </c>
      <c r="K1643">
        <v>1201</v>
      </c>
      <c r="L1643" t="s">
        <v>3763</v>
      </c>
      <c r="M1643">
        <v>9</v>
      </c>
      <c r="N1643" t="str">
        <f>VLOOKUP(M1643,[1]LOJA!$A:$B,2,0)</f>
        <v>ÚNICA</v>
      </c>
      <c r="O1643">
        <v>176</v>
      </c>
      <c r="P1643" t="str">
        <f>VLOOKUP(O1643,[1]OPERADORES!$A:$B,2,0)</f>
        <v>EDUARDO DE JESUS BALDUINO</v>
      </c>
      <c r="Q1643">
        <v>23</v>
      </c>
      <c r="R1643">
        <v>29946</v>
      </c>
      <c r="S1643" t="s">
        <v>51</v>
      </c>
      <c r="T1643" s="1">
        <v>44853</v>
      </c>
      <c r="U1643">
        <v>151.79</v>
      </c>
      <c r="V1643">
        <v>151.79</v>
      </c>
    </row>
    <row r="1644" spans="1:22" x14ac:dyDescent="0.3">
      <c r="A1644" t="s">
        <v>3561</v>
      </c>
      <c r="B1644" t="s">
        <v>3562</v>
      </c>
      <c r="C1644" t="s">
        <v>13</v>
      </c>
      <c r="D1644" t="s">
        <v>3563</v>
      </c>
      <c r="E1644" t="s">
        <v>15</v>
      </c>
      <c r="J1644" s="1">
        <v>44884</v>
      </c>
      <c r="K1644">
        <v>1200</v>
      </c>
      <c r="L1644" t="s">
        <v>3764</v>
      </c>
      <c r="M1644">
        <v>9</v>
      </c>
      <c r="N1644" t="str">
        <f>VLOOKUP(M1644,[1]LOJA!$A:$B,2,0)</f>
        <v>ÚNICA</v>
      </c>
      <c r="O1644">
        <v>176</v>
      </c>
      <c r="P1644" t="str">
        <f>VLOOKUP(O1644,[1]OPERADORES!$A:$B,2,0)</f>
        <v>EDUARDO DE JESUS BALDUINO</v>
      </c>
      <c r="Q1644">
        <v>23</v>
      </c>
      <c r="R1644">
        <v>28708</v>
      </c>
      <c r="S1644" t="s">
        <v>53</v>
      </c>
      <c r="T1644" s="1">
        <v>44824</v>
      </c>
      <c r="U1644">
        <v>87.4</v>
      </c>
      <c r="V1644">
        <v>87.4</v>
      </c>
    </row>
    <row r="1645" spans="1:22" x14ac:dyDescent="0.3">
      <c r="A1645" t="s">
        <v>3561</v>
      </c>
      <c r="B1645" t="s">
        <v>3562</v>
      </c>
      <c r="C1645" t="s">
        <v>13</v>
      </c>
      <c r="D1645" t="s">
        <v>3563</v>
      </c>
      <c r="E1645" t="s">
        <v>15</v>
      </c>
      <c r="J1645" s="1">
        <v>44884</v>
      </c>
      <c r="K1645">
        <v>1200</v>
      </c>
      <c r="L1645" t="s">
        <v>3765</v>
      </c>
      <c r="M1645">
        <v>9</v>
      </c>
      <c r="N1645" t="str">
        <f>VLOOKUP(M1645,[1]LOJA!$A:$B,2,0)</f>
        <v>ÚNICA</v>
      </c>
      <c r="O1645">
        <v>176</v>
      </c>
      <c r="P1645" t="str">
        <f>VLOOKUP(O1645,[1]OPERADORES!$A:$B,2,0)</f>
        <v>EDUARDO DE JESUS BALDUINO</v>
      </c>
      <c r="Q1645">
        <v>23</v>
      </c>
      <c r="R1645">
        <v>30043</v>
      </c>
      <c r="S1645" t="s">
        <v>51</v>
      </c>
      <c r="T1645" s="1">
        <v>44854</v>
      </c>
      <c r="U1645">
        <v>144.55000000000001</v>
      </c>
      <c r="V1645">
        <v>144.55000000000001</v>
      </c>
    </row>
    <row r="1646" spans="1:22" x14ac:dyDescent="0.3">
      <c r="A1646" t="s">
        <v>3561</v>
      </c>
      <c r="B1646" t="s">
        <v>3562</v>
      </c>
      <c r="C1646" t="s">
        <v>13</v>
      </c>
      <c r="D1646" t="s">
        <v>3563</v>
      </c>
      <c r="E1646" t="s">
        <v>15</v>
      </c>
      <c r="J1646" s="1">
        <v>44885</v>
      </c>
      <c r="K1646">
        <v>1199</v>
      </c>
      <c r="L1646" t="s">
        <v>3766</v>
      </c>
      <c r="M1646">
        <v>9</v>
      </c>
      <c r="N1646" t="str">
        <f>VLOOKUP(M1646,[1]LOJA!$A:$B,2,0)</f>
        <v>ÚNICA</v>
      </c>
      <c r="O1646">
        <v>176</v>
      </c>
      <c r="P1646" t="str">
        <f>VLOOKUP(O1646,[1]OPERADORES!$A:$B,2,0)</f>
        <v>EDUARDO DE JESUS BALDUINO</v>
      </c>
      <c r="Q1646">
        <v>23</v>
      </c>
      <c r="R1646">
        <v>27486</v>
      </c>
      <c r="S1646" t="s">
        <v>55</v>
      </c>
      <c r="T1646" s="1">
        <v>44795</v>
      </c>
      <c r="U1646">
        <v>158.69999999999999</v>
      </c>
      <c r="V1646">
        <v>158.69999999999999</v>
      </c>
    </row>
    <row r="1647" spans="1:22" x14ac:dyDescent="0.3">
      <c r="A1647" t="s">
        <v>3561</v>
      </c>
      <c r="B1647" t="s">
        <v>3562</v>
      </c>
      <c r="C1647" t="s">
        <v>13</v>
      </c>
      <c r="D1647" t="s">
        <v>3563</v>
      </c>
      <c r="E1647" t="s">
        <v>15</v>
      </c>
      <c r="J1647" s="1">
        <v>44885</v>
      </c>
      <c r="K1647">
        <v>1199</v>
      </c>
      <c r="L1647" t="s">
        <v>3767</v>
      </c>
      <c r="M1647">
        <v>9</v>
      </c>
      <c r="N1647" t="str">
        <f>VLOOKUP(M1647,[1]LOJA!$A:$B,2,0)</f>
        <v>ÚNICA</v>
      </c>
      <c r="O1647">
        <v>176</v>
      </c>
      <c r="P1647" t="str">
        <f>VLOOKUP(O1647,[1]OPERADORES!$A:$B,2,0)</f>
        <v>EDUARDO DE JESUS BALDUINO</v>
      </c>
      <c r="Q1647">
        <v>23</v>
      </c>
      <c r="R1647">
        <v>28807</v>
      </c>
      <c r="S1647" t="s">
        <v>53</v>
      </c>
      <c r="T1647" s="1">
        <v>44825</v>
      </c>
      <c r="U1647">
        <v>91.97</v>
      </c>
      <c r="V1647">
        <v>91.97</v>
      </c>
    </row>
    <row r="1648" spans="1:22" x14ac:dyDescent="0.3">
      <c r="A1648" t="s">
        <v>3561</v>
      </c>
      <c r="B1648" t="s">
        <v>3562</v>
      </c>
      <c r="C1648" t="s">
        <v>13</v>
      </c>
      <c r="D1648" t="s">
        <v>3563</v>
      </c>
      <c r="E1648" t="s">
        <v>15</v>
      </c>
      <c r="J1648" s="1">
        <v>44885</v>
      </c>
      <c r="K1648">
        <v>1199</v>
      </c>
      <c r="L1648" t="s">
        <v>3768</v>
      </c>
      <c r="M1648">
        <v>9</v>
      </c>
      <c r="N1648" t="str">
        <f>VLOOKUP(M1648,[1]LOJA!$A:$B,2,0)</f>
        <v>ÚNICA</v>
      </c>
      <c r="O1648">
        <v>176</v>
      </c>
      <c r="P1648" t="str">
        <f>VLOOKUP(O1648,[1]OPERADORES!$A:$B,2,0)</f>
        <v>EDUARDO DE JESUS BALDUINO</v>
      </c>
      <c r="Q1648">
        <v>23</v>
      </c>
      <c r="R1648">
        <v>30100</v>
      </c>
      <c r="S1648" t="s">
        <v>51</v>
      </c>
      <c r="T1648" s="1">
        <v>44855</v>
      </c>
      <c r="U1648">
        <v>171</v>
      </c>
      <c r="V1648">
        <v>171</v>
      </c>
    </row>
    <row r="1649" spans="1:22" x14ac:dyDescent="0.3">
      <c r="A1649" t="s">
        <v>3561</v>
      </c>
      <c r="B1649" t="s">
        <v>3562</v>
      </c>
      <c r="C1649" t="s">
        <v>13</v>
      </c>
      <c r="D1649" t="s">
        <v>3563</v>
      </c>
      <c r="E1649" t="s">
        <v>15</v>
      </c>
      <c r="J1649" s="1">
        <v>44887</v>
      </c>
      <c r="K1649">
        <v>1197</v>
      </c>
      <c r="L1649" t="s">
        <v>3769</v>
      </c>
      <c r="M1649">
        <v>9</v>
      </c>
      <c r="N1649" t="str">
        <f>VLOOKUP(M1649,[1]LOJA!$A:$B,2,0)</f>
        <v>ÚNICA</v>
      </c>
      <c r="O1649">
        <v>176</v>
      </c>
      <c r="P1649" t="str">
        <f>VLOOKUP(O1649,[1]OPERADORES!$A:$B,2,0)</f>
        <v>EDUARDO DE JESUS BALDUINO</v>
      </c>
      <c r="Q1649">
        <v>23</v>
      </c>
      <c r="R1649">
        <v>27593</v>
      </c>
      <c r="S1649" t="s">
        <v>55</v>
      </c>
      <c r="T1649" s="1">
        <v>44797</v>
      </c>
      <c r="U1649">
        <v>133.99</v>
      </c>
      <c r="V1649">
        <v>133.99</v>
      </c>
    </row>
    <row r="1650" spans="1:22" x14ac:dyDescent="0.3">
      <c r="A1650" t="s">
        <v>3561</v>
      </c>
      <c r="B1650" t="s">
        <v>3562</v>
      </c>
      <c r="C1650" t="s">
        <v>13</v>
      </c>
      <c r="D1650" t="s">
        <v>3563</v>
      </c>
      <c r="E1650" t="s">
        <v>15</v>
      </c>
      <c r="J1650" s="1">
        <v>44892</v>
      </c>
      <c r="K1650">
        <v>1192</v>
      </c>
      <c r="L1650" t="s">
        <v>3770</v>
      </c>
      <c r="M1650">
        <v>9</v>
      </c>
      <c r="N1650" t="str">
        <f>VLOOKUP(M1650,[1]LOJA!$A:$B,2,0)</f>
        <v>ÚNICA</v>
      </c>
      <c r="O1650">
        <v>176</v>
      </c>
      <c r="P1650" t="str">
        <f>VLOOKUP(O1650,[1]OPERADORES!$A:$B,2,0)</f>
        <v>EDUARDO DE JESUS BALDUINO</v>
      </c>
      <c r="Q1650">
        <v>23</v>
      </c>
      <c r="R1650">
        <v>27742</v>
      </c>
      <c r="S1650" t="s">
        <v>55</v>
      </c>
      <c r="T1650" s="1">
        <v>44802</v>
      </c>
      <c r="U1650">
        <v>93.44</v>
      </c>
      <c r="V1650">
        <v>93.44</v>
      </c>
    </row>
    <row r="1651" spans="1:22" x14ac:dyDescent="0.3">
      <c r="A1651" t="s">
        <v>3561</v>
      </c>
      <c r="B1651" t="s">
        <v>3562</v>
      </c>
      <c r="C1651" t="s">
        <v>13</v>
      </c>
      <c r="D1651" t="s">
        <v>3563</v>
      </c>
      <c r="E1651" t="s">
        <v>15</v>
      </c>
      <c r="J1651" s="1">
        <v>44892</v>
      </c>
      <c r="K1651">
        <v>1192</v>
      </c>
      <c r="L1651" t="s">
        <v>3771</v>
      </c>
      <c r="M1651">
        <v>9</v>
      </c>
      <c r="N1651" t="str">
        <f>VLOOKUP(M1651,[1]LOJA!$A:$B,2,0)</f>
        <v>ÚNICA</v>
      </c>
      <c r="O1651">
        <v>176</v>
      </c>
      <c r="P1651" t="str">
        <f>VLOOKUP(O1651,[1]OPERADORES!$A:$B,2,0)</f>
        <v>EDUARDO DE JESUS BALDUINO</v>
      </c>
      <c r="Q1651">
        <v>23</v>
      </c>
      <c r="R1651">
        <v>30316</v>
      </c>
      <c r="S1651" t="s">
        <v>51</v>
      </c>
      <c r="T1651" s="1">
        <v>44862</v>
      </c>
      <c r="U1651">
        <v>183.04</v>
      </c>
      <c r="V1651">
        <v>183.04</v>
      </c>
    </row>
    <row r="1652" spans="1:22" x14ac:dyDescent="0.3">
      <c r="A1652" t="s">
        <v>3561</v>
      </c>
      <c r="B1652" t="s">
        <v>3562</v>
      </c>
      <c r="C1652" t="s">
        <v>13</v>
      </c>
      <c r="D1652" t="s">
        <v>3563</v>
      </c>
      <c r="E1652" t="s">
        <v>15</v>
      </c>
      <c r="J1652" s="1">
        <v>44893</v>
      </c>
      <c r="K1652">
        <v>1191</v>
      </c>
      <c r="L1652" t="s">
        <v>3772</v>
      </c>
      <c r="M1652">
        <v>9</v>
      </c>
      <c r="N1652" t="str">
        <f>VLOOKUP(M1652,[1]LOJA!$A:$B,2,0)</f>
        <v>ÚNICA</v>
      </c>
      <c r="O1652">
        <v>176</v>
      </c>
      <c r="P1652" t="str">
        <f>VLOOKUP(O1652,[1]OPERADORES!$A:$B,2,0)</f>
        <v>EDUARDO DE JESUS BALDUINO</v>
      </c>
      <c r="Q1652">
        <v>23</v>
      </c>
      <c r="R1652">
        <v>29037</v>
      </c>
      <c r="S1652" t="s">
        <v>53</v>
      </c>
      <c r="T1652" s="1">
        <v>44833</v>
      </c>
      <c r="U1652">
        <v>96.08</v>
      </c>
      <c r="V1652">
        <v>96.08</v>
      </c>
    </row>
    <row r="1653" spans="1:22" x14ac:dyDescent="0.3">
      <c r="A1653" t="s">
        <v>3561</v>
      </c>
      <c r="B1653" t="s">
        <v>3562</v>
      </c>
      <c r="C1653" t="s">
        <v>13</v>
      </c>
      <c r="D1653" t="s">
        <v>3563</v>
      </c>
      <c r="E1653" t="s">
        <v>15</v>
      </c>
      <c r="J1653" s="1">
        <v>44893</v>
      </c>
      <c r="K1653">
        <v>1191</v>
      </c>
      <c r="L1653" t="s">
        <v>3773</v>
      </c>
      <c r="M1653">
        <v>9</v>
      </c>
      <c r="N1653" t="str">
        <f>VLOOKUP(M1653,[1]LOJA!$A:$B,2,0)</f>
        <v>ÚNICA</v>
      </c>
      <c r="O1653">
        <v>176</v>
      </c>
      <c r="P1653" t="str">
        <f>VLOOKUP(O1653,[1]OPERADORES!$A:$B,2,0)</f>
        <v>EDUARDO DE JESUS BALDUINO</v>
      </c>
      <c r="Q1653">
        <v>23</v>
      </c>
      <c r="R1653">
        <v>29060</v>
      </c>
      <c r="S1653" t="s">
        <v>53</v>
      </c>
      <c r="T1653" s="1">
        <v>44833</v>
      </c>
      <c r="U1653">
        <v>304.73</v>
      </c>
      <c r="V1653">
        <v>304.73</v>
      </c>
    </row>
    <row r="1654" spans="1:22" x14ac:dyDescent="0.3">
      <c r="A1654" t="s">
        <v>3561</v>
      </c>
      <c r="B1654" t="s">
        <v>3562</v>
      </c>
      <c r="C1654" t="s">
        <v>13</v>
      </c>
      <c r="D1654" t="s">
        <v>3563</v>
      </c>
      <c r="E1654" t="s">
        <v>15</v>
      </c>
      <c r="J1654" s="1">
        <v>44894</v>
      </c>
      <c r="K1654">
        <v>1190</v>
      </c>
      <c r="L1654" t="s">
        <v>3774</v>
      </c>
      <c r="M1654">
        <v>9</v>
      </c>
      <c r="N1654" t="str">
        <f>VLOOKUP(M1654,[1]LOJA!$A:$B,2,0)</f>
        <v>ÚNICA</v>
      </c>
      <c r="O1654">
        <v>176</v>
      </c>
      <c r="P1654" t="str">
        <f>VLOOKUP(O1654,[1]OPERADORES!$A:$B,2,0)</f>
        <v>EDUARDO DE JESUS BALDUINO</v>
      </c>
      <c r="Q1654">
        <v>23</v>
      </c>
      <c r="R1654">
        <v>28054</v>
      </c>
      <c r="S1654" t="s">
        <v>55</v>
      </c>
      <c r="T1654" s="1">
        <v>44804</v>
      </c>
      <c r="U1654">
        <v>171.65</v>
      </c>
      <c r="V1654">
        <v>171.65</v>
      </c>
    </row>
    <row r="1655" spans="1:22" x14ac:dyDescent="0.3">
      <c r="A1655" t="s">
        <v>3561</v>
      </c>
      <c r="B1655" t="s">
        <v>3562</v>
      </c>
      <c r="C1655" t="s">
        <v>13</v>
      </c>
      <c r="D1655" t="s">
        <v>3563</v>
      </c>
      <c r="E1655" t="s">
        <v>15</v>
      </c>
      <c r="J1655" s="1">
        <v>44898</v>
      </c>
      <c r="K1655">
        <v>1186</v>
      </c>
      <c r="L1655" t="s">
        <v>3775</v>
      </c>
      <c r="M1655">
        <v>9</v>
      </c>
      <c r="N1655" t="str">
        <f>VLOOKUP(M1655,[1]LOJA!$A:$B,2,0)</f>
        <v>ÚNICA</v>
      </c>
      <c r="O1655">
        <v>176</v>
      </c>
      <c r="P1655" t="str">
        <f>VLOOKUP(O1655,[1]OPERADORES!$A:$B,2,0)</f>
        <v>EDUARDO DE JESUS BALDUINO</v>
      </c>
      <c r="Q1655">
        <v>23</v>
      </c>
      <c r="R1655">
        <v>30464</v>
      </c>
      <c r="S1655" t="s">
        <v>51</v>
      </c>
      <c r="T1655" s="1">
        <v>44868</v>
      </c>
      <c r="U1655">
        <v>533.6</v>
      </c>
      <c r="V1655">
        <v>533.6</v>
      </c>
    </row>
    <row r="1656" spans="1:22" x14ac:dyDescent="0.3">
      <c r="A1656" t="s">
        <v>3561</v>
      </c>
      <c r="B1656" t="s">
        <v>3562</v>
      </c>
      <c r="C1656" t="s">
        <v>13</v>
      </c>
      <c r="D1656" t="s">
        <v>3563</v>
      </c>
      <c r="E1656" t="s">
        <v>15</v>
      </c>
      <c r="J1656" s="1">
        <v>44900</v>
      </c>
      <c r="K1656">
        <v>1184</v>
      </c>
      <c r="L1656" t="s">
        <v>3776</v>
      </c>
      <c r="M1656">
        <v>9</v>
      </c>
      <c r="N1656" t="str">
        <f>VLOOKUP(M1656,[1]LOJA!$A:$B,2,0)</f>
        <v>ÚNICA</v>
      </c>
      <c r="O1656">
        <v>176</v>
      </c>
      <c r="P1656" t="str">
        <f>VLOOKUP(O1656,[1]OPERADORES!$A:$B,2,0)</f>
        <v>EDUARDO DE JESUS BALDUINO</v>
      </c>
      <c r="Q1656">
        <v>23</v>
      </c>
      <c r="R1656">
        <v>28278</v>
      </c>
      <c r="S1656" t="s">
        <v>55</v>
      </c>
      <c r="T1656" s="1">
        <v>44810</v>
      </c>
      <c r="U1656">
        <v>169.89</v>
      </c>
      <c r="V1656">
        <v>169.89</v>
      </c>
    </row>
    <row r="1657" spans="1:22" x14ac:dyDescent="0.3">
      <c r="A1657" t="s">
        <v>3561</v>
      </c>
      <c r="B1657" t="s">
        <v>3562</v>
      </c>
      <c r="C1657" t="s">
        <v>13</v>
      </c>
      <c r="D1657" t="s">
        <v>3563</v>
      </c>
      <c r="E1657" t="s">
        <v>15</v>
      </c>
      <c r="J1657" s="1">
        <v>44900</v>
      </c>
      <c r="K1657">
        <v>1184</v>
      </c>
      <c r="L1657" t="s">
        <v>3777</v>
      </c>
      <c r="M1657">
        <v>9</v>
      </c>
      <c r="N1657" t="str">
        <f>VLOOKUP(M1657,[1]LOJA!$A:$B,2,0)</f>
        <v>ÚNICA</v>
      </c>
      <c r="O1657">
        <v>176</v>
      </c>
      <c r="P1657" t="str">
        <f>VLOOKUP(O1657,[1]OPERADORES!$A:$B,2,0)</f>
        <v>EDUARDO DE JESUS BALDUINO</v>
      </c>
      <c r="Q1657">
        <v>23</v>
      </c>
      <c r="R1657">
        <v>29359</v>
      </c>
      <c r="S1657" t="s">
        <v>53</v>
      </c>
      <c r="T1657" s="1">
        <v>44840</v>
      </c>
      <c r="U1657">
        <v>86.67</v>
      </c>
      <c r="V1657">
        <v>86.67</v>
      </c>
    </row>
    <row r="1658" spans="1:22" x14ac:dyDescent="0.3">
      <c r="A1658" t="s">
        <v>3561</v>
      </c>
      <c r="B1658" t="s">
        <v>3562</v>
      </c>
      <c r="C1658" t="s">
        <v>13</v>
      </c>
      <c r="D1658" t="s">
        <v>3563</v>
      </c>
      <c r="E1658" t="s">
        <v>15</v>
      </c>
      <c r="J1658" s="1">
        <v>44901</v>
      </c>
      <c r="K1658">
        <v>1183</v>
      </c>
      <c r="L1658" t="s">
        <v>3778</v>
      </c>
      <c r="M1658">
        <v>9</v>
      </c>
      <c r="N1658" t="str">
        <f>VLOOKUP(M1658,[1]LOJA!$A:$B,2,0)</f>
        <v>ÚNICA</v>
      </c>
      <c r="O1658">
        <v>176</v>
      </c>
      <c r="P1658" t="str">
        <f>VLOOKUP(O1658,[1]OPERADORES!$A:$B,2,0)</f>
        <v>EDUARDO DE JESUS BALDUINO</v>
      </c>
      <c r="Q1658">
        <v>23</v>
      </c>
      <c r="R1658">
        <v>29458</v>
      </c>
      <c r="S1658" t="s">
        <v>53</v>
      </c>
      <c r="T1658" s="1">
        <v>44841</v>
      </c>
      <c r="U1658">
        <v>67.08</v>
      </c>
      <c r="V1658">
        <v>67.08</v>
      </c>
    </row>
    <row r="1659" spans="1:22" x14ac:dyDescent="0.3">
      <c r="A1659" t="s">
        <v>3561</v>
      </c>
      <c r="B1659" t="s">
        <v>3562</v>
      </c>
      <c r="C1659" t="s">
        <v>13</v>
      </c>
      <c r="D1659" t="s">
        <v>3563</v>
      </c>
      <c r="E1659" t="s">
        <v>15</v>
      </c>
      <c r="J1659" s="1">
        <v>44902</v>
      </c>
      <c r="K1659">
        <v>1182</v>
      </c>
      <c r="L1659" t="s">
        <v>3779</v>
      </c>
      <c r="M1659">
        <v>9</v>
      </c>
      <c r="N1659" t="str">
        <f>VLOOKUP(M1659,[1]LOJA!$A:$B,2,0)</f>
        <v>ÚNICA</v>
      </c>
      <c r="O1659">
        <v>176</v>
      </c>
      <c r="P1659" t="str">
        <f>VLOOKUP(O1659,[1]OPERADORES!$A:$B,2,0)</f>
        <v>EDUARDO DE JESUS BALDUINO</v>
      </c>
      <c r="Q1659">
        <v>23</v>
      </c>
      <c r="R1659">
        <v>28344</v>
      </c>
      <c r="S1659" t="s">
        <v>55</v>
      </c>
      <c r="T1659" s="1">
        <v>44812</v>
      </c>
      <c r="U1659">
        <v>351.96</v>
      </c>
      <c r="V1659">
        <v>351.96</v>
      </c>
    </row>
    <row r="1660" spans="1:22" x14ac:dyDescent="0.3">
      <c r="A1660" t="s">
        <v>3561</v>
      </c>
      <c r="B1660" t="s">
        <v>3562</v>
      </c>
      <c r="C1660" t="s">
        <v>13</v>
      </c>
      <c r="D1660" t="s">
        <v>3563</v>
      </c>
      <c r="E1660" t="s">
        <v>15</v>
      </c>
      <c r="J1660" s="1">
        <v>44902</v>
      </c>
      <c r="K1660">
        <v>1182</v>
      </c>
      <c r="L1660" t="s">
        <v>3780</v>
      </c>
      <c r="M1660">
        <v>9</v>
      </c>
      <c r="N1660" t="str">
        <f>VLOOKUP(M1660,[1]LOJA!$A:$B,2,0)</f>
        <v>ÚNICA</v>
      </c>
      <c r="O1660">
        <v>176</v>
      </c>
      <c r="P1660" t="str">
        <f>VLOOKUP(O1660,[1]OPERADORES!$A:$B,2,0)</f>
        <v>EDUARDO DE JESUS BALDUINO</v>
      </c>
      <c r="Q1660">
        <v>23</v>
      </c>
      <c r="R1660">
        <v>28393</v>
      </c>
      <c r="S1660" t="s">
        <v>55</v>
      </c>
      <c r="T1660" s="1">
        <v>44812</v>
      </c>
      <c r="U1660">
        <v>110.56</v>
      </c>
      <c r="V1660">
        <v>110.56</v>
      </c>
    </row>
    <row r="1661" spans="1:22" x14ac:dyDescent="0.3">
      <c r="A1661" t="s">
        <v>3561</v>
      </c>
      <c r="B1661" t="s">
        <v>3562</v>
      </c>
      <c r="C1661" t="s">
        <v>13</v>
      </c>
      <c r="D1661" t="s">
        <v>3563</v>
      </c>
      <c r="E1661" t="s">
        <v>15</v>
      </c>
      <c r="J1661" s="1">
        <v>44904</v>
      </c>
      <c r="K1661">
        <v>1180</v>
      </c>
      <c r="L1661" t="s">
        <v>3781</v>
      </c>
      <c r="M1661">
        <v>9</v>
      </c>
      <c r="N1661" t="str">
        <f>VLOOKUP(M1661,[1]LOJA!$A:$B,2,0)</f>
        <v>ÚNICA</v>
      </c>
      <c r="O1661">
        <v>176</v>
      </c>
      <c r="P1661" t="str">
        <f>VLOOKUP(O1661,[1]OPERADORES!$A:$B,2,0)</f>
        <v>EDUARDO DE JESUS BALDUINO</v>
      </c>
      <c r="Q1661">
        <v>23</v>
      </c>
      <c r="R1661">
        <v>29508</v>
      </c>
      <c r="S1661" t="s">
        <v>53</v>
      </c>
      <c r="T1661" s="1">
        <v>44844</v>
      </c>
      <c r="U1661">
        <v>114.87</v>
      </c>
      <c r="V1661">
        <v>114.87</v>
      </c>
    </row>
    <row r="1662" spans="1:22" x14ac:dyDescent="0.3">
      <c r="A1662" t="s">
        <v>3561</v>
      </c>
      <c r="B1662" t="s">
        <v>3562</v>
      </c>
      <c r="C1662" t="s">
        <v>13</v>
      </c>
      <c r="D1662" t="s">
        <v>3563</v>
      </c>
      <c r="E1662" t="s">
        <v>15</v>
      </c>
      <c r="J1662" s="1">
        <v>44906</v>
      </c>
      <c r="K1662">
        <v>1178</v>
      </c>
      <c r="L1662" t="s">
        <v>3782</v>
      </c>
      <c r="M1662">
        <v>9</v>
      </c>
      <c r="N1662" t="str">
        <f>VLOOKUP(M1662,[1]LOJA!$A:$B,2,0)</f>
        <v>ÚNICA</v>
      </c>
      <c r="O1662">
        <v>176</v>
      </c>
      <c r="P1662" t="str">
        <f>VLOOKUP(O1662,[1]OPERADORES!$A:$B,2,0)</f>
        <v>EDUARDO DE JESUS BALDUINO</v>
      </c>
      <c r="Q1662">
        <v>23</v>
      </c>
      <c r="R1662">
        <v>28450</v>
      </c>
      <c r="S1662" t="s">
        <v>55</v>
      </c>
      <c r="T1662" s="1">
        <v>44816</v>
      </c>
      <c r="U1662">
        <v>159.04</v>
      </c>
      <c r="V1662">
        <v>159.04</v>
      </c>
    </row>
    <row r="1663" spans="1:22" x14ac:dyDescent="0.3">
      <c r="A1663" t="s">
        <v>3561</v>
      </c>
      <c r="B1663" t="s">
        <v>3562</v>
      </c>
      <c r="C1663" t="s">
        <v>13</v>
      </c>
      <c r="D1663" t="s">
        <v>3563</v>
      </c>
      <c r="E1663" t="s">
        <v>15</v>
      </c>
      <c r="J1663" s="1">
        <v>44907</v>
      </c>
      <c r="K1663">
        <v>1177</v>
      </c>
      <c r="L1663" t="s">
        <v>3783</v>
      </c>
      <c r="M1663">
        <v>9</v>
      </c>
      <c r="N1663" t="str">
        <f>VLOOKUP(M1663,[1]LOJA!$A:$B,2,0)</f>
        <v>ÚNICA</v>
      </c>
      <c r="O1663">
        <v>176</v>
      </c>
      <c r="P1663" t="str">
        <f>VLOOKUP(O1663,[1]OPERADORES!$A:$B,2,0)</f>
        <v>EDUARDO DE JESUS BALDUINO</v>
      </c>
      <c r="Q1663">
        <v>23</v>
      </c>
      <c r="R1663">
        <v>28484</v>
      </c>
      <c r="S1663" t="s">
        <v>55</v>
      </c>
      <c r="T1663" s="1">
        <v>44817</v>
      </c>
      <c r="U1663">
        <v>122.74</v>
      </c>
      <c r="V1663">
        <v>122.74</v>
      </c>
    </row>
    <row r="1664" spans="1:22" x14ac:dyDescent="0.3">
      <c r="A1664" t="s">
        <v>3561</v>
      </c>
      <c r="B1664" t="s">
        <v>3562</v>
      </c>
      <c r="C1664" t="s">
        <v>13</v>
      </c>
      <c r="D1664" t="s">
        <v>3563</v>
      </c>
      <c r="E1664" t="s">
        <v>15</v>
      </c>
      <c r="J1664" s="1">
        <v>44907</v>
      </c>
      <c r="K1664">
        <v>1177</v>
      </c>
      <c r="L1664" t="s">
        <v>3784</v>
      </c>
      <c r="M1664">
        <v>9</v>
      </c>
      <c r="N1664" t="str">
        <f>VLOOKUP(M1664,[1]LOJA!$A:$B,2,0)</f>
        <v>ÚNICA</v>
      </c>
      <c r="O1664">
        <v>176</v>
      </c>
      <c r="P1664" t="str">
        <f>VLOOKUP(O1664,[1]OPERADORES!$A:$B,2,0)</f>
        <v>EDUARDO DE JESUS BALDUINO</v>
      </c>
      <c r="Q1664">
        <v>23</v>
      </c>
      <c r="R1664">
        <v>29623</v>
      </c>
      <c r="S1664" t="s">
        <v>53</v>
      </c>
      <c r="T1664" s="1">
        <v>44847</v>
      </c>
      <c r="U1664">
        <v>132.84</v>
      </c>
      <c r="V1664">
        <v>132.84</v>
      </c>
    </row>
    <row r="1665" spans="1:22" x14ac:dyDescent="0.3">
      <c r="A1665" t="s">
        <v>3561</v>
      </c>
      <c r="B1665" t="s">
        <v>3562</v>
      </c>
      <c r="C1665" t="s">
        <v>13</v>
      </c>
      <c r="D1665" t="s">
        <v>3563</v>
      </c>
      <c r="E1665" t="s">
        <v>15</v>
      </c>
      <c r="J1665" s="1">
        <v>44907</v>
      </c>
      <c r="K1665">
        <v>1177</v>
      </c>
      <c r="L1665" t="s">
        <v>3785</v>
      </c>
      <c r="M1665">
        <v>9</v>
      </c>
      <c r="N1665" t="str">
        <f>VLOOKUP(M1665,[1]LOJA!$A:$B,2,0)</f>
        <v>ÚNICA</v>
      </c>
      <c r="O1665">
        <v>176</v>
      </c>
      <c r="P1665" t="str">
        <f>VLOOKUP(O1665,[1]OPERADORES!$A:$B,2,0)</f>
        <v>EDUARDO DE JESUS BALDUINO</v>
      </c>
      <c r="Q1665">
        <v>23</v>
      </c>
      <c r="R1665">
        <v>29656</v>
      </c>
      <c r="S1665" t="s">
        <v>53</v>
      </c>
      <c r="T1665" s="1">
        <v>44847</v>
      </c>
      <c r="U1665">
        <v>82.5</v>
      </c>
      <c r="V1665">
        <v>82.5</v>
      </c>
    </row>
    <row r="1666" spans="1:22" x14ac:dyDescent="0.3">
      <c r="A1666" t="s">
        <v>3561</v>
      </c>
      <c r="B1666" t="s">
        <v>3562</v>
      </c>
      <c r="C1666" t="s">
        <v>13</v>
      </c>
      <c r="D1666" t="s">
        <v>3563</v>
      </c>
      <c r="E1666" t="s">
        <v>15</v>
      </c>
      <c r="J1666" s="1">
        <v>44909</v>
      </c>
      <c r="K1666">
        <v>1175</v>
      </c>
      <c r="L1666" t="s">
        <v>3786</v>
      </c>
      <c r="M1666">
        <v>9</v>
      </c>
      <c r="N1666" t="str">
        <f>VLOOKUP(M1666,[1]LOJA!$A:$B,2,0)</f>
        <v>ÚNICA</v>
      </c>
      <c r="O1666">
        <v>176</v>
      </c>
      <c r="P1666" t="str">
        <f>VLOOKUP(O1666,[1]OPERADORES!$A:$B,2,0)</f>
        <v>EDUARDO DE JESUS BALDUINO</v>
      </c>
      <c r="Q1666">
        <v>23</v>
      </c>
      <c r="R1666">
        <v>28542</v>
      </c>
      <c r="S1666" t="s">
        <v>55</v>
      </c>
      <c r="T1666" s="1">
        <v>44819</v>
      </c>
      <c r="U1666">
        <v>187.74</v>
      </c>
      <c r="V1666">
        <v>187.74</v>
      </c>
    </row>
    <row r="1667" spans="1:22" x14ac:dyDescent="0.3">
      <c r="A1667" t="s">
        <v>3561</v>
      </c>
      <c r="B1667" t="s">
        <v>3562</v>
      </c>
      <c r="C1667" t="s">
        <v>13</v>
      </c>
      <c r="D1667" t="s">
        <v>3563</v>
      </c>
      <c r="E1667" t="s">
        <v>15</v>
      </c>
      <c r="J1667" s="1">
        <v>44913</v>
      </c>
      <c r="K1667">
        <v>1171</v>
      </c>
      <c r="L1667" t="s">
        <v>3787</v>
      </c>
      <c r="M1667">
        <v>9</v>
      </c>
      <c r="N1667" t="str">
        <f>VLOOKUP(M1667,[1]LOJA!$A:$B,2,0)</f>
        <v>ÚNICA</v>
      </c>
      <c r="O1667">
        <v>176</v>
      </c>
      <c r="P1667" t="str">
        <f>VLOOKUP(O1667,[1]OPERADORES!$A:$B,2,0)</f>
        <v>EDUARDO DE JESUS BALDUINO</v>
      </c>
      <c r="Q1667">
        <v>23</v>
      </c>
      <c r="R1667">
        <v>29953</v>
      </c>
      <c r="S1667" t="s">
        <v>53</v>
      </c>
      <c r="T1667" s="1">
        <v>44853</v>
      </c>
      <c r="U1667">
        <v>151.79</v>
      </c>
      <c r="V1667">
        <v>151.79</v>
      </c>
    </row>
    <row r="1668" spans="1:22" x14ac:dyDescent="0.3">
      <c r="A1668" t="s">
        <v>3561</v>
      </c>
      <c r="B1668" t="s">
        <v>3562</v>
      </c>
      <c r="C1668" t="s">
        <v>13</v>
      </c>
      <c r="D1668" t="s">
        <v>3563</v>
      </c>
      <c r="E1668" t="s">
        <v>15</v>
      </c>
      <c r="J1668" s="1">
        <v>44914</v>
      </c>
      <c r="K1668">
        <v>1170</v>
      </c>
      <c r="L1668" t="s">
        <v>3788</v>
      </c>
      <c r="M1668">
        <v>9</v>
      </c>
      <c r="N1668" t="str">
        <f>VLOOKUP(M1668,[1]LOJA!$A:$B,2,0)</f>
        <v>ÚNICA</v>
      </c>
      <c r="O1668">
        <v>176</v>
      </c>
      <c r="P1668" t="str">
        <f>VLOOKUP(O1668,[1]OPERADORES!$A:$B,2,0)</f>
        <v>EDUARDO DE JESUS BALDUINO</v>
      </c>
      <c r="Q1668">
        <v>23</v>
      </c>
      <c r="R1668">
        <v>28716</v>
      </c>
      <c r="S1668" t="s">
        <v>55</v>
      </c>
      <c r="T1668" s="1">
        <v>44824</v>
      </c>
      <c r="U1668">
        <v>87.4</v>
      </c>
      <c r="V1668">
        <v>87.4</v>
      </c>
    </row>
    <row r="1669" spans="1:22" x14ac:dyDescent="0.3">
      <c r="A1669" t="s">
        <v>3561</v>
      </c>
      <c r="B1669" t="s">
        <v>3562</v>
      </c>
      <c r="C1669" t="s">
        <v>13</v>
      </c>
      <c r="D1669" t="s">
        <v>3563</v>
      </c>
      <c r="E1669" t="s">
        <v>15</v>
      </c>
      <c r="J1669" s="1">
        <v>44914</v>
      </c>
      <c r="K1669">
        <v>1170</v>
      </c>
      <c r="L1669" t="s">
        <v>3789</v>
      </c>
      <c r="M1669">
        <v>9</v>
      </c>
      <c r="N1669" t="str">
        <f>VLOOKUP(M1669,[1]LOJA!$A:$B,2,0)</f>
        <v>ÚNICA</v>
      </c>
      <c r="O1669">
        <v>176</v>
      </c>
      <c r="P1669" t="str">
        <f>VLOOKUP(O1669,[1]OPERADORES!$A:$B,2,0)</f>
        <v>EDUARDO DE JESUS BALDUINO</v>
      </c>
      <c r="Q1669">
        <v>23</v>
      </c>
      <c r="R1669">
        <v>30050</v>
      </c>
      <c r="S1669" t="s">
        <v>53</v>
      </c>
      <c r="T1669" s="1">
        <v>44854</v>
      </c>
      <c r="U1669">
        <v>144.55000000000001</v>
      </c>
      <c r="V1669">
        <v>144.55000000000001</v>
      </c>
    </row>
    <row r="1670" spans="1:22" x14ac:dyDescent="0.3">
      <c r="A1670" t="s">
        <v>3561</v>
      </c>
      <c r="B1670" t="s">
        <v>3562</v>
      </c>
      <c r="C1670" t="s">
        <v>13</v>
      </c>
      <c r="D1670" t="s">
        <v>3563</v>
      </c>
      <c r="E1670" t="s">
        <v>15</v>
      </c>
      <c r="J1670" s="1">
        <v>44915</v>
      </c>
      <c r="K1670">
        <v>1169</v>
      </c>
      <c r="L1670" t="s">
        <v>3790</v>
      </c>
      <c r="M1670">
        <v>9</v>
      </c>
      <c r="N1670" t="str">
        <f>VLOOKUP(M1670,[1]LOJA!$A:$B,2,0)</f>
        <v>ÚNICA</v>
      </c>
      <c r="O1670">
        <v>176</v>
      </c>
      <c r="P1670" t="str">
        <f>VLOOKUP(O1670,[1]OPERADORES!$A:$B,2,0)</f>
        <v>EDUARDO DE JESUS BALDUINO</v>
      </c>
      <c r="Q1670">
        <v>23</v>
      </c>
      <c r="R1670">
        <v>28815</v>
      </c>
      <c r="S1670" t="s">
        <v>55</v>
      </c>
      <c r="T1670" s="1">
        <v>44825</v>
      </c>
      <c r="U1670">
        <v>91.97</v>
      </c>
      <c r="V1670">
        <v>91.97</v>
      </c>
    </row>
    <row r="1671" spans="1:22" x14ac:dyDescent="0.3">
      <c r="A1671" t="s">
        <v>3561</v>
      </c>
      <c r="B1671" t="s">
        <v>3562</v>
      </c>
      <c r="C1671" t="s">
        <v>13</v>
      </c>
      <c r="D1671" t="s">
        <v>3563</v>
      </c>
      <c r="E1671" t="s">
        <v>15</v>
      </c>
      <c r="J1671" s="1">
        <v>44915</v>
      </c>
      <c r="K1671">
        <v>1169</v>
      </c>
      <c r="L1671" t="s">
        <v>3791</v>
      </c>
      <c r="M1671">
        <v>9</v>
      </c>
      <c r="N1671" t="str">
        <f>VLOOKUP(M1671,[1]LOJA!$A:$B,2,0)</f>
        <v>ÚNICA</v>
      </c>
      <c r="O1671">
        <v>176</v>
      </c>
      <c r="P1671" t="str">
        <f>VLOOKUP(O1671,[1]OPERADORES!$A:$B,2,0)</f>
        <v>EDUARDO DE JESUS BALDUINO</v>
      </c>
      <c r="Q1671">
        <v>23</v>
      </c>
      <c r="R1671">
        <v>30118</v>
      </c>
      <c r="S1671" t="s">
        <v>53</v>
      </c>
      <c r="T1671" s="1">
        <v>44855</v>
      </c>
      <c r="U1671">
        <v>171</v>
      </c>
      <c r="V1671">
        <v>171</v>
      </c>
    </row>
    <row r="1672" spans="1:22" x14ac:dyDescent="0.3">
      <c r="A1672" t="s">
        <v>3561</v>
      </c>
      <c r="B1672" t="s">
        <v>3562</v>
      </c>
      <c r="C1672" t="s">
        <v>13</v>
      </c>
      <c r="D1672" t="s">
        <v>3563</v>
      </c>
      <c r="E1672" t="s">
        <v>15</v>
      </c>
      <c r="J1672" s="1">
        <v>44922</v>
      </c>
      <c r="K1672">
        <v>1162</v>
      </c>
      <c r="L1672" t="s">
        <v>3792</v>
      </c>
      <c r="M1672">
        <v>9</v>
      </c>
      <c r="N1672" t="str">
        <f>VLOOKUP(M1672,[1]LOJA!$A:$B,2,0)</f>
        <v>ÚNICA</v>
      </c>
      <c r="O1672">
        <v>176</v>
      </c>
      <c r="P1672" t="str">
        <f>VLOOKUP(O1672,[1]OPERADORES!$A:$B,2,0)</f>
        <v>EDUARDO DE JESUS BALDUINO</v>
      </c>
      <c r="Q1672">
        <v>23</v>
      </c>
      <c r="R1672">
        <v>30324</v>
      </c>
      <c r="S1672" t="s">
        <v>53</v>
      </c>
      <c r="T1672" s="1">
        <v>44862</v>
      </c>
      <c r="U1672">
        <v>183.03</v>
      </c>
      <c r="V1672">
        <v>183.03</v>
      </c>
    </row>
    <row r="1673" spans="1:22" x14ac:dyDescent="0.3">
      <c r="A1673" t="s">
        <v>3561</v>
      </c>
      <c r="B1673" t="s">
        <v>3562</v>
      </c>
      <c r="C1673" t="s">
        <v>13</v>
      </c>
      <c r="D1673" t="s">
        <v>3563</v>
      </c>
      <c r="E1673" t="s">
        <v>15</v>
      </c>
      <c r="J1673" s="1">
        <v>44923</v>
      </c>
      <c r="K1673">
        <v>1161</v>
      </c>
      <c r="L1673" t="s">
        <v>3793</v>
      </c>
      <c r="M1673">
        <v>9</v>
      </c>
      <c r="N1673" t="str">
        <f>VLOOKUP(M1673,[1]LOJA!$A:$B,2,0)</f>
        <v>ÚNICA</v>
      </c>
      <c r="O1673">
        <v>176</v>
      </c>
      <c r="P1673" t="str">
        <f>VLOOKUP(O1673,[1]OPERADORES!$A:$B,2,0)</f>
        <v>EDUARDO DE JESUS BALDUINO</v>
      </c>
      <c r="Q1673">
        <v>23</v>
      </c>
      <c r="R1673">
        <v>29045</v>
      </c>
      <c r="S1673" t="s">
        <v>55</v>
      </c>
      <c r="T1673" s="1">
        <v>44833</v>
      </c>
      <c r="U1673">
        <v>96.08</v>
      </c>
      <c r="V1673">
        <v>96.08</v>
      </c>
    </row>
    <row r="1674" spans="1:22" x14ac:dyDescent="0.3">
      <c r="A1674" t="s">
        <v>3561</v>
      </c>
      <c r="B1674" t="s">
        <v>3562</v>
      </c>
      <c r="C1674" t="s">
        <v>13</v>
      </c>
      <c r="D1674" t="s">
        <v>3563</v>
      </c>
      <c r="E1674" t="s">
        <v>15</v>
      </c>
      <c r="J1674" s="1">
        <v>44923</v>
      </c>
      <c r="K1674">
        <v>1161</v>
      </c>
      <c r="L1674" t="s">
        <v>3794</v>
      </c>
      <c r="M1674">
        <v>9</v>
      </c>
      <c r="N1674" t="str">
        <f>VLOOKUP(M1674,[1]LOJA!$A:$B,2,0)</f>
        <v>ÚNICA</v>
      </c>
      <c r="O1674">
        <v>176</v>
      </c>
      <c r="P1674" t="str">
        <f>VLOOKUP(O1674,[1]OPERADORES!$A:$B,2,0)</f>
        <v>EDUARDO DE JESUS BALDUINO</v>
      </c>
      <c r="Q1674">
        <v>23</v>
      </c>
      <c r="R1674">
        <v>29078</v>
      </c>
      <c r="S1674" t="s">
        <v>55</v>
      </c>
      <c r="T1674" s="1">
        <v>44833</v>
      </c>
      <c r="U1674">
        <v>304.73</v>
      </c>
      <c r="V1674">
        <v>304.73</v>
      </c>
    </row>
    <row r="1675" spans="1:22" x14ac:dyDescent="0.3">
      <c r="A1675" t="s">
        <v>3561</v>
      </c>
      <c r="B1675" t="s">
        <v>3562</v>
      </c>
      <c r="C1675" t="s">
        <v>13</v>
      </c>
      <c r="D1675" t="s">
        <v>3563</v>
      </c>
      <c r="E1675" t="s">
        <v>15</v>
      </c>
      <c r="J1675" s="1">
        <v>44928</v>
      </c>
      <c r="K1675">
        <v>1156</v>
      </c>
      <c r="L1675" t="s">
        <v>3795</v>
      </c>
      <c r="M1675">
        <v>9</v>
      </c>
      <c r="N1675" t="str">
        <f>VLOOKUP(M1675,[1]LOJA!$A:$B,2,0)</f>
        <v>ÚNICA</v>
      </c>
      <c r="O1675">
        <v>176</v>
      </c>
      <c r="P1675" t="str">
        <f>VLOOKUP(O1675,[1]OPERADORES!$A:$B,2,0)</f>
        <v>EDUARDO DE JESUS BALDUINO</v>
      </c>
      <c r="Q1675">
        <v>23</v>
      </c>
      <c r="R1675">
        <v>30472</v>
      </c>
      <c r="S1675" t="s">
        <v>53</v>
      </c>
      <c r="T1675" s="1">
        <v>44868</v>
      </c>
      <c r="U1675">
        <v>533.6</v>
      </c>
      <c r="V1675">
        <v>533.6</v>
      </c>
    </row>
    <row r="1676" spans="1:22" x14ac:dyDescent="0.3">
      <c r="A1676" t="s">
        <v>3561</v>
      </c>
      <c r="B1676" t="s">
        <v>3562</v>
      </c>
      <c r="C1676" t="s">
        <v>13</v>
      </c>
      <c r="D1676" t="s">
        <v>3563</v>
      </c>
      <c r="E1676" t="s">
        <v>15</v>
      </c>
      <c r="J1676" s="1">
        <v>44930</v>
      </c>
      <c r="K1676">
        <v>1154</v>
      </c>
      <c r="L1676" t="s">
        <v>3796</v>
      </c>
      <c r="M1676">
        <v>9</v>
      </c>
      <c r="N1676" t="str">
        <f>VLOOKUP(M1676,[1]LOJA!$A:$B,2,0)</f>
        <v>ÚNICA</v>
      </c>
      <c r="O1676">
        <v>176</v>
      </c>
      <c r="P1676" t="str">
        <f>VLOOKUP(O1676,[1]OPERADORES!$A:$B,2,0)</f>
        <v>EDUARDO DE JESUS BALDUINO</v>
      </c>
      <c r="Q1676">
        <v>23</v>
      </c>
      <c r="R1676">
        <v>29367</v>
      </c>
      <c r="S1676" t="s">
        <v>55</v>
      </c>
      <c r="T1676" s="1">
        <v>44840</v>
      </c>
      <c r="U1676">
        <v>86.66</v>
      </c>
      <c r="V1676">
        <v>86.66</v>
      </c>
    </row>
    <row r="1677" spans="1:22" x14ac:dyDescent="0.3">
      <c r="A1677" t="s">
        <v>3561</v>
      </c>
      <c r="B1677" t="s">
        <v>3562</v>
      </c>
      <c r="C1677" t="s">
        <v>13</v>
      </c>
      <c r="D1677" t="s">
        <v>3563</v>
      </c>
      <c r="E1677" t="s">
        <v>15</v>
      </c>
      <c r="J1677" s="1">
        <v>44931</v>
      </c>
      <c r="K1677">
        <v>1153</v>
      </c>
      <c r="L1677" t="s">
        <v>3797</v>
      </c>
      <c r="M1677">
        <v>9</v>
      </c>
      <c r="N1677" t="str">
        <f>VLOOKUP(M1677,[1]LOJA!$A:$B,2,0)</f>
        <v>ÚNICA</v>
      </c>
      <c r="O1677">
        <v>176</v>
      </c>
      <c r="P1677" t="str">
        <f>VLOOKUP(O1677,[1]OPERADORES!$A:$B,2,0)</f>
        <v>EDUARDO DE JESUS BALDUINO</v>
      </c>
      <c r="Q1677">
        <v>23</v>
      </c>
      <c r="R1677">
        <v>29466</v>
      </c>
      <c r="S1677" t="s">
        <v>55</v>
      </c>
      <c r="T1677" s="1">
        <v>44841</v>
      </c>
      <c r="U1677">
        <v>67.08</v>
      </c>
      <c r="V1677">
        <v>67.08</v>
      </c>
    </row>
    <row r="1678" spans="1:22" x14ac:dyDescent="0.3">
      <c r="A1678" t="s">
        <v>3561</v>
      </c>
      <c r="B1678" t="s">
        <v>3562</v>
      </c>
      <c r="C1678" t="s">
        <v>13</v>
      </c>
      <c r="D1678" t="s">
        <v>3563</v>
      </c>
      <c r="E1678" t="s">
        <v>15</v>
      </c>
      <c r="J1678" s="1">
        <v>44934</v>
      </c>
      <c r="K1678">
        <v>1150</v>
      </c>
      <c r="L1678" t="s">
        <v>3798</v>
      </c>
      <c r="M1678">
        <v>9</v>
      </c>
      <c r="N1678" t="str">
        <f>VLOOKUP(M1678,[1]LOJA!$A:$B,2,0)</f>
        <v>ÚNICA</v>
      </c>
      <c r="O1678">
        <v>176</v>
      </c>
      <c r="P1678" t="str">
        <f>VLOOKUP(O1678,[1]OPERADORES!$A:$B,2,0)</f>
        <v>EDUARDO DE JESUS BALDUINO</v>
      </c>
      <c r="Q1678">
        <v>23</v>
      </c>
      <c r="R1678">
        <v>29516</v>
      </c>
      <c r="S1678" t="s">
        <v>55</v>
      </c>
      <c r="T1678" s="1">
        <v>44844</v>
      </c>
      <c r="U1678">
        <v>114.87</v>
      </c>
      <c r="V1678">
        <v>114.87</v>
      </c>
    </row>
    <row r="1679" spans="1:22" x14ac:dyDescent="0.3">
      <c r="A1679" t="s">
        <v>3561</v>
      </c>
      <c r="B1679" t="s">
        <v>3562</v>
      </c>
      <c r="C1679" t="s">
        <v>13</v>
      </c>
      <c r="D1679" t="s">
        <v>3563</v>
      </c>
      <c r="E1679" t="s">
        <v>15</v>
      </c>
      <c r="J1679" s="1">
        <v>44937</v>
      </c>
      <c r="K1679">
        <v>1147</v>
      </c>
      <c r="L1679" t="s">
        <v>3799</v>
      </c>
      <c r="M1679">
        <v>9</v>
      </c>
      <c r="N1679" t="str">
        <f>VLOOKUP(M1679,[1]LOJA!$A:$B,2,0)</f>
        <v>ÚNICA</v>
      </c>
      <c r="O1679">
        <v>176</v>
      </c>
      <c r="P1679" t="str">
        <f>VLOOKUP(O1679,[1]OPERADORES!$A:$B,2,0)</f>
        <v>EDUARDO DE JESUS BALDUINO</v>
      </c>
      <c r="Q1679">
        <v>23</v>
      </c>
      <c r="R1679">
        <v>29631</v>
      </c>
      <c r="S1679" t="s">
        <v>55</v>
      </c>
      <c r="T1679" s="1">
        <v>44847</v>
      </c>
      <c r="U1679">
        <v>132.84</v>
      </c>
      <c r="V1679">
        <v>132.84</v>
      </c>
    </row>
    <row r="1680" spans="1:22" x14ac:dyDescent="0.3">
      <c r="A1680" t="s">
        <v>3561</v>
      </c>
      <c r="B1680" t="s">
        <v>3562</v>
      </c>
      <c r="C1680" t="s">
        <v>13</v>
      </c>
      <c r="D1680" t="s">
        <v>3563</v>
      </c>
      <c r="E1680" t="s">
        <v>15</v>
      </c>
      <c r="J1680" s="1">
        <v>44937</v>
      </c>
      <c r="K1680">
        <v>1147</v>
      </c>
      <c r="L1680" t="s">
        <v>3800</v>
      </c>
      <c r="M1680">
        <v>9</v>
      </c>
      <c r="N1680" t="str">
        <f>VLOOKUP(M1680,[1]LOJA!$A:$B,2,0)</f>
        <v>ÚNICA</v>
      </c>
      <c r="O1680">
        <v>176</v>
      </c>
      <c r="P1680" t="str">
        <f>VLOOKUP(O1680,[1]OPERADORES!$A:$B,2,0)</f>
        <v>EDUARDO DE JESUS BALDUINO</v>
      </c>
      <c r="Q1680">
        <v>23</v>
      </c>
      <c r="R1680">
        <v>29664</v>
      </c>
      <c r="S1680" t="s">
        <v>55</v>
      </c>
      <c r="T1680" s="1">
        <v>44847</v>
      </c>
      <c r="U1680">
        <v>82.5</v>
      </c>
      <c r="V1680">
        <v>82.5</v>
      </c>
    </row>
    <row r="1681" spans="1:22" x14ac:dyDescent="0.3">
      <c r="A1681" t="s">
        <v>3561</v>
      </c>
      <c r="B1681" t="s">
        <v>3562</v>
      </c>
      <c r="C1681" t="s">
        <v>13</v>
      </c>
      <c r="D1681" t="s">
        <v>3563</v>
      </c>
      <c r="E1681" t="s">
        <v>15</v>
      </c>
      <c r="J1681" s="1">
        <v>44943</v>
      </c>
      <c r="K1681">
        <v>1141</v>
      </c>
      <c r="L1681" t="s">
        <v>3801</v>
      </c>
      <c r="M1681">
        <v>9</v>
      </c>
      <c r="N1681" t="str">
        <f>VLOOKUP(M1681,[1]LOJA!$A:$B,2,0)</f>
        <v>ÚNICA</v>
      </c>
      <c r="O1681">
        <v>176</v>
      </c>
      <c r="P1681" t="str">
        <f>VLOOKUP(O1681,[1]OPERADORES!$A:$B,2,0)</f>
        <v>EDUARDO DE JESUS BALDUINO</v>
      </c>
      <c r="Q1681">
        <v>23</v>
      </c>
      <c r="R1681">
        <v>29961</v>
      </c>
      <c r="S1681" t="s">
        <v>55</v>
      </c>
      <c r="T1681" s="1">
        <v>44853</v>
      </c>
      <c r="U1681">
        <v>151.79</v>
      </c>
      <c r="V1681">
        <v>151.79</v>
      </c>
    </row>
    <row r="1682" spans="1:22" x14ac:dyDescent="0.3">
      <c r="A1682" t="s">
        <v>3561</v>
      </c>
      <c r="B1682" t="s">
        <v>3562</v>
      </c>
      <c r="C1682" t="s">
        <v>13</v>
      </c>
      <c r="D1682" t="s">
        <v>3563</v>
      </c>
      <c r="E1682" t="s">
        <v>15</v>
      </c>
      <c r="J1682" s="1">
        <v>44944</v>
      </c>
      <c r="K1682">
        <v>1140</v>
      </c>
      <c r="L1682" t="s">
        <v>3802</v>
      </c>
      <c r="M1682">
        <v>9</v>
      </c>
      <c r="N1682" t="str">
        <f>VLOOKUP(M1682,[1]LOJA!$A:$B,2,0)</f>
        <v>ÚNICA</v>
      </c>
      <c r="O1682">
        <v>176</v>
      </c>
      <c r="P1682" t="str">
        <f>VLOOKUP(O1682,[1]OPERADORES!$A:$B,2,0)</f>
        <v>EDUARDO DE JESUS BALDUINO</v>
      </c>
      <c r="Q1682">
        <v>23</v>
      </c>
      <c r="R1682">
        <v>30068</v>
      </c>
      <c r="S1682" t="s">
        <v>55</v>
      </c>
      <c r="T1682" s="1">
        <v>44854</v>
      </c>
      <c r="U1682">
        <v>144.55000000000001</v>
      </c>
      <c r="V1682">
        <v>144.55000000000001</v>
      </c>
    </row>
    <row r="1683" spans="1:22" x14ac:dyDescent="0.3">
      <c r="A1683" t="s">
        <v>3561</v>
      </c>
      <c r="B1683" t="s">
        <v>3562</v>
      </c>
      <c r="C1683" t="s">
        <v>13</v>
      </c>
      <c r="D1683" t="s">
        <v>3563</v>
      </c>
      <c r="E1683" t="s">
        <v>15</v>
      </c>
      <c r="J1683" s="1">
        <v>44945</v>
      </c>
      <c r="K1683">
        <v>1139</v>
      </c>
      <c r="L1683" t="s">
        <v>3803</v>
      </c>
      <c r="M1683">
        <v>9</v>
      </c>
      <c r="N1683" t="str">
        <f>VLOOKUP(M1683,[1]LOJA!$A:$B,2,0)</f>
        <v>ÚNICA</v>
      </c>
      <c r="O1683">
        <v>176</v>
      </c>
      <c r="P1683" t="str">
        <f>VLOOKUP(O1683,[1]OPERADORES!$A:$B,2,0)</f>
        <v>EDUARDO DE JESUS BALDUINO</v>
      </c>
      <c r="Q1683">
        <v>23</v>
      </c>
      <c r="R1683">
        <v>30126</v>
      </c>
      <c r="S1683" t="s">
        <v>55</v>
      </c>
      <c r="T1683" s="1">
        <v>44855</v>
      </c>
      <c r="U1683">
        <v>171</v>
      </c>
      <c r="V1683">
        <v>171</v>
      </c>
    </row>
    <row r="1684" spans="1:22" x14ac:dyDescent="0.3">
      <c r="A1684" t="s">
        <v>3561</v>
      </c>
      <c r="B1684" t="s">
        <v>3562</v>
      </c>
      <c r="C1684" t="s">
        <v>13</v>
      </c>
      <c r="D1684" t="s">
        <v>3563</v>
      </c>
      <c r="E1684" t="s">
        <v>15</v>
      </c>
      <c r="J1684" s="1">
        <v>44952</v>
      </c>
      <c r="K1684">
        <v>1132</v>
      </c>
      <c r="L1684" t="s">
        <v>3804</v>
      </c>
      <c r="M1684">
        <v>9</v>
      </c>
      <c r="N1684" t="str">
        <f>VLOOKUP(M1684,[1]LOJA!$A:$B,2,0)</f>
        <v>ÚNICA</v>
      </c>
      <c r="O1684">
        <v>176</v>
      </c>
      <c r="P1684" t="str">
        <f>VLOOKUP(O1684,[1]OPERADORES!$A:$B,2,0)</f>
        <v>EDUARDO DE JESUS BALDUINO</v>
      </c>
      <c r="Q1684">
        <v>23</v>
      </c>
      <c r="R1684">
        <v>30332</v>
      </c>
      <c r="S1684" t="s">
        <v>55</v>
      </c>
      <c r="T1684" s="1">
        <v>44862</v>
      </c>
      <c r="U1684">
        <v>183.03</v>
      </c>
      <c r="V1684">
        <v>183.03</v>
      </c>
    </row>
    <row r="1685" spans="1:22" x14ac:dyDescent="0.3">
      <c r="A1685" t="s">
        <v>3561</v>
      </c>
      <c r="B1685" t="s">
        <v>3562</v>
      </c>
      <c r="C1685" t="s">
        <v>13</v>
      </c>
      <c r="D1685" t="s">
        <v>3563</v>
      </c>
      <c r="E1685" t="s">
        <v>15</v>
      </c>
      <c r="J1685" s="1">
        <v>44958</v>
      </c>
      <c r="K1685">
        <v>1126</v>
      </c>
      <c r="L1685" t="s">
        <v>3805</v>
      </c>
      <c r="M1685">
        <v>9</v>
      </c>
      <c r="N1685" t="str">
        <f>VLOOKUP(M1685,[1]LOJA!$A:$B,2,0)</f>
        <v>ÚNICA</v>
      </c>
      <c r="O1685">
        <v>176</v>
      </c>
      <c r="P1685" t="str">
        <f>VLOOKUP(O1685,[1]OPERADORES!$A:$B,2,0)</f>
        <v>EDUARDO DE JESUS BALDUINO</v>
      </c>
      <c r="Q1685">
        <v>23</v>
      </c>
      <c r="R1685">
        <v>30480</v>
      </c>
      <c r="S1685" t="s">
        <v>55</v>
      </c>
      <c r="T1685" s="1">
        <v>44868</v>
      </c>
      <c r="U1685">
        <v>533.6</v>
      </c>
      <c r="V1685">
        <v>533.6</v>
      </c>
    </row>
    <row r="1686" spans="1:22" x14ac:dyDescent="0.3">
      <c r="A1686" t="s">
        <v>3561</v>
      </c>
      <c r="B1686" t="s">
        <v>3562</v>
      </c>
      <c r="C1686" t="s">
        <v>13</v>
      </c>
      <c r="D1686" t="s">
        <v>3563</v>
      </c>
      <c r="E1686" t="s">
        <v>15</v>
      </c>
      <c r="J1686" s="1">
        <v>45210</v>
      </c>
      <c r="K1686">
        <v>874</v>
      </c>
      <c r="L1686" t="s">
        <v>3806</v>
      </c>
      <c r="M1686">
        <v>9</v>
      </c>
      <c r="N1686" t="str">
        <f>VLOOKUP(M1686,[1]LOJA!$A:$B,2,0)</f>
        <v>ÚNICA</v>
      </c>
      <c r="O1686">
        <v>176</v>
      </c>
      <c r="P1686" t="str">
        <f>VLOOKUP(O1686,[1]OPERADORES!$A:$B,2,0)</f>
        <v>EDUARDO DE JESUS BALDUINO</v>
      </c>
      <c r="S1686" t="s">
        <v>3807</v>
      </c>
      <c r="T1686" s="1">
        <v>45180</v>
      </c>
      <c r="U1686">
        <v>-129.74</v>
      </c>
      <c r="V1686">
        <v>-129.74</v>
      </c>
    </row>
    <row r="1687" spans="1:22" x14ac:dyDescent="0.3">
      <c r="A1687" t="s">
        <v>3561</v>
      </c>
      <c r="B1687" t="s">
        <v>3562</v>
      </c>
      <c r="C1687" t="s">
        <v>13</v>
      </c>
      <c r="D1687" t="s">
        <v>3563</v>
      </c>
      <c r="E1687" t="s">
        <v>15</v>
      </c>
      <c r="J1687" s="1">
        <v>45217</v>
      </c>
      <c r="K1687">
        <v>867</v>
      </c>
      <c r="L1687" t="s">
        <v>2907</v>
      </c>
      <c r="M1687">
        <v>9</v>
      </c>
      <c r="N1687" t="str">
        <f>VLOOKUP(M1687,[1]LOJA!$A:$B,2,0)</f>
        <v>ÚNICA</v>
      </c>
      <c r="O1687">
        <v>84</v>
      </c>
      <c r="P1687" t="str">
        <f>VLOOKUP(O1687,[1]OPERADORES!$A:$B,2,0)</f>
        <v>JEICY AZEVEDO</v>
      </c>
      <c r="Q1687">
        <v>4</v>
      </c>
      <c r="S1687" t="s">
        <v>3808</v>
      </c>
      <c r="T1687" s="1">
        <v>45217</v>
      </c>
      <c r="U1687">
        <v>-146.15</v>
      </c>
      <c r="V1687">
        <v>-146.15</v>
      </c>
    </row>
    <row r="1688" spans="1:22" x14ac:dyDescent="0.3">
      <c r="A1688" t="s">
        <v>3561</v>
      </c>
      <c r="B1688" t="s">
        <v>3562</v>
      </c>
      <c r="C1688" t="s">
        <v>13</v>
      </c>
      <c r="D1688" t="s">
        <v>3563</v>
      </c>
      <c r="E1688" t="s">
        <v>15</v>
      </c>
      <c r="J1688" s="1">
        <v>45278</v>
      </c>
      <c r="K1688">
        <v>806</v>
      </c>
      <c r="L1688" t="s">
        <v>881</v>
      </c>
      <c r="M1688">
        <v>9</v>
      </c>
      <c r="N1688" t="str">
        <f>VLOOKUP(M1688,[1]LOJA!$A:$B,2,0)</f>
        <v>ÚNICA</v>
      </c>
      <c r="O1688">
        <v>144</v>
      </c>
      <c r="P1688" t="str">
        <f>VLOOKUP(O1688,[1]OPERADORES!$A:$B,2,0)</f>
        <v>CINTIA DA SILVA CARLOS</v>
      </c>
      <c r="Q1688">
        <v>10</v>
      </c>
      <c r="S1688" t="s">
        <v>3809</v>
      </c>
      <c r="T1688" s="1">
        <v>45278</v>
      </c>
      <c r="U1688">
        <v>-2.2999999999999998</v>
      </c>
      <c r="V1688">
        <v>-2.2999999999999998</v>
      </c>
    </row>
    <row r="1689" spans="1:22" x14ac:dyDescent="0.3">
      <c r="A1689" t="s">
        <v>3561</v>
      </c>
      <c r="B1689" t="s">
        <v>3562</v>
      </c>
      <c r="C1689" t="s">
        <v>13</v>
      </c>
      <c r="D1689" t="s">
        <v>3563</v>
      </c>
      <c r="E1689" t="s">
        <v>15</v>
      </c>
      <c r="J1689" s="1">
        <v>45304</v>
      </c>
      <c r="K1689">
        <v>780</v>
      </c>
      <c r="L1689" t="s">
        <v>3810</v>
      </c>
      <c r="M1689">
        <v>9</v>
      </c>
      <c r="N1689" t="str">
        <f>VLOOKUP(M1689,[1]LOJA!$A:$B,2,0)</f>
        <v>ÚNICA</v>
      </c>
      <c r="O1689">
        <v>131</v>
      </c>
      <c r="P1689" t="str">
        <f>VLOOKUP(O1689,[1]OPERADORES!$A:$B,2,0)</f>
        <v>MARTILIANA MERIAM LOPES CARDOS</v>
      </c>
      <c r="S1689" t="s">
        <v>3811</v>
      </c>
      <c r="T1689" s="1">
        <v>45274</v>
      </c>
      <c r="U1689">
        <v>-76.209999999999994</v>
      </c>
      <c r="V1689">
        <v>-76.209999999999994</v>
      </c>
    </row>
    <row r="1690" spans="1:22" x14ac:dyDescent="0.3">
      <c r="A1690" t="s">
        <v>3561</v>
      </c>
      <c r="B1690" t="s">
        <v>3562</v>
      </c>
      <c r="C1690" t="s">
        <v>13</v>
      </c>
      <c r="D1690" t="s">
        <v>3563</v>
      </c>
      <c r="E1690" t="s">
        <v>15</v>
      </c>
      <c r="J1690" s="1">
        <v>45607</v>
      </c>
      <c r="K1690">
        <v>477</v>
      </c>
      <c r="L1690" t="s">
        <v>3812</v>
      </c>
      <c r="M1690">
        <v>9</v>
      </c>
      <c r="N1690" t="str">
        <f>VLOOKUP(M1690,[1]LOJA!$A:$B,2,0)</f>
        <v>ÚNICA</v>
      </c>
      <c r="O1690">
        <v>84</v>
      </c>
      <c r="P1690" t="str">
        <f>VLOOKUP(O1690,[1]OPERADORES!$A:$B,2,0)</f>
        <v>JEICY AZEVEDO</v>
      </c>
      <c r="Q1690">
        <v>4</v>
      </c>
      <c r="S1690" t="s">
        <v>3813</v>
      </c>
      <c r="T1690" s="1">
        <v>45607</v>
      </c>
      <c r="U1690">
        <v>-0.03</v>
      </c>
      <c r="V1690">
        <v>-0.03</v>
      </c>
    </row>
    <row r="1691" spans="1:22" x14ac:dyDescent="0.3">
      <c r="A1691" t="s">
        <v>3561</v>
      </c>
      <c r="B1691" t="s">
        <v>3562</v>
      </c>
      <c r="C1691" t="s">
        <v>13</v>
      </c>
      <c r="D1691" t="s">
        <v>3563</v>
      </c>
      <c r="E1691" t="s">
        <v>15</v>
      </c>
      <c r="J1691" s="1">
        <v>45609</v>
      </c>
      <c r="K1691">
        <v>475</v>
      </c>
      <c r="L1691" t="s">
        <v>3814</v>
      </c>
      <c r="M1691">
        <v>9</v>
      </c>
      <c r="N1691" t="str">
        <f>VLOOKUP(M1691,[1]LOJA!$A:$B,2,0)</f>
        <v>ÚNICA</v>
      </c>
      <c r="O1691">
        <v>144</v>
      </c>
      <c r="P1691" t="str">
        <f>VLOOKUP(O1691,[1]OPERADORES!$A:$B,2,0)</f>
        <v>CINTIA DA SILVA CARLOS</v>
      </c>
      <c r="Q1691">
        <v>4</v>
      </c>
      <c r="S1691" t="s">
        <v>3809</v>
      </c>
      <c r="T1691" s="1">
        <v>45609</v>
      </c>
      <c r="U1691">
        <v>-11.02</v>
      </c>
      <c r="V1691">
        <v>-11.02</v>
      </c>
    </row>
    <row r="1692" spans="1:22" x14ac:dyDescent="0.3">
      <c r="A1692" t="s">
        <v>3561</v>
      </c>
      <c r="B1692" t="s">
        <v>3562</v>
      </c>
      <c r="C1692" t="s">
        <v>13</v>
      </c>
      <c r="D1692" t="s">
        <v>3563</v>
      </c>
      <c r="E1692" t="s">
        <v>15</v>
      </c>
      <c r="J1692" s="1">
        <v>45652</v>
      </c>
      <c r="K1692">
        <v>432</v>
      </c>
      <c r="L1692" t="s">
        <v>543</v>
      </c>
      <c r="M1692">
        <v>9</v>
      </c>
      <c r="N1692" t="str">
        <f>VLOOKUP(M1692,[1]LOJA!$A:$B,2,0)</f>
        <v>ÚNICA</v>
      </c>
      <c r="O1692">
        <v>84</v>
      </c>
      <c r="P1692" t="str">
        <f>VLOOKUP(O1692,[1]OPERADORES!$A:$B,2,0)</f>
        <v>JEICY AZEVEDO</v>
      </c>
      <c r="Q1692">
        <v>4</v>
      </c>
      <c r="S1692" t="s">
        <v>3815</v>
      </c>
      <c r="T1692" s="1">
        <v>45652</v>
      </c>
      <c r="U1692">
        <v>-0.47</v>
      </c>
      <c r="V1692">
        <v>-0.47</v>
      </c>
    </row>
    <row r="1693" spans="1:22" x14ac:dyDescent="0.3">
      <c r="A1693" t="s">
        <v>3816</v>
      </c>
      <c r="B1693" t="s">
        <v>3817</v>
      </c>
      <c r="C1693" t="s">
        <v>13</v>
      </c>
      <c r="D1693" t="s">
        <v>3468</v>
      </c>
      <c r="E1693" t="s">
        <v>15</v>
      </c>
      <c r="J1693" s="1">
        <v>45275</v>
      </c>
      <c r="K1693">
        <v>809</v>
      </c>
      <c r="L1693" t="s">
        <v>3818</v>
      </c>
      <c r="M1693">
        <v>9</v>
      </c>
      <c r="N1693" t="str">
        <f>VLOOKUP(M1693,[1]LOJA!$A:$B,2,0)</f>
        <v>ÚNICA</v>
      </c>
      <c r="O1693">
        <v>144</v>
      </c>
      <c r="P1693" t="str">
        <f>VLOOKUP(O1693,[1]OPERADORES!$A:$B,2,0)</f>
        <v>CINTIA DA SILVA CARLOS</v>
      </c>
      <c r="Q1693">
        <v>4</v>
      </c>
      <c r="S1693" t="s">
        <v>3819</v>
      </c>
      <c r="T1693" s="1">
        <v>45275</v>
      </c>
      <c r="U1693">
        <v>-0.37</v>
      </c>
      <c r="V1693">
        <v>-0.37</v>
      </c>
    </row>
    <row r="1694" spans="1:22" x14ac:dyDescent="0.3">
      <c r="A1694" t="s">
        <v>5974</v>
      </c>
      <c r="B1694" t="s">
        <v>5975</v>
      </c>
      <c r="C1694" t="s">
        <v>43</v>
      </c>
      <c r="D1694" t="s">
        <v>5976</v>
      </c>
      <c r="E1694" t="s">
        <v>15</v>
      </c>
      <c r="J1694" s="1">
        <v>46080</v>
      </c>
      <c r="K1694">
        <v>4</v>
      </c>
      <c r="L1694" t="s">
        <v>5977</v>
      </c>
      <c r="M1694">
        <v>22</v>
      </c>
      <c r="N1694" t="str">
        <f>VLOOKUP(M1694,[1]LOJA!$A:$B,2,0)</f>
        <v>GUARÁ</v>
      </c>
      <c r="O1694">
        <v>93</v>
      </c>
      <c r="P1694" t="str">
        <f>VLOOKUP(O1694,[1]OPERADORES!$A:$B,2,0)</f>
        <v>PATRICIA</v>
      </c>
      <c r="Q1694">
        <v>27</v>
      </c>
      <c r="R1694">
        <v>1000020270</v>
      </c>
      <c r="S1694" t="s">
        <v>87</v>
      </c>
      <c r="T1694" s="1">
        <v>46050</v>
      </c>
      <c r="U1694">
        <v>231.7</v>
      </c>
      <c r="V1694">
        <v>231.7</v>
      </c>
    </row>
    <row r="1695" spans="1:22" x14ac:dyDescent="0.3">
      <c r="A1695" t="s">
        <v>3820</v>
      </c>
      <c r="B1695" t="s">
        <v>3821</v>
      </c>
      <c r="C1695" t="s">
        <v>13</v>
      </c>
      <c r="D1695" t="s">
        <v>3822</v>
      </c>
      <c r="E1695" t="s">
        <v>15</v>
      </c>
      <c r="J1695" s="1">
        <v>44422</v>
      </c>
      <c r="K1695">
        <v>1662</v>
      </c>
      <c r="L1695" t="s">
        <v>3823</v>
      </c>
      <c r="M1695">
        <v>14</v>
      </c>
      <c r="N1695" t="str">
        <f>VLOOKUP(M1695,[1]LOJA!$A:$B,2,0)</f>
        <v>S IA</v>
      </c>
      <c r="O1695">
        <v>54</v>
      </c>
      <c r="P1695" t="str">
        <f>VLOOKUP(O1695,[1]OPERADORES!$A:$B,2,0)</f>
        <v>ROBSON</v>
      </c>
      <c r="Q1695">
        <v>7</v>
      </c>
      <c r="S1695" t="s">
        <v>87</v>
      </c>
      <c r="T1695" s="1">
        <v>44421</v>
      </c>
      <c r="U1695">
        <v>42</v>
      </c>
      <c r="V1695">
        <v>42</v>
      </c>
    </row>
    <row r="1696" spans="1:22" x14ac:dyDescent="0.3">
      <c r="A1696" t="s">
        <v>3825</v>
      </c>
      <c r="B1696" t="s">
        <v>3826</v>
      </c>
      <c r="C1696" t="s">
        <v>13</v>
      </c>
      <c r="D1696" t="s">
        <v>5978</v>
      </c>
      <c r="E1696" t="s">
        <v>15</v>
      </c>
      <c r="J1696" s="1">
        <v>46052</v>
      </c>
      <c r="K1696">
        <v>32</v>
      </c>
      <c r="L1696" t="s">
        <v>3827</v>
      </c>
      <c r="M1696">
        <v>14</v>
      </c>
      <c r="N1696" t="str">
        <f>VLOOKUP(M1696,[1]LOJA!$A:$B,2,0)</f>
        <v>S IA</v>
      </c>
      <c r="O1696">
        <v>207</v>
      </c>
      <c r="P1696" t="str">
        <f>VLOOKUP(O1696,[1]OPERADORES!$A:$B,2,0)</f>
        <v>KETILE SABRINE</v>
      </c>
      <c r="Q1696">
        <v>4</v>
      </c>
      <c r="S1696" t="s">
        <v>3828</v>
      </c>
      <c r="T1696" s="1">
        <v>46052</v>
      </c>
      <c r="U1696">
        <v>-3.55</v>
      </c>
      <c r="V1696">
        <v>-3.55</v>
      </c>
    </row>
    <row r="1697" spans="1:22" x14ac:dyDescent="0.3">
      <c r="A1697" t="s">
        <v>3829</v>
      </c>
      <c r="B1697" t="s">
        <v>3830</v>
      </c>
      <c r="C1697" t="s">
        <v>13</v>
      </c>
      <c r="D1697" t="s">
        <v>137</v>
      </c>
      <c r="E1697" t="s">
        <v>15</v>
      </c>
      <c r="J1697" s="1">
        <v>45938</v>
      </c>
      <c r="K1697">
        <v>146</v>
      </c>
      <c r="L1697" t="s">
        <v>3831</v>
      </c>
      <c r="M1697">
        <v>13</v>
      </c>
      <c r="N1697" t="str">
        <f>VLOOKUP(M1697,[1]LOJA!$A:$B,2,0)</f>
        <v>CEILÂNDIA</v>
      </c>
      <c r="O1697">
        <v>67</v>
      </c>
      <c r="P1697" t="str">
        <f>VLOOKUP(O1697,[1]OPERADORES!$A:$B,2,0)</f>
        <v>ERIKA</v>
      </c>
      <c r="Q1697">
        <v>4</v>
      </c>
      <c r="S1697" t="s">
        <v>3832</v>
      </c>
      <c r="T1697" s="1">
        <v>45938</v>
      </c>
      <c r="U1697">
        <v>-0.1</v>
      </c>
      <c r="V1697">
        <v>-0.1</v>
      </c>
    </row>
    <row r="1698" spans="1:22" x14ac:dyDescent="0.3">
      <c r="A1698" t="s">
        <v>3833</v>
      </c>
      <c r="B1698" t="s">
        <v>2601</v>
      </c>
      <c r="C1698" t="s">
        <v>848</v>
      </c>
      <c r="D1698" t="s">
        <v>5979</v>
      </c>
      <c r="E1698" t="s">
        <v>15</v>
      </c>
      <c r="J1698" s="1">
        <v>45810</v>
      </c>
      <c r="K1698">
        <v>274</v>
      </c>
      <c r="L1698" t="s">
        <v>3834</v>
      </c>
      <c r="M1698">
        <v>8</v>
      </c>
      <c r="N1698" t="str">
        <f>VLOOKUP(M1698,[1]LOJA!$A:$B,2,0)</f>
        <v>LUZIÂNIA</v>
      </c>
      <c r="O1698">
        <v>170</v>
      </c>
      <c r="P1698" t="str">
        <f>VLOOKUP(O1698,[1]OPERADORES!$A:$B,2,0)</f>
        <v>MARIA LUISA</v>
      </c>
      <c r="Q1698">
        <v>4</v>
      </c>
      <c r="S1698" t="s">
        <v>3835</v>
      </c>
      <c r="T1698" s="1">
        <v>45810</v>
      </c>
      <c r="U1698">
        <v>-0.01</v>
      </c>
      <c r="V1698">
        <v>-0.01</v>
      </c>
    </row>
    <row r="1699" spans="1:22" x14ac:dyDescent="0.3">
      <c r="A1699" t="s">
        <v>3833</v>
      </c>
      <c r="B1699" t="s">
        <v>2601</v>
      </c>
      <c r="C1699" t="s">
        <v>848</v>
      </c>
      <c r="D1699" t="s">
        <v>5979</v>
      </c>
      <c r="E1699" t="s">
        <v>15</v>
      </c>
      <c r="J1699" s="1">
        <v>45959</v>
      </c>
      <c r="K1699">
        <v>125</v>
      </c>
      <c r="L1699" t="s">
        <v>3836</v>
      </c>
      <c r="M1699">
        <v>24</v>
      </c>
      <c r="N1699" t="str">
        <f>VLOOKUP(M1699,[1]LOJA!$A:$B,2,0)</f>
        <v>LUZIÂNIA</v>
      </c>
      <c r="O1699">
        <v>244</v>
      </c>
      <c r="P1699" t="str">
        <f>VLOOKUP(O1699,[1]OPERADORES!$A:$B,2,0)</f>
        <v>NATHALIA PEREIRA DA SILVA</v>
      </c>
      <c r="Q1699">
        <v>4</v>
      </c>
      <c r="S1699" t="s">
        <v>3837</v>
      </c>
      <c r="T1699" s="1">
        <v>45959</v>
      </c>
      <c r="U1699">
        <v>-76.819999999999993</v>
      </c>
      <c r="V1699">
        <v>-76.819999999999993</v>
      </c>
    </row>
    <row r="1700" spans="1:22" x14ac:dyDescent="0.3">
      <c r="A1700" t="s">
        <v>3838</v>
      </c>
      <c r="B1700" t="s">
        <v>3839</v>
      </c>
      <c r="C1700" t="s">
        <v>13</v>
      </c>
      <c r="D1700" t="s">
        <v>1711</v>
      </c>
      <c r="E1700" t="s">
        <v>15</v>
      </c>
      <c r="J1700" s="1">
        <v>46010</v>
      </c>
      <c r="K1700">
        <v>74</v>
      </c>
      <c r="L1700" t="s">
        <v>3840</v>
      </c>
      <c r="M1700">
        <v>4</v>
      </c>
      <c r="N1700" t="str">
        <f>VLOOKUP(M1700,[1]LOJA!$A:$B,2,0)</f>
        <v>ADE</v>
      </c>
      <c r="O1700">
        <v>226</v>
      </c>
      <c r="P1700" t="str">
        <f>VLOOKUP(O1700,[1]OPERADORES!$A:$B,2,0)</f>
        <v>MARIA FÉLIX</v>
      </c>
      <c r="Q1700">
        <v>4</v>
      </c>
      <c r="S1700" t="s">
        <v>3841</v>
      </c>
      <c r="T1700" s="1">
        <v>46010</v>
      </c>
      <c r="U1700">
        <v>-0.49</v>
      </c>
      <c r="V1700">
        <v>-0.49</v>
      </c>
    </row>
    <row r="1701" spans="1:22" x14ac:dyDescent="0.3">
      <c r="A1701" t="s">
        <v>3842</v>
      </c>
      <c r="B1701" t="s">
        <v>3843</v>
      </c>
      <c r="C1701" t="s">
        <v>1238</v>
      </c>
      <c r="D1701" t="s">
        <v>3844</v>
      </c>
      <c r="E1701" t="s">
        <v>15</v>
      </c>
      <c r="J1701" s="1">
        <v>45007</v>
      </c>
      <c r="K1701">
        <v>1077</v>
      </c>
      <c r="L1701" t="s">
        <v>3845</v>
      </c>
      <c r="M1701">
        <v>9</v>
      </c>
      <c r="N1701" t="str">
        <f>VLOOKUP(M1701,[1]LOJA!$A:$B,2,0)</f>
        <v>ÚNICA</v>
      </c>
      <c r="O1701">
        <v>145</v>
      </c>
      <c r="P1701" t="str">
        <f>VLOOKUP(O1701,[1]OPERADORES!$A:$B,2,0)</f>
        <v xml:space="preserve">FABRICIA </v>
      </c>
      <c r="Q1701">
        <v>23</v>
      </c>
      <c r="R1701">
        <v>36149</v>
      </c>
      <c r="S1701" t="s">
        <v>1445</v>
      </c>
      <c r="T1701" s="1">
        <v>44992</v>
      </c>
      <c r="U1701" s="2">
        <v>1738.33</v>
      </c>
      <c r="V1701" s="2">
        <v>1738.33</v>
      </c>
    </row>
    <row r="1702" spans="1:22" x14ac:dyDescent="0.3">
      <c r="A1702" t="s">
        <v>3842</v>
      </c>
      <c r="B1702" t="s">
        <v>3843</v>
      </c>
      <c r="C1702" t="s">
        <v>1238</v>
      </c>
      <c r="D1702" t="s">
        <v>3844</v>
      </c>
      <c r="E1702" t="s">
        <v>15</v>
      </c>
      <c r="J1702" s="1">
        <v>45013</v>
      </c>
      <c r="K1702">
        <v>1071</v>
      </c>
      <c r="L1702" t="s">
        <v>3846</v>
      </c>
      <c r="M1702">
        <v>9</v>
      </c>
      <c r="N1702" t="str">
        <f>VLOOKUP(M1702,[1]LOJA!$A:$B,2,0)</f>
        <v>ÚNICA</v>
      </c>
      <c r="O1702">
        <v>145</v>
      </c>
      <c r="P1702" t="str">
        <f>VLOOKUP(O1702,[1]OPERADORES!$A:$B,2,0)</f>
        <v xml:space="preserve">FABRICIA </v>
      </c>
      <c r="Q1702">
        <v>23</v>
      </c>
      <c r="R1702">
        <v>35596</v>
      </c>
      <c r="S1702" t="s">
        <v>51</v>
      </c>
      <c r="T1702" s="1">
        <v>44985</v>
      </c>
      <c r="U1702">
        <v>987.57</v>
      </c>
      <c r="V1702">
        <v>987.57</v>
      </c>
    </row>
    <row r="1703" spans="1:22" x14ac:dyDescent="0.3">
      <c r="A1703" t="s">
        <v>3842</v>
      </c>
      <c r="B1703" t="s">
        <v>3843</v>
      </c>
      <c r="C1703" t="s">
        <v>1238</v>
      </c>
      <c r="D1703" t="s">
        <v>3844</v>
      </c>
      <c r="E1703" t="s">
        <v>15</v>
      </c>
      <c r="J1703" s="1">
        <v>45022</v>
      </c>
      <c r="K1703">
        <v>1062</v>
      </c>
      <c r="L1703" t="s">
        <v>3847</v>
      </c>
      <c r="M1703">
        <v>9</v>
      </c>
      <c r="N1703" t="str">
        <f>VLOOKUP(M1703,[1]LOJA!$A:$B,2,0)</f>
        <v>ÚNICA</v>
      </c>
      <c r="O1703">
        <v>145</v>
      </c>
      <c r="P1703" t="str">
        <f>VLOOKUP(O1703,[1]OPERADORES!$A:$B,2,0)</f>
        <v xml:space="preserve">FABRICIA </v>
      </c>
      <c r="Q1703">
        <v>23</v>
      </c>
      <c r="R1703">
        <v>36156</v>
      </c>
      <c r="S1703" t="s">
        <v>46</v>
      </c>
      <c r="T1703" s="1">
        <v>44992</v>
      </c>
      <c r="U1703" s="2">
        <v>1738.33</v>
      </c>
      <c r="V1703" s="2">
        <v>1738.33</v>
      </c>
    </row>
    <row r="1704" spans="1:22" x14ac:dyDescent="0.3">
      <c r="A1704" t="s">
        <v>3842</v>
      </c>
      <c r="B1704" t="s">
        <v>3843</v>
      </c>
      <c r="C1704" t="s">
        <v>1238</v>
      </c>
      <c r="D1704" t="s">
        <v>3844</v>
      </c>
      <c r="E1704" t="s">
        <v>15</v>
      </c>
      <c r="J1704" s="1">
        <v>45025</v>
      </c>
      <c r="K1704">
        <v>1059</v>
      </c>
      <c r="L1704" t="s">
        <v>3848</v>
      </c>
      <c r="M1704">
        <v>9</v>
      </c>
      <c r="N1704" t="str">
        <f>VLOOKUP(M1704,[1]LOJA!$A:$B,2,0)</f>
        <v>ÚNICA</v>
      </c>
      <c r="O1704">
        <v>145</v>
      </c>
      <c r="P1704" t="str">
        <f>VLOOKUP(O1704,[1]OPERADORES!$A:$B,2,0)</f>
        <v xml:space="preserve">FABRICIA </v>
      </c>
      <c r="Q1704">
        <v>23</v>
      </c>
      <c r="R1704">
        <v>36511</v>
      </c>
      <c r="S1704" t="s">
        <v>87</v>
      </c>
      <c r="T1704" s="1">
        <v>44995</v>
      </c>
      <c r="U1704" s="2">
        <v>3575.83</v>
      </c>
      <c r="V1704" s="2">
        <v>3575.83</v>
      </c>
    </row>
    <row r="1705" spans="1:22" x14ac:dyDescent="0.3">
      <c r="A1705" t="s">
        <v>3842</v>
      </c>
      <c r="B1705" t="s">
        <v>3843</v>
      </c>
      <c r="C1705" t="s">
        <v>1238</v>
      </c>
      <c r="D1705" t="s">
        <v>3844</v>
      </c>
      <c r="E1705" t="s">
        <v>15</v>
      </c>
      <c r="J1705" s="1">
        <v>45027</v>
      </c>
      <c r="K1705">
        <v>1057</v>
      </c>
      <c r="L1705" t="s">
        <v>3849</v>
      </c>
      <c r="M1705">
        <v>9</v>
      </c>
      <c r="N1705" t="str">
        <f>VLOOKUP(M1705,[1]LOJA!$A:$B,2,0)</f>
        <v>ÚNICA</v>
      </c>
      <c r="O1705">
        <v>145</v>
      </c>
      <c r="P1705" t="str">
        <f>VLOOKUP(O1705,[1]OPERADORES!$A:$B,2,0)</f>
        <v xml:space="preserve">FABRICIA </v>
      </c>
      <c r="Q1705">
        <v>23</v>
      </c>
      <c r="R1705">
        <v>35604</v>
      </c>
      <c r="S1705" t="s">
        <v>53</v>
      </c>
      <c r="T1705" s="1">
        <v>44985</v>
      </c>
      <c r="U1705">
        <v>987.57</v>
      </c>
      <c r="V1705">
        <v>987.57</v>
      </c>
    </row>
    <row r="1706" spans="1:22" x14ac:dyDescent="0.3">
      <c r="A1706" t="s">
        <v>3842</v>
      </c>
      <c r="B1706" t="s">
        <v>3843</v>
      </c>
      <c r="C1706" t="s">
        <v>1238</v>
      </c>
      <c r="D1706" t="s">
        <v>3844</v>
      </c>
      <c r="E1706" t="s">
        <v>15</v>
      </c>
      <c r="J1706" s="1">
        <v>45029</v>
      </c>
      <c r="K1706">
        <v>1055</v>
      </c>
      <c r="L1706" t="s">
        <v>3850</v>
      </c>
      <c r="M1706">
        <v>9</v>
      </c>
      <c r="N1706" t="str">
        <f>VLOOKUP(M1706,[1]LOJA!$A:$B,2,0)</f>
        <v>ÚNICA</v>
      </c>
      <c r="O1706">
        <v>145</v>
      </c>
      <c r="P1706" t="str">
        <f>VLOOKUP(O1706,[1]OPERADORES!$A:$B,2,0)</f>
        <v xml:space="preserve">FABRICIA </v>
      </c>
      <c r="Q1706">
        <v>23</v>
      </c>
      <c r="R1706">
        <v>36594</v>
      </c>
      <c r="S1706" t="s">
        <v>51</v>
      </c>
      <c r="T1706" s="1">
        <v>44999</v>
      </c>
      <c r="U1706" s="2">
        <v>2174.4499999999998</v>
      </c>
      <c r="V1706" s="2">
        <v>2174.4499999999998</v>
      </c>
    </row>
    <row r="1707" spans="1:22" x14ac:dyDescent="0.3">
      <c r="A1707" t="s">
        <v>3842</v>
      </c>
      <c r="B1707" t="s">
        <v>3843</v>
      </c>
      <c r="C1707" t="s">
        <v>1238</v>
      </c>
      <c r="D1707" t="s">
        <v>3844</v>
      </c>
      <c r="E1707" t="s">
        <v>15</v>
      </c>
      <c r="J1707" s="1">
        <v>45041</v>
      </c>
      <c r="K1707">
        <v>1043</v>
      </c>
      <c r="L1707" t="s">
        <v>3851</v>
      </c>
      <c r="M1707">
        <v>9</v>
      </c>
      <c r="N1707" t="str">
        <f>VLOOKUP(M1707,[1]LOJA!$A:$B,2,0)</f>
        <v>ÚNICA</v>
      </c>
      <c r="O1707">
        <v>145</v>
      </c>
      <c r="P1707" t="str">
        <f>VLOOKUP(O1707,[1]OPERADORES!$A:$B,2,0)</f>
        <v xml:space="preserve">FABRICIA </v>
      </c>
      <c r="Q1707">
        <v>23</v>
      </c>
      <c r="R1707">
        <v>35612</v>
      </c>
      <c r="S1707" t="s">
        <v>55</v>
      </c>
      <c r="T1707" s="1">
        <v>44985</v>
      </c>
      <c r="U1707">
        <v>987.57</v>
      </c>
      <c r="V1707">
        <v>987.57</v>
      </c>
    </row>
    <row r="1708" spans="1:22" x14ac:dyDescent="0.3">
      <c r="A1708" t="s">
        <v>3842</v>
      </c>
      <c r="B1708" t="s">
        <v>3843</v>
      </c>
      <c r="C1708" t="s">
        <v>1238</v>
      </c>
      <c r="D1708" t="s">
        <v>3844</v>
      </c>
      <c r="E1708" t="s">
        <v>15</v>
      </c>
      <c r="J1708" s="1">
        <v>45059</v>
      </c>
      <c r="K1708">
        <v>1025</v>
      </c>
      <c r="L1708" t="s">
        <v>3852</v>
      </c>
      <c r="M1708">
        <v>9</v>
      </c>
      <c r="N1708" t="str">
        <f>VLOOKUP(M1708,[1]LOJA!$A:$B,2,0)</f>
        <v>ÚNICA</v>
      </c>
      <c r="O1708">
        <v>145</v>
      </c>
      <c r="P1708" t="str">
        <f>VLOOKUP(O1708,[1]OPERADORES!$A:$B,2,0)</f>
        <v xml:space="preserve">FABRICIA </v>
      </c>
      <c r="Q1708">
        <v>23</v>
      </c>
      <c r="R1708">
        <v>36602</v>
      </c>
      <c r="S1708" t="s">
        <v>53</v>
      </c>
      <c r="T1708" s="1">
        <v>44999</v>
      </c>
      <c r="U1708" s="2">
        <v>2174.44</v>
      </c>
      <c r="V1708" s="2">
        <v>2174.44</v>
      </c>
    </row>
    <row r="1709" spans="1:22" x14ac:dyDescent="0.3">
      <c r="A1709" t="s">
        <v>3842</v>
      </c>
      <c r="B1709" t="s">
        <v>3843</v>
      </c>
      <c r="C1709" t="s">
        <v>1238</v>
      </c>
      <c r="D1709" t="s">
        <v>3844</v>
      </c>
      <c r="E1709" t="s">
        <v>15</v>
      </c>
      <c r="J1709" s="1">
        <v>45089</v>
      </c>
      <c r="K1709">
        <v>995</v>
      </c>
      <c r="L1709" t="s">
        <v>3853</v>
      </c>
      <c r="M1709">
        <v>9</v>
      </c>
      <c r="N1709" t="str">
        <f>VLOOKUP(M1709,[1]LOJA!$A:$B,2,0)</f>
        <v>ÚNICA</v>
      </c>
      <c r="O1709">
        <v>145</v>
      </c>
      <c r="P1709" t="str">
        <f>VLOOKUP(O1709,[1]OPERADORES!$A:$B,2,0)</f>
        <v xml:space="preserve">FABRICIA </v>
      </c>
      <c r="Q1709">
        <v>23</v>
      </c>
      <c r="R1709">
        <v>36610</v>
      </c>
      <c r="S1709" t="s">
        <v>55</v>
      </c>
      <c r="T1709" s="1">
        <v>44999</v>
      </c>
      <c r="U1709" s="2">
        <v>2174.44</v>
      </c>
      <c r="V1709" s="2">
        <v>2174.44</v>
      </c>
    </row>
    <row r="1710" spans="1:22" x14ac:dyDescent="0.3">
      <c r="A1710" t="s">
        <v>3854</v>
      </c>
      <c r="B1710" t="s">
        <v>3855</v>
      </c>
      <c r="C1710" t="s">
        <v>848</v>
      </c>
      <c r="D1710" t="s">
        <v>3856</v>
      </c>
      <c r="E1710" t="s">
        <v>15</v>
      </c>
      <c r="J1710" s="1">
        <v>45194</v>
      </c>
      <c r="K1710">
        <v>890</v>
      </c>
      <c r="L1710" t="s">
        <v>3857</v>
      </c>
      <c r="M1710">
        <v>9</v>
      </c>
      <c r="N1710" t="str">
        <f>VLOOKUP(M1710,[1]LOJA!$A:$B,2,0)</f>
        <v>ÚNICA</v>
      </c>
      <c r="O1710">
        <v>196</v>
      </c>
      <c r="P1710" t="str">
        <f>VLOOKUP(O1710,[1]OPERADORES!$A:$B,2,0)</f>
        <v>KASSIANO MARCUS ALVES SILVA</v>
      </c>
      <c r="Q1710">
        <v>23</v>
      </c>
      <c r="R1710">
        <v>52948</v>
      </c>
      <c r="S1710" t="s">
        <v>3858</v>
      </c>
      <c r="T1710" s="1">
        <v>45173</v>
      </c>
      <c r="U1710" s="2">
        <v>2464.13</v>
      </c>
      <c r="V1710" s="2">
        <v>2464.13</v>
      </c>
    </row>
    <row r="1711" spans="1:22" x14ac:dyDescent="0.3">
      <c r="A1711" t="s">
        <v>3854</v>
      </c>
      <c r="B1711" t="s">
        <v>3855</v>
      </c>
      <c r="C1711" t="s">
        <v>848</v>
      </c>
      <c r="D1711" t="s">
        <v>3856</v>
      </c>
      <c r="E1711" t="s">
        <v>15</v>
      </c>
      <c r="J1711" s="1">
        <v>45197</v>
      </c>
      <c r="K1711">
        <v>887</v>
      </c>
      <c r="L1711" t="s">
        <v>3859</v>
      </c>
      <c r="M1711">
        <v>9</v>
      </c>
      <c r="N1711" t="str">
        <f>VLOOKUP(M1711,[1]LOJA!$A:$B,2,0)</f>
        <v>ÚNICA</v>
      </c>
      <c r="O1711">
        <v>195</v>
      </c>
      <c r="P1711" t="str">
        <f>VLOOKUP(O1711,[1]OPERADORES!$A:$B,2,0)</f>
        <v xml:space="preserve">UILIAN ALMEIDA </v>
      </c>
      <c r="Q1711">
        <v>23</v>
      </c>
      <c r="R1711">
        <v>48607</v>
      </c>
      <c r="S1711" t="s">
        <v>1305</v>
      </c>
      <c r="T1711" s="1">
        <v>45141</v>
      </c>
      <c r="U1711">
        <v>689.13</v>
      </c>
      <c r="V1711">
        <v>689.13</v>
      </c>
    </row>
    <row r="1712" spans="1:22" x14ac:dyDescent="0.3">
      <c r="A1712" t="s">
        <v>3854</v>
      </c>
      <c r="B1712" t="s">
        <v>3855</v>
      </c>
      <c r="C1712" t="s">
        <v>848</v>
      </c>
      <c r="D1712" t="s">
        <v>3856</v>
      </c>
      <c r="E1712" t="s">
        <v>15</v>
      </c>
      <c r="J1712" s="1">
        <v>45203</v>
      </c>
      <c r="K1712">
        <v>881</v>
      </c>
      <c r="L1712" t="s">
        <v>3860</v>
      </c>
      <c r="M1712">
        <v>9</v>
      </c>
      <c r="N1712" t="str">
        <f>VLOOKUP(M1712,[1]LOJA!$A:$B,2,0)</f>
        <v>ÚNICA</v>
      </c>
      <c r="O1712">
        <v>196</v>
      </c>
      <c r="P1712" t="str">
        <f>VLOOKUP(O1712,[1]OPERADORES!$A:$B,2,0)</f>
        <v>KASSIANO MARCUS ALVES SILVA</v>
      </c>
      <c r="Q1712">
        <v>23</v>
      </c>
      <c r="R1712">
        <v>53235</v>
      </c>
      <c r="S1712" t="s">
        <v>51</v>
      </c>
      <c r="T1712" s="1">
        <v>45175</v>
      </c>
      <c r="U1712">
        <v>576.91999999999996</v>
      </c>
      <c r="V1712">
        <v>576.91999999999996</v>
      </c>
    </row>
    <row r="1713" spans="1:22" x14ac:dyDescent="0.3">
      <c r="A1713" t="s">
        <v>3854</v>
      </c>
      <c r="B1713" t="s">
        <v>3855</v>
      </c>
      <c r="C1713" t="s">
        <v>848</v>
      </c>
      <c r="D1713" t="s">
        <v>3856</v>
      </c>
      <c r="E1713" t="s">
        <v>15</v>
      </c>
      <c r="J1713" s="1">
        <v>45206</v>
      </c>
      <c r="K1713">
        <v>878</v>
      </c>
      <c r="L1713" t="s">
        <v>3861</v>
      </c>
      <c r="M1713">
        <v>9</v>
      </c>
      <c r="N1713" t="str">
        <f>VLOOKUP(M1713,[1]LOJA!$A:$B,2,0)</f>
        <v>ÚNICA</v>
      </c>
      <c r="O1713">
        <v>195</v>
      </c>
      <c r="P1713" t="str">
        <f>VLOOKUP(O1713,[1]OPERADORES!$A:$B,2,0)</f>
        <v xml:space="preserve">UILIAN ALMEIDA </v>
      </c>
      <c r="Q1713">
        <v>23</v>
      </c>
      <c r="R1713">
        <v>49506</v>
      </c>
      <c r="S1713" t="s">
        <v>53</v>
      </c>
      <c r="T1713" s="1">
        <v>45146</v>
      </c>
      <c r="U1713">
        <v>239.87</v>
      </c>
      <c r="V1713">
        <v>239.87</v>
      </c>
    </row>
    <row r="1714" spans="1:22" x14ac:dyDescent="0.3">
      <c r="A1714" t="s">
        <v>3854</v>
      </c>
      <c r="B1714" t="s">
        <v>3855</v>
      </c>
      <c r="C1714" t="s">
        <v>848</v>
      </c>
      <c r="D1714" t="s">
        <v>3856</v>
      </c>
      <c r="E1714" t="s">
        <v>15</v>
      </c>
      <c r="J1714" s="1">
        <v>45209</v>
      </c>
      <c r="K1714">
        <v>875</v>
      </c>
      <c r="L1714" t="s">
        <v>3862</v>
      </c>
      <c r="M1714">
        <v>9</v>
      </c>
      <c r="N1714" t="str">
        <f>VLOOKUP(M1714,[1]LOJA!$A:$B,2,0)</f>
        <v>ÚNICA</v>
      </c>
      <c r="O1714">
        <v>194</v>
      </c>
      <c r="P1714" t="str">
        <f>VLOOKUP(O1714,[1]OPERADORES!$A:$B,2,0)</f>
        <v>UILIAN VENDAS EXTERNAS</v>
      </c>
      <c r="Q1714">
        <v>23</v>
      </c>
      <c r="R1714">
        <v>45959</v>
      </c>
      <c r="S1714" t="s">
        <v>55</v>
      </c>
      <c r="T1714" s="1">
        <v>45119</v>
      </c>
      <c r="U1714">
        <v>893.76</v>
      </c>
      <c r="V1714">
        <v>893.76</v>
      </c>
    </row>
    <row r="1715" spans="1:22" x14ac:dyDescent="0.3">
      <c r="A1715" t="s">
        <v>3854</v>
      </c>
      <c r="B1715" t="s">
        <v>3855</v>
      </c>
      <c r="C1715" t="s">
        <v>848</v>
      </c>
      <c r="D1715" t="s">
        <v>3856</v>
      </c>
      <c r="E1715" t="s">
        <v>15</v>
      </c>
      <c r="J1715" s="1">
        <v>45213</v>
      </c>
      <c r="K1715">
        <v>871</v>
      </c>
      <c r="L1715" t="s">
        <v>3863</v>
      </c>
      <c r="M1715">
        <v>9</v>
      </c>
      <c r="N1715" t="str">
        <f>VLOOKUP(M1715,[1]LOJA!$A:$B,2,0)</f>
        <v>ÚNICA</v>
      </c>
      <c r="O1715">
        <v>195</v>
      </c>
      <c r="P1715" t="str">
        <f>VLOOKUP(O1715,[1]OPERADORES!$A:$B,2,0)</f>
        <v xml:space="preserve">UILIAN ALMEIDA </v>
      </c>
      <c r="Q1715">
        <v>23</v>
      </c>
      <c r="R1715">
        <v>48615</v>
      </c>
      <c r="S1715" t="s">
        <v>1145</v>
      </c>
      <c r="T1715" s="1">
        <v>45141</v>
      </c>
      <c r="U1715">
        <v>689.12</v>
      </c>
      <c r="V1715">
        <v>689.12</v>
      </c>
    </row>
    <row r="1716" spans="1:22" x14ac:dyDescent="0.3">
      <c r="A1716" t="s">
        <v>3854</v>
      </c>
      <c r="B1716" t="s">
        <v>3855</v>
      </c>
      <c r="C1716" t="s">
        <v>848</v>
      </c>
      <c r="D1716" t="s">
        <v>3856</v>
      </c>
      <c r="E1716" t="s">
        <v>15</v>
      </c>
      <c r="J1716" s="1">
        <v>45217</v>
      </c>
      <c r="K1716">
        <v>867</v>
      </c>
      <c r="L1716" t="s">
        <v>3864</v>
      </c>
      <c r="M1716">
        <v>9</v>
      </c>
      <c r="N1716" t="str">
        <f>VLOOKUP(M1716,[1]LOJA!$A:$B,2,0)</f>
        <v>ÚNICA</v>
      </c>
      <c r="O1716">
        <v>196</v>
      </c>
      <c r="P1716" t="str">
        <f>VLOOKUP(O1716,[1]OPERADORES!$A:$B,2,0)</f>
        <v>KASSIANO MARCUS ALVES SILVA</v>
      </c>
      <c r="Q1716">
        <v>23</v>
      </c>
      <c r="R1716">
        <v>53243</v>
      </c>
      <c r="S1716" t="s">
        <v>53</v>
      </c>
      <c r="T1716" s="1">
        <v>45175</v>
      </c>
      <c r="U1716">
        <v>576.91999999999996</v>
      </c>
      <c r="V1716">
        <v>576.91999999999996</v>
      </c>
    </row>
    <row r="1717" spans="1:22" x14ac:dyDescent="0.3">
      <c r="A1717" t="s">
        <v>3854</v>
      </c>
      <c r="B1717" t="s">
        <v>3855</v>
      </c>
      <c r="C1717" t="s">
        <v>848</v>
      </c>
      <c r="D1717" t="s">
        <v>3856</v>
      </c>
      <c r="E1717" t="s">
        <v>15</v>
      </c>
      <c r="J1717" s="1">
        <v>45219</v>
      </c>
      <c r="K1717">
        <v>865</v>
      </c>
      <c r="L1717" t="s">
        <v>3865</v>
      </c>
      <c r="M1717">
        <v>9</v>
      </c>
      <c r="N1717" t="str">
        <f>VLOOKUP(M1717,[1]LOJA!$A:$B,2,0)</f>
        <v>ÚNICA</v>
      </c>
      <c r="O1717">
        <v>196</v>
      </c>
      <c r="P1717" t="str">
        <f>VLOOKUP(O1717,[1]OPERADORES!$A:$B,2,0)</f>
        <v>KASSIANO MARCUS ALVES SILVA</v>
      </c>
      <c r="Q1717">
        <v>23</v>
      </c>
      <c r="R1717">
        <v>51726</v>
      </c>
      <c r="S1717" t="s">
        <v>53</v>
      </c>
      <c r="T1717" s="1">
        <v>45163</v>
      </c>
      <c r="U1717">
        <v>239.87</v>
      </c>
      <c r="V1717">
        <v>239.87</v>
      </c>
    </row>
    <row r="1718" spans="1:22" x14ac:dyDescent="0.3">
      <c r="A1718" t="s">
        <v>3854</v>
      </c>
      <c r="B1718" t="s">
        <v>3855</v>
      </c>
      <c r="C1718" t="s">
        <v>848</v>
      </c>
      <c r="D1718" t="s">
        <v>3856</v>
      </c>
      <c r="E1718" t="s">
        <v>15</v>
      </c>
      <c r="J1718" s="1">
        <v>45231</v>
      </c>
      <c r="K1718">
        <v>853</v>
      </c>
      <c r="L1718" t="s">
        <v>3866</v>
      </c>
      <c r="M1718">
        <v>9</v>
      </c>
      <c r="N1718" t="str">
        <f>VLOOKUP(M1718,[1]LOJA!$A:$B,2,0)</f>
        <v>ÚNICA</v>
      </c>
      <c r="O1718">
        <v>196</v>
      </c>
      <c r="P1718" t="str">
        <f>VLOOKUP(O1718,[1]OPERADORES!$A:$B,2,0)</f>
        <v>KASSIANO MARCUS ALVES SILVA</v>
      </c>
      <c r="Q1718">
        <v>23</v>
      </c>
      <c r="R1718">
        <v>53250</v>
      </c>
      <c r="S1718" t="s">
        <v>55</v>
      </c>
      <c r="T1718" s="1">
        <v>45175</v>
      </c>
      <c r="U1718">
        <v>576.91999999999996</v>
      </c>
      <c r="V1718">
        <v>576.91999999999996</v>
      </c>
    </row>
    <row r="1719" spans="1:22" x14ac:dyDescent="0.3">
      <c r="A1719" t="s">
        <v>3854</v>
      </c>
      <c r="B1719" t="s">
        <v>3855</v>
      </c>
      <c r="C1719" t="s">
        <v>848</v>
      </c>
      <c r="D1719" t="s">
        <v>3856</v>
      </c>
      <c r="E1719" t="s">
        <v>15</v>
      </c>
      <c r="J1719" s="1">
        <v>45233</v>
      </c>
      <c r="K1719">
        <v>851</v>
      </c>
      <c r="L1719" t="s">
        <v>3867</v>
      </c>
      <c r="M1719">
        <v>9</v>
      </c>
      <c r="N1719" t="str">
        <f>VLOOKUP(M1719,[1]LOJA!$A:$B,2,0)</f>
        <v>ÚNICA</v>
      </c>
      <c r="O1719">
        <v>196</v>
      </c>
      <c r="P1719" t="str">
        <f>VLOOKUP(O1719,[1]OPERADORES!$A:$B,2,0)</f>
        <v>KASSIANO MARCUS ALVES SILVA</v>
      </c>
      <c r="Q1719">
        <v>23</v>
      </c>
      <c r="R1719">
        <v>57467</v>
      </c>
      <c r="S1719" t="s">
        <v>51</v>
      </c>
      <c r="T1719" s="1">
        <v>45205</v>
      </c>
      <c r="U1719" s="2">
        <v>2227.37</v>
      </c>
      <c r="V1719" s="2">
        <v>2227.37</v>
      </c>
    </row>
    <row r="1720" spans="1:22" x14ac:dyDescent="0.3">
      <c r="A1720" t="s">
        <v>3854</v>
      </c>
      <c r="B1720" t="s">
        <v>3855</v>
      </c>
      <c r="C1720" t="s">
        <v>848</v>
      </c>
      <c r="D1720" t="s">
        <v>3856</v>
      </c>
      <c r="E1720" t="s">
        <v>15</v>
      </c>
      <c r="J1720" s="1">
        <v>45236</v>
      </c>
      <c r="K1720">
        <v>848</v>
      </c>
      <c r="L1720" t="s">
        <v>3868</v>
      </c>
      <c r="M1720">
        <v>9</v>
      </c>
      <c r="N1720" t="str">
        <f>VLOOKUP(M1720,[1]LOJA!$A:$B,2,0)</f>
        <v>ÚNICA</v>
      </c>
      <c r="O1720">
        <v>195</v>
      </c>
      <c r="P1720" t="str">
        <f>VLOOKUP(O1720,[1]OPERADORES!$A:$B,2,0)</f>
        <v xml:space="preserve">UILIAN ALMEIDA </v>
      </c>
      <c r="Q1720">
        <v>23</v>
      </c>
      <c r="R1720">
        <v>49514</v>
      </c>
      <c r="S1720" t="s">
        <v>3869</v>
      </c>
      <c r="T1720" s="1">
        <v>45146</v>
      </c>
      <c r="U1720">
        <v>163.08000000000001</v>
      </c>
      <c r="V1720">
        <v>163.08000000000001</v>
      </c>
    </row>
    <row r="1721" spans="1:22" x14ac:dyDescent="0.3">
      <c r="A1721" t="s">
        <v>3854</v>
      </c>
      <c r="B1721" t="s">
        <v>3855</v>
      </c>
      <c r="C1721" t="s">
        <v>848</v>
      </c>
      <c r="D1721" t="s">
        <v>3856</v>
      </c>
      <c r="E1721" t="s">
        <v>15</v>
      </c>
      <c r="J1721" s="1">
        <v>45247</v>
      </c>
      <c r="K1721">
        <v>837</v>
      </c>
      <c r="L1721" t="s">
        <v>3870</v>
      </c>
      <c r="M1721">
        <v>9</v>
      </c>
      <c r="N1721" t="str">
        <f>VLOOKUP(M1721,[1]LOJA!$A:$B,2,0)</f>
        <v>ÚNICA</v>
      </c>
      <c r="O1721">
        <v>196</v>
      </c>
      <c r="P1721" t="str">
        <f>VLOOKUP(O1721,[1]OPERADORES!$A:$B,2,0)</f>
        <v>KASSIANO MARCUS ALVES SILVA</v>
      </c>
      <c r="Q1721">
        <v>23</v>
      </c>
      <c r="R1721">
        <v>51734</v>
      </c>
      <c r="S1721" t="s">
        <v>55</v>
      </c>
      <c r="T1721" s="1">
        <v>45163</v>
      </c>
      <c r="U1721">
        <v>239.87</v>
      </c>
      <c r="V1721">
        <v>239.87</v>
      </c>
    </row>
    <row r="1722" spans="1:22" x14ac:dyDescent="0.3">
      <c r="A1722" t="s">
        <v>3854</v>
      </c>
      <c r="B1722" t="s">
        <v>3855</v>
      </c>
      <c r="C1722" t="s">
        <v>848</v>
      </c>
      <c r="D1722" t="s">
        <v>3856</v>
      </c>
      <c r="E1722" t="s">
        <v>15</v>
      </c>
      <c r="J1722" s="1">
        <v>45247</v>
      </c>
      <c r="K1722">
        <v>837</v>
      </c>
      <c r="L1722" t="s">
        <v>3871</v>
      </c>
      <c r="M1722">
        <v>9</v>
      </c>
      <c r="N1722" t="str">
        <f>VLOOKUP(M1722,[1]LOJA!$A:$B,2,0)</f>
        <v>ÚNICA</v>
      </c>
      <c r="O1722">
        <v>196</v>
      </c>
      <c r="P1722" t="str">
        <f>VLOOKUP(O1722,[1]OPERADORES!$A:$B,2,0)</f>
        <v>KASSIANO MARCUS ALVES SILVA</v>
      </c>
      <c r="Q1722">
        <v>23</v>
      </c>
      <c r="R1722">
        <v>57475</v>
      </c>
      <c r="S1722" t="s">
        <v>53</v>
      </c>
      <c r="T1722" s="1">
        <v>45205</v>
      </c>
      <c r="U1722" s="2">
        <v>2227.37</v>
      </c>
      <c r="V1722" s="2">
        <v>2227.37</v>
      </c>
    </row>
    <row r="1723" spans="1:22" x14ac:dyDescent="0.3">
      <c r="A1723" t="s">
        <v>3854</v>
      </c>
      <c r="B1723" t="s">
        <v>3855</v>
      </c>
      <c r="C1723" t="s">
        <v>848</v>
      </c>
      <c r="D1723" t="s">
        <v>3856</v>
      </c>
      <c r="E1723" t="s">
        <v>15</v>
      </c>
      <c r="J1723" s="1">
        <v>45254</v>
      </c>
      <c r="K1723">
        <v>830</v>
      </c>
      <c r="L1723" t="s">
        <v>3872</v>
      </c>
      <c r="M1723">
        <v>9</v>
      </c>
      <c r="N1723" t="str">
        <f>VLOOKUP(M1723,[1]LOJA!$A:$B,2,0)</f>
        <v>ÚNICA</v>
      </c>
      <c r="O1723">
        <v>195</v>
      </c>
      <c r="P1723" t="str">
        <f>VLOOKUP(O1723,[1]OPERADORES!$A:$B,2,0)</f>
        <v xml:space="preserve">UILIAN ALMEIDA </v>
      </c>
      <c r="Q1723">
        <v>4</v>
      </c>
      <c r="S1723" t="s">
        <v>142</v>
      </c>
      <c r="T1723" s="1">
        <v>45254</v>
      </c>
      <c r="U1723">
        <v>-43.27</v>
      </c>
      <c r="V1723">
        <v>-43.27</v>
      </c>
    </row>
    <row r="1724" spans="1:22" x14ac:dyDescent="0.3">
      <c r="A1724" t="s">
        <v>3854</v>
      </c>
      <c r="B1724" t="s">
        <v>3855</v>
      </c>
      <c r="C1724" t="s">
        <v>848</v>
      </c>
      <c r="D1724" t="s">
        <v>3856</v>
      </c>
      <c r="E1724" t="s">
        <v>15</v>
      </c>
      <c r="J1724" s="1">
        <v>45258</v>
      </c>
      <c r="K1724">
        <v>826</v>
      </c>
      <c r="L1724" t="s">
        <v>3873</v>
      </c>
      <c r="M1724">
        <v>9</v>
      </c>
      <c r="N1724" t="str">
        <f>VLOOKUP(M1724,[1]LOJA!$A:$B,2,0)</f>
        <v>ÚNICA</v>
      </c>
      <c r="O1724">
        <v>196</v>
      </c>
      <c r="P1724" t="str">
        <f>VLOOKUP(O1724,[1]OPERADORES!$A:$B,2,0)</f>
        <v>KASSIANO MARCUS ALVES SILVA</v>
      </c>
      <c r="Q1724">
        <v>23</v>
      </c>
      <c r="R1724">
        <v>60750</v>
      </c>
      <c r="S1724" t="s">
        <v>51</v>
      </c>
      <c r="T1724" s="1">
        <v>45230</v>
      </c>
      <c r="U1724" s="2">
        <v>4087.89</v>
      </c>
      <c r="V1724" s="2">
        <v>4087.89</v>
      </c>
    </row>
    <row r="1725" spans="1:22" x14ac:dyDescent="0.3">
      <c r="A1725" t="s">
        <v>3854</v>
      </c>
      <c r="B1725" t="s">
        <v>3855</v>
      </c>
      <c r="C1725" t="s">
        <v>848</v>
      </c>
      <c r="D1725" t="s">
        <v>3856</v>
      </c>
      <c r="E1725" t="s">
        <v>15</v>
      </c>
      <c r="J1725" s="1">
        <v>45261</v>
      </c>
      <c r="K1725">
        <v>823</v>
      </c>
      <c r="L1725" t="s">
        <v>3874</v>
      </c>
      <c r="M1725">
        <v>9</v>
      </c>
      <c r="N1725" t="str">
        <f>VLOOKUP(M1725,[1]LOJA!$A:$B,2,0)</f>
        <v>ÚNICA</v>
      </c>
      <c r="O1725">
        <v>196</v>
      </c>
      <c r="P1725" t="str">
        <f>VLOOKUP(O1725,[1]OPERADORES!$A:$B,2,0)</f>
        <v>KASSIANO MARCUS ALVES SILVA</v>
      </c>
      <c r="Q1725">
        <v>23</v>
      </c>
      <c r="R1725">
        <v>57483</v>
      </c>
      <c r="S1725" t="s">
        <v>55</v>
      </c>
      <c r="T1725" s="1">
        <v>45205</v>
      </c>
      <c r="U1725" s="2">
        <v>2227.36</v>
      </c>
      <c r="V1725" s="2">
        <v>2227.36</v>
      </c>
    </row>
    <row r="1726" spans="1:22" x14ac:dyDescent="0.3">
      <c r="A1726" t="s">
        <v>3854</v>
      </c>
      <c r="B1726" t="s">
        <v>3855</v>
      </c>
      <c r="C1726" t="s">
        <v>848</v>
      </c>
      <c r="D1726" t="s">
        <v>3856</v>
      </c>
      <c r="E1726" t="s">
        <v>15</v>
      </c>
      <c r="J1726" s="1">
        <v>45272</v>
      </c>
      <c r="K1726">
        <v>812</v>
      </c>
      <c r="L1726" t="s">
        <v>3875</v>
      </c>
      <c r="M1726">
        <v>9</v>
      </c>
      <c r="N1726" t="str">
        <f>VLOOKUP(M1726,[1]LOJA!$A:$B,2,0)</f>
        <v>ÚNICA</v>
      </c>
      <c r="O1726">
        <v>196</v>
      </c>
      <c r="P1726" t="str">
        <f>VLOOKUP(O1726,[1]OPERADORES!$A:$B,2,0)</f>
        <v>KASSIANO MARCUS ALVES SILVA</v>
      </c>
      <c r="Q1726">
        <v>23</v>
      </c>
      <c r="R1726">
        <v>60768</v>
      </c>
      <c r="S1726" t="s">
        <v>53</v>
      </c>
      <c r="T1726" s="1">
        <v>45230</v>
      </c>
      <c r="U1726" s="2">
        <v>4087.89</v>
      </c>
      <c r="V1726" s="2">
        <v>4087.89</v>
      </c>
    </row>
    <row r="1727" spans="1:22" x14ac:dyDescent="0.3">
      <c r="A1727" t="s">
        <v>3854</v>
      </c>
      <c r="B1727" t="s">
        <v>3855</v>
      </c>
      <c r="C1727" t="s">
        <v>848</v>
      </c>
      <c r="D1727" t="s">
        <v>3856</v>
      </c>
      <c r="E1727" t="s">
        <v>15</v>
      </c>
      <c r="J1727" s="1">
        <v>45286</v>
      </c>
      <c r="K1727">
        <v>798</v>
      </c>
      <c r="L1727" t="s">
        <v>3876</v>
      </c>
      <c r="M1727">
        <v>9</v>
      </c>
      <c r="N1727" t="str">
        <f>VLOOKUP(M1727,[1]LOJA!$A:$B,2,0)</f>
        <v>ÚNICA</v>
      </c>
      <c r="O1727">
        <v>196</v>
      </c>
      <c r="P1727" t="str">
        <f>VLOOKUP(O1727,[1]OPERADORES!$A:$B,2,0)</f>
        <v>KASSIANO MARCUS ALVES SILVA</v>
      </c>
      <c r="Q1727">
        <v>23</v>
      </c>
      <c r="R1727">
        <v>60776</v>
      </c>
      <c r="S1727" t="s">
        <v>55</v>
      </c>
      <c r="T1727" s="1">
        <v>45230</v>
      </c>
      <c r="U1727" s="2">
        <v>4087.88</v>
      </c>
      <c r="V1727" s="2">
        <v>4087.88</v>
      </c>
    </row>
    <row r="1728" spans="1:22" x14ac:dyDescent="0.3">
      <c r="A1728" t="s">
        <v>3877</v>
      </c>
      <c r="B1728" t="s">
        <v>3878</v>
      </c>
      <c r="C1728" t="s">
        <v>848</v>
      </c>
      <c r="D1728" t="s">
        <v>5980</v>
      </c>
      <c r="E1728" t="s">
        <v>15</v>
      </c>
      <c r="J1728" s="1">
        <v>45423</v>
      </c>
      <c r="K1728">
        <v>661</v>
      </c>
      <c r="L1728" t="s">
        <v>3879</v>
      </c>
      <c r="M1728">
        <v>14</v>
      </c>
      <c r="N1728" t="str">
        <f>VLOOKUP(M1728,[1]LOJA!$A:$B,2,0)</f>
        <v>S IA</v>
      </c>
      <c r="O1728">
        <v>207</v>
      </c>
      <c r="P1728" t="str">
        <f>VLOOKUP(O1728,[1]OPERADORES!$A:$B,2,0)</f>
        <v>KETILE SABRINE</v>
      </c>
      <c r="Q1728">
        <v>4</v>
      </c>
      <c r="S1728" t="s">
        <v>3880</v>
      </c>
      <c r="T1728" s="1">
        <v>45419</v>
      </c>
      <c r="U1728">
        <v>-106.73</v>
      </c>
      <c r="V1728">
        <v>-106.73</v>
      </c>
    </row>
    <row r="1729" spans="1:22" x14ac:dyDescent="0.3">
      <c r="A1729" t="s">
        <v>3877</v>
      </c>
      <c r="B1729" t="s">
        <v>3878</v>
      </c>
      <c r="C1729" t="s">
        <v>848</v>
      </c>
      <c r="D1729" t="s">
        <v>5980</v>
      </c>
      <c r="E1729" t="s">
        <v>15</v>
      </c>
      <c r="J1729" s="1">
        <v>46073</v>
      </c>
      <c r="K1729">
        <v>11</v>
      </c>
      <c r="L1729" t="s">
        <v>5981</v>
      </c>
      <c r="M1729">
        <v>14</v>
      </c>
      <c r="N1729" t="str">
        <f>VLOOKUP(M1729,[1]LOJA!$A:$B,2,0)</f>
        <v>S IA</v>
      </c>
      <c r="O1729">
        <v>20</v>
      </c>
      <c r="P1729" t="str">
        <f>VLOOKUP(O1729,[1]OPERADORES!$A:$B,2,0)</f>
        <v>MAYARA</v>
      </c>
      <c r="Q1729">
        <v>12</v>
      </c>
      <c r="S1729" t="s">
        <v>5982</v>
      </c>
      <c r="T1729" s="1">
        <v>46056</v>
      </c>
      <c r="U1729">
        <v>466.8</v>
      </c>
      <c r="V1729">
        <v>466.8</v>
      </c>
    </row>
    <row r="1730" spans="1:22" x14ac:dyDescent="0.3">
      <c r="A1730" t="s">
        <v>3881</v>
      </c>
      <c r="B1730" t="s">
        <v>3882</v>
      </c>
      <c r="C1730" t="s">
        <v>324</v>
      </c>
      <c r="D1730" t="s">
        <v>3883</v>
      </c>
      <c r="E1730" t="s">
        <v>15</v>
      </c>
      <c r="J1730" s="1">
        <v>45107</v>
      </c>
      <c r="K1730">
        <v>977</v>
      </c>
      <c r="L1730" t="s">
        <v>3601</v>
      </c>
      <c r="M1730">
        <v>12</v>
      </c>
      <c r="N1730" t="str">
        <f>VLOOKUP(M1730,[1]LOJA!$A:$B,2,0)</f>
        <v>SOFNORTE</v>
      </c>
      <c r="O1730">
        <v>60</v>
      </c>
      <c r="P1730" t="str">
        <f>VLOOKUP(O1730,[1]OPERADORES!$A:$B,2,0)</f>
        <v>ALEXANDRA</v>
      </c>
      <c r="Q1730">
        <v>7</v>
      </c>
      <c r="S1730" t="s">
        <v>87</v>
      </c>
      <c r="T1730" s="1">
        <v>45097</v>
      </c>
      <c r="U1730">
        <v>185</v>
      </c>
      <c r="V1730">
        <v>185</v>
      </c>
    </row>
    <row r="1731" spans="1:22" x14ac:dyDescent="0.3">
      <c r="A1731" t="s">
        <v>3881</v>
      </c>
      <c r="B1731" t="s">
        <v>3882</v>
      </c>
      <c r="C1731" t="s">
        <v>324</v>
      </c>
      <c r="D1731" t="s">
        <v>3883</v>
      </c>
      <c r="E1731" t="s">
        <v>15</v>
      </c>
      <c r="J1731" s="1">
        <v>45107</v>
      </c>
      <c r="K1731">
        <v>977</v>
      </c>
      <c r="L1731" t="s">
        <v>3884</v>
      </c>
      <c r="M1731">
        <v>12</v>
      </c>
      <c r="N1731" t="str">
        <f>VLOOKUP(M1731,[1]LOJA!$A:$B,2,0)</f>
        <v>SOFNORTE</v>
      </c>
      <c r="O1731">
        <v>44</v>
      </c>
      <c r="P1731" t="str">
        <f>VLOOKUP(O1731,[1]OPERADORES!$A:$B,2,0)</f>
        <v>LUIS JUNIO</v>
      </c>
      <c r="Q1731">
        <v>7</v>
      </c>
      <c r="S1731" t="s">
        <v>87</v>
      </c>
      <c r="T1731" s="1">
        <v>45097</v>
      </c>
      <c r="U1731">
        <v>187.7</v>
      </c>
      <c r="V1731">
        <v>187.7</v>
      </c>
    </row>
    <row r="1732" spans="1:22" x14ac:dyDescent="0.3">
      <c r="A1732" t="s">
        <v>3881</v>
      </c>
      <c r="B1732" t="s">
        <v>3882</v>
      </c>
      <c r="C1732" t="s">
        <v>324</v>
      </c>
      <c r="D1732" t="s">
        <v>3883</v>
      </c>
      <c r="E1732" t="s">
        <v>15</v>
      </c>
      <c r="J1732" s="1">
        <v>45107</v>
      </c>
      <c r="K1732">
        <v>977</v>
      </c>
      <c r="L1732" t="s">
        <v>3885</v>
      </c>
      <c r="M1732">
        <v>12</v>
      </c>
      <c r="N1732" t="str">
        <f>VLOOKUP(M1732,[1]LOJA!$A:$B,2,0)</f>
        <v>SOFNORTE</v>
      </c>
      <c r="O1732">
        <v>60</v>
      </c>
      <c r="P1732" t="str">
        <f>VLOOKUP(O1732,[1]OPERADORES!$A:$B,2,0)</f>
        <v>ALEXANDRA</v>
      </c>
      <c r="Q1732">
        <v>7</v>
      </c>
      <c r="S1732" t="s">
        <v>87</v>
      </c>
      <c r="T1732" s="1">
        <v>45099</v>
      </c>
      <c r="U1732">
        <v>867</v>
      </c>
      <c r="V1732">
        <v>867</v>
      </c>
    </row>
    <row r="1733" spans="1:22" x14ac:dyDescent="0.3">
      <c r="A1733" t="s">
        <v>3881</v>
      </c>
      <c r="B1733" t="s">
        <v>3882</v>
      </c>
      <c r="C1733" t="s">
        <v>324</v>
      </c>
      <c r="D1733" t="s">
        <v>3883</v>
      </c>
      <c r="E1733" t="s">
        <v>15</v>
      </c>
      <c r="J1733" s="1">
        <v>45107</v>
      </c>
      <c r="K1733">
        <v>977</v>
      </c>
      <c r="L1733" t="s">
        <v>3886</v>
      </c>
      <c r="M1733">
        <v>12</v>
      </c>
      <c r="N1733" t="str">
        <f>VLOOKUP(M1733,[1]LOJA!$A:$B,2,0)</f>
        <v>SOFNORTE</v>
      </c>
      <c r="O1733">
        <v>44</v>
      </c>
      <c r="P1733" t="str">
        <f>VLOOKUP(O1733,[1]OPERADORES!$A:$B,2,0)</f>
        <v>LUIS JUNIO</v>
      </c>
      <c r="Q1733">
        <v>7</v>
      </c>
      <c r="S1733" t="s">
        <v>87</v>
      </c>
      <c r="T1733" s="1">
        <v>45099</v>
      </c>
      <c r="U1733">
        <v>10</v>
      </c>
      <c r="V1733">
        <v>10</v>
      </c>
    </row>
    <row r="1734" spans="1:22" x14ac:dyDescent="0.3">
      <c r="A1734" t="s">
        <v>3881</v>
      </c>
      <c r="B1734" t="s">
        <v>3882</v>
      </c>
      <c r="C1734" t="s">
        <v>324</v>
      </c>
      <c r="D1734" t="s">
        <v>3883</v>
      </c>
      <c r="E1734" t="s">
        <v>15</v>
      </c>
      <c r="J1734" s="1">
        <v>45107</v>
      </c>
      <c r="K1734">
        <v>977</v>
      </c>
      <c r="L1734" t="s">
        <v>3887</v>
      </c>
      <c r="M1734">
        <v>12</v>
      </c>
      <c r="N1734" t="str">
        <f>VLOOKUP(M1734,[1]LOJA!$A:$B,2,0)</f>
        <v>SOFNORTE</v>
      </c>
      <c r="O1734">
        <v>44</v>
      </c>
      <c r="P1734" t="str">
        <f>VLOOKUP(O1734,[1]OPERADORES!$A:$B,2,0)</f>
        <v>LUIS JUNIO</v>
      </c>
      <c r="Q1734">
        <v>7</v>
      </c>
      <c r="S1734" t="s">
        <v>87</v>
      </c>
      <c r="T1734" s="1">
        <v>45105</v>
      </c>
      <c r="U1734">
        <v>570</v>
      </c>
      <c r="V1734">
        <v>570</v>
      </c>
    </row>
    <row r="1735" spans="1:22" x14ac:dyDescent="0.3">
      <c r="A1735" t="s">
        <v>3881</v>
      </c>
      <c r="B1735" t="s">
        <v>3882</v>
      </c>
      <c r="C1735" t="s">
        <v>324</v>
      </c>
      <c r="D1735" t="s">
        <v>3883</v>
      </c>
      <c r="E1735" t="s">
        <v>15</v>
      </c>
      <c r="J1735" s="1">
        <v>45107</v>
      </c>
      <c r="K1735">
        <v>977</v>
      </c>
      <c r="L1735" t="s">
        <v>3888</v>
      </c>
      <c r="M1735">
        <v>12</v>
      </c>
      <c r="N1735" t="str">
        <f>VLOOKUP(M1735,[1]LOJA!$A:$B,2,0)</f>
        <v>SOFNORTE</v>
      </c>
      <c r="O1735">
        <v>44</v>
      </c>
      <c r="P1735" t="str">
        <f>VLOOKUP(O1735,[1]OPERADORES!$A:$B,2,0)</f>
        <v>LUIS JUNIO</v>
      </c>
      <c r="Q1735">
        <v>7</v>
      </c>
      <c r="S1735" t="s">
        <v>87</v>
      </c>
      <c r="T1735" s="1">
        <v>45106</v>
      </c>
      <c r="U1735">
        <v>177.7</v>
      </c>
      <c r="V1735">
        <v>177.7</v>
      </c>
    </row>
    <row r="1736" spans="1:22" x14ac:dyDescent="0.3">
      <c r="A1736" t="s">
        <v>3881</v>
      </c>
      <c r="B1736" t="s">
        <v>3882</v>
      </c>
      <c r="C1736" t="s">
        <v>324</v>
      </c>
      <c r="D1736" t="s">
        <v>3883</v>
      </c>
      <c r="E1736" t="s">
        <v>15</v>
      </c>
      <c r="J1736" s="1">
        <v>45107</v>
      </c>
      <c r="K1736">
        <v>977</v>
      </c>
      <c r="L1736" t="s">
        <v>3889</v>
      </c>
      <c r="M1736">
        <v>12</v>
      </c>
      <c r="N1736" t="str">
        <f>VLOOKUP(M1736,[1]LOJA!$A:$B,2,0)</f>
        <v>SOFNORTE</v>
      </c>
      <c r="O1736">
        <v>60</v>
      </c>
      <c r="P1736" t="str">
        <f>VLOOKUP(O1736,[1]OPERADORES!$A:$B,2,0)</f>
        <v>ALEXANDRA</v>
      </c>
      <c r="Q1736">
        <v>7</v>
      </c>
      <c r="S1736" t="s">
        <v>3890</v>
      </c>
      <c r="T1736" s="1">
        <v>45097</v>
      </c>
      <c r="U1736">
        <v>68.33</v>
      </c>
      <c r="V1736">
        <v>68.33</v>
      </c>
    </row>
    <row r="1737" spans="1:22" x14ac:dyDescent="0.3">
      <c r="A1737" t="s">
        <v>3881</v>
      </c>
      <c r="B1737" t="s">
        <v>3882</v>
      </c>
      <c r="C1737" t="s">
        <v>324</v>
      </c>
      <c r="D1737" t="s">
        <v>3883</v>
      </c>
      <c r="E1737" t="s">
        <v>15</v>
      </c>
      <c r="J1737" s="1">
        <v>45107</v>
      </c>
      <c r="K1737">
        <v>977</v>
      </c>
      <c r="L1737" t="s">
        <v>3891</v>
      </c>
      <c r="M1737">
        <v>12</v>
      </c>
      <c r="N1737" t="str">
        <f>VLOOKUP(M1737,[1]LOJA!$A:$B,2,0)</f>
        <v>SOFNORTE</v>
      </c>
      <c r="O1737">
        <v>44</v>
      </c>
      <c r="P1737" t="str">
        <f>VLOOKUP(O1737,[1]OPERADORES!$A:$B,2,0)</f>
        <v>LUIS JUNIO</v>
      </c>
      <c r="Q1737">
        <v>7</v>
      </c>
      <c r="S1737" t="s">
        <v>3892</v>
      </c>
      <c r="T1737" s="1">
        <v>45093</v>
      </c>
      <c r="U1737">
        <v>161.83000000000001</v>
      </c>
      <c r="V1737">
        <v>161.83000000000001</v>
      </c>
    </row>
    <row r="1738" spans="1:22" x14ac:dyDescent="0.3">
      <c r="A1738" t="s">
        <v>3881</v>
      </c>
      <c r="B1738" t="s">
        <v>3882</v>
      </c>
      <c r="C1738" t="s">
        <v>324</v>
      </c>
      <c r="D1738" t="s">
        <v>3883</v>
      </c>
      <c r="E1738" t="s">
        <v>15</v>
      </c>
      <c r="J1738" s="1">
        <v>45122</v>
      </c>
      <c r="K1738">
        <v>962</v>
      </c>
      <c r="L1738" t="s">
        <v>3893</v>
      </c>
      <c r="M1738">
        <v>12</v>
      </c>
      <c r="N1738" t="str">
        <f>VLOOKUP(M1738,[1]LOJA!$A:$B,2,0)</f>
        <v>SOFNORTE</v>
      </c>
      <c r="O1738">
        <v>60</v>
      </c>
      <c r="P1738" t="str">
        <f>VLOOKUP(O1738,[1]OPERADORES!$A:$B,2,0)</f>
        <v>ALEXANDRA</v>
      </c>
      <c r="Q1738">
        <v>7</v>
      </c>
      <c r="S1738" t="s">
        <v>87</v>
      </c>
      <c r="T1738" s="1">
        <v>45111</v>
      </c>
      <c r="U1738">
        <v>215</v>
      </c>
      <c r="V1738">
        <v>215</v>
      </c>
    </row>
    <row r="1739" spans="1:22" x14ac:dyDescent="0.3">
      <c r="A1739" t="s">
        <v>3881</v>
      </c>
      <c r="B1739" t="s">
        <v>3882</v>
      </c>
      <c r="C1739" t="s">
        <v>324</v>
      </c>
      <c r="D1739" t="s">
        <v>3883</v>
      </c>
      <c r="E1739" t="s">
        <v>15</v>
      </c>
      <c r="J1739" s="1">
        <v>45891</v>
      </c>
      <c r="K1739">
        <v>193</v>
      </c>
      <c r="L1739" t="s">
        <v>3894</v>
      </c>
      <c r="M1739">
        <v>12</v>
      </c>
      <c r="N1739" t="str">
        <f>VLOOKUP(M1739,[1]LOJA!$A:$B,2,0)</f>
        <v>SOFNORTE</v>
      </c>
      <c r="O1739">
        <v>209</v>
      </c>
      <c r="P1739" t="str">
        <f>VLOOKUP(O1739,[1]OPERADORES!$A:$B,2,0)</f>
        <v>MARIA WITHALINA CUNHA DE SOUZA</v>
      </c>
      <c r="Q1739">
        <v>4</v>
      </c>
      <c r="S1739" t="s">
        <v>3895</v>
      </c>
      <c r="T1739" s="1">
        <v>45891</v>
      </c>
      <c r="U1739">
        <v>-0.52</v>
      </c>
      <c r="V1739">
        <v>-0.52</v>
      </c>
    </row>
    <row r="1740" spans="1:22" x14ac:dyDescent="0.3">
      <c r="A1740" t="s">
        <v>3881</v>
      </c>
      <c r="B1740" t="s">
        <v>3882</v>
      </c>
      <c r="C1740" t="s">
        <v>324</v>
      </c>
      <c r="D1740" t="s">
        <v>3883</v>
      </c>
      <c r="E1740" t="s">
        <v>15</v>
      </c>
      <c r="J1740" s="1">
        <v>46014</v>
      </c>
      <c r="K1740">
        <v>70</v>
      </c>
      <c r="L1740" t="s">
        <v>3896</v>
      </c>
      <c r="M1740">
        <v>12</v>
      </c>
      <c r="N1740" t="str">
        <f>VLOOKUP(M1740,[1]LOJA!$A:$B,2,0)</f>
        <v>SOFNORTE</v>
      </c>
      <c r="O1740">
        <v>209</v>
      </c>
      <c r="P1740" t="str">
        <f>VLOOKUP(O1740,[1]OPERADORES!$A:$B,2,0)</f>
        <v>MARIA WITHALINA CUNHA DE SOUZA</v>
      </c>
      <c r="Q1740">
        <v>4</v>
      </c>
      <c r="S1740" t="s">
        <v>3897</v>
      </c>
      <c r="T1740" s="1">
        <v>46014</v>
      </c>
      <c r="U1740">
        <v>-0.2</v>
      </c>
      <c r="V1740">
        <v>-0.2</v>
      </c>
    </row>
    <row r="1741" spans="1:22" x14ac:dyDescent="0.3">
      <c r="A1741" t="s">
        <v>3881</v>
      </c>
      <c r="B1741" t="s">
        <v>3882</v>
      </c>
      <c r="C1741" t="s">
        <v>324</v>
      </c>
      <c r="D1741" t="s">
        <v>3883</v>
      </c>
      <c r="E1741" t="s">
        <v>15</v>
      </c>
      <c r="J1741" s="1">
        <v>46039</v>
      </c>
      <c r="K1741">
        <v>45</v>
      </c>
      <c r="L1741" t="s">
        <v>3898</v>
      </c>
      <c r="M1741">
        <v>12</v>
      </c>
      <c r="N1741" t="str">
        <f>VLOOKUP(M1741,[1]LOJA!$A:$B,2,0)</f>
        <v>SOFNORTE</v>
      </c>
      <c r="O1741">
        <v>209</v>
      </c>
      <c r="P1741" t="str">
        <f>VLOOKUP(O1741,[1]OPERADORES!$A:$B,2,0)</f>
        <v>MARIA WITHALINA CUNHA DE SOUZA</v>
      </c>
      <c r="Q1741">
        <v>4</v>
      </c>
      <c r="S1741" t="s">
        <v>3899</v>
      </c>
      <c r="T1741" s="1">
        <v>46039</v>
      </c>
      <c r="U1741">
        <v>-1</v>
      </c>
      <c r="V1741">
        <v>-1</v>
      </c>
    </row>
    <row r="1742" spans="1:22" x14ac:dyDescent="0.3">
      <c r="A1742" t="s">
        <v>3881</v>
      </c>
      <c r="B1742" t="s">
        <v>3882</v>
      </c>
      <c r="C1742" t="s">
        <v>324</v>
      </c>
      <c r="D1742" t="s">
        <v>3883</v>
      </c>
      <c r="E1742" t="s">
        <v>15</v>
      </c>
      <c r="J1742" s="1">
        <v>46064</v>
      </c>
      <c r="K1742">
        <v>20</v>
      </c>
      <c r="L1742" t="s">
        <v>3900</v>
      </c>
      <c r="M1742">
        <v>12</v>
      </c>
      <c r="N1742" t="str">
        <f>VLOOKUP(M1742,[1]LOJA!$A:$B,2,0)</f>
        <v>SOFNORTE</v>
      </c>
      <c r="O1742">
        <v>209</v>
      </c>
      <c r="P1742" t="str">
        <f>VLOOKUP(O1742,[1]OPERADORES!$A:$B,2,0)</f>
        <v>MARIA WITHALINA CUNHA DE SOUZA</v>
      </c>
      <c r="Q1742">
        <v>4</v>
      </c>
      <c r="S1742" t="s">
        <v>3901</v>
      </c>
      <c r="T1742" s="1">
        <v>46064</v>
      </c>
      <c r="U1742">
        <v>-6</v>
      </c>
      <c r="V1742">
        <v>-6</v>
      </c>
    </row>
    <row r="1743" spans="1:22" x14ac:dyDescent="0.3">
      <c r="A1743" t="s">
        <v>3902</v>
      </c>
      <c r="B1743" t="s">
        <v>3903</v>
      </c>
      <c r="C1743" t="s">
        <v>13</v>
      </c>
      <c r="D1743" t="s">
        <v>533</v>
      </c>
      <c r="E1743" t="s">
        <v>15</v>
      </c>
      <c r="J1743" s="1">
        <v>45252</v>
      </c>
      <c r="K1743">
        <v>832</v>
      </c>
      <c r="L1743" t="s">
        <v>3904</v>
      </c>
      <c r="M1743">
        <v>8</v>
      </c>
      <c r="N1743" t="str">
        <f>VLOOKUP(M1743,[1]LOJA!$A:$B,2,0)</f>
        <v>LUZIÂNIA</v>
      </c>
      <c r="O1743">
        <v>170</v>
      </c>
      <c r="P1743" t="str">
        <f>VLOOKUP(O1743,[1]OPERADORES!$A:$B,2,0)</f>
        <v>MARIA LUISA</v>
      </c>
      <c r="Q1743">
        <v>4</v>
      </c>
      <c r="S1743" t="s">
        <v>3905</v>
      </c>
      <c r="T1743" s="1">
        <v>45252</v>
      </c>
      <c r="U1743">
        <v>-0.11</v>
      </c>
      <c r="V1743">
        <v>-0.11</v>
      </c>
    </row>
    <row r="1744" spans="1:22" x14ac:dyDescent="0.3">
      <c r="A1744" t="s">
        <v>3906</v>
      </c>
      <c r="B1744" t="s">
        <v>3907</v>
      </c>
      <c r="C1744" t="s">
        <v>13</v>
      </c>
      <c r="D1744" t="s">
        <v>5983</v>
      </c>
      <c r="E1744" t="s">
        <v>15</v>
      </c>
      <c r="J1744" s="1">
        <v>45968</v>
      </c>
      <c r="K1744">
        <v>116</v>
      </c>
      <c r="L1744" t="s">
        <v>3908</v>
      </c>
      <c r="M1744">
        <v>9</v>
      </c>
      <c r="N1744" t="str">
        <f>VLOOKUP(M1744,[1]LOJA!$A:$B,2,0)</f>
        <v>ÚNICA</v>
      </c>
      <c r="O1744">
        <v>236</v>
      </c>
      <c r="P1744" t="str">
        <f>VLOOKUP(O1744,[1]OPERADORES!$A:$B,2,0)</f>
        <v>DANIEL</v>
      </c>
      <c r="Q1744">
        <v>4</v>
      </c>
      <c r="S1744" t="s">
        <v>5984</v>
      </c>
      <c r="T1744" s="1">
        <v>45968</v>
      </c>
      <c r="U1744">
        <v>-352.32</v>
      </c>
      <c r="V1744">
        <v>-352.32</v>
      </c>
    </row>
    <row r="1745" spans="1:22" x14ac:dyDescent="0.3">
      <c r="A1745" t="s">
        <v>3909</v>
      </c>
      <c r="B1745" t="s">
        <v>3910</v>
      </c>
      <c r="C1745" t="s">
        <v>13</v>
      </c>
      <c r="D1745" t="s">
        <v>137</v>
      </c>
      <c r="E1745" t="s">
        <v>15</v>
      </c>
      <c r="J1745" s="1">
        <v>46052</v>
      </c>
      <c r="K1745">
        <v>32</v>
      </c>
      <c r="L1745" t="s">
        <v>3911</v>
      </c>
      <c r="M1745">
        <v>24</v>
      </c>
      <c r="N1745" t="str">
        <f>VLOOKUP(M1745,[1]LOJA!$A:$B,2,0)</f>
        <v>LUZIÂNIA</v>
      </c>
      <c r="O1745">
        <v>244</v>
      </c>
      <c r="P1745" t="str">
        <f>VLOOKUP(O1745,[1]OPERADORES!$A:$B,2,0)</f>
        <v>NATHALIA PEREIRA DA SILVA</v>
      </c>
      <c r="Q1745">
        <v>4</v>
      </c>
      <c r="S1745" t="s">
        <v>3912</v>
      </c>
      <c r="T1745" s="1">
        <v>46052</v>
      </c>
      <c r="U1745">
        <v>-0.1</v>
      </c>
      <c r="V1745">
        <v>-0.1</v>
      </c>
    </row>
    <row r="1746" spans="1:22" x14ac:dyDescent="0.3">
      <c r="A1746" t="s">
        <v>5985</v>
      </c>
      <c r="B1746" t="s">
        <v>5986</v>
      </c>
      <c r="C1746" t="s">
        <v>30</v>
      </c>
      <c r="D1746" t="s">
        <v>5987</v>
      </c>
      <c r="E1746" t="s">
        <v>15</v>
      </c>
      <c r="J1746" s="1">
        <v>46073</v>
      </c>
      <c r="K1746">
        <v>11</v>
      </c>
      <c r="L1746" t="s">
        <v>5988</v>
      </c>
      <c r="M1746">
        <v>6</v>
      </c>
      <c r="N1746" t="str">
        <f>VLOOKUP(M1746,[1]LOJA!$A:$B,2,0)</f>
        <v>GAMA</v>
      </c>
      <c r="O1746">
        <v>20</v>
      </c>
      <c r="P1746" t="str">
        <f>VLOOKUP(O1746,[1]OPERADORES!$A:$B,2,0)</f>
        <v>MAYARA</v>
      </c>
      <c r="Q1746">
        <v>12</v>
      </c>
      <c r="S1746" t="s">
        <v>5989</v>
      </c>
      <c r="T1746" s="1">
        <v>46056</v>
      </c>
      <c r="U1746" s="2">
        <v>2883.41</v>
      </c>
      <c r="V1746" s="2">
        <v>2883.41</v>
      </c>
    </row>
    <row r="1747" spans="1:22" x14ac:dyDescent="0.3">
      <c r="A1747" t="s">
        <v>3913</v>
      </c>
      <c r="B1747" t="s">
        <v>32</v>
      </c>
      <c r="C1747" t="s">
        <v>43</v>
      </c>
      <c r="D1747" t="s">
        <v>2665</v>
      </c>
      <c r="E1747" t="s">
        <v>15</v>
      </c>
      <c r="J1747" s="1">
        <v>44844</v>
      </c>
      <c r="K1747">
        <v>1240</v>
      </c>
      <c r="L1747" t="s">
        <v>3914</v>
      </c>
      <c r="M1747">
        <v>4</v>
      </c>
      <c r="N1747" t="str">
        <f>VLOOKUP(M1747,[1]LOJA!$A:$B,2,0)</f>
        <v>ADE</v>
      </c>
      <c r="O1747">
        <v>107</v>
      </c>
      <c r="P1747" t="str">
        <f>VLOOKUP(O1747,[1]OPERADORES!$A:$B,2,0)</f>
        <v>DAIANA PORTELA</v>
      </c>
      <c r="Q1747">
        <v>7</v>
      </c>
      <c r="S1747" t="s">
        <v>3915</v>
      </c>
      <c r="T1747" s="1">
        <v>44844</v>
      </c>
      <c r="U1747">
        <v>-0.65</v>
      </c>
      <c r="V1747">
        <v>-0.65</v>
      </c>
    </row>
    <row r="1748" spans="1:22" x14ac:dyDescent="0.3">
      <c r="A1748" t="s">
        <v>3916</v>
      </c>
      <c r="B1748" t="s">
        <v>3917</v>
      </c>
      <c r="C1748" t="s">
        <v>13</v>
      </c>
      <c r="D1748" t="s">
        <v>3918</v>
      </c>
      <c r="E1748" t="s">
        <v>15</v>
      </c>
      <c r="J1748" s="1">
        <v>45316</v>
      </c>
      <c r="K1748">
        <v>768</v>
      </c>
      <c r="L1748" t="s">
        <v>3245</v>
      </c>
      <c r="M1748">
        <v>22</v>
      </c>
      <c r="N1748" t="str">
        <f>VLOOKUP(M1748,[1]LOJA!$A:$B,2,0)</f>
        <v>GUARÁ</v>
      </c>
      <c r="O1748">
        <v>209</v>
      </c>
      <c r="P1748" t="str">
        <f>VLOOKUP(O1748,[1]OPERADORES!$A:$B,2,0)</f>
        <v>MARIA WITHALINA CUNHA DE SOUZA</v>
      </c>
      <c r="Q1748">
        <v>4</v>
      </c>
      <c r="S1748" t="s">
        <v>3919</v>
      </c>
      <c r="T1748" s="1">
        <v>45316</v>
      </c>
      <c r="U1748">
        <v>-2.16</v>
      </c>
      <c r="V1748">
        <v>-2.16</v>
      </c>
    </row>
    <row r="1749" spans="1:22" x14ac:dyDescent="0.3">
      <c r="A1749" t="s">
        <v>3920</v>
      </c>
      <c r="B1749" t="s">
        <v>3921</v>
      </c>
      <c r="C1749" t="s">
        <v>30</v>
      </c>
      <c r="D1749" t="s">
        <v>5990</v>
      </c>
      <c r="E1749" t="s">
        <v>15</v>
      </c>
      <c r="J1749" s="1">
        <v>46042</v>
      </c>
      <c r="K1749">
        <v>42</v>
      </c>
      <c r="L1749" t="s">
        <v>3922</v>
      </c>
      <c r="M1749">
        <v>4</v>
      </c>
      <c r="N1749" t="str">
        <f>VLOOKUP(M1749,[1]LOJA!$A:$B,2,0)</f>
        <v>ADE</v>
      </c>
      <c r="O1749">
        <v>20</v>
      </c>
      <c r="P1749" t="str">
        <f>VLOOKUP(O1749,[1]OPERADORES!$A:$B,2,0)</f>
        <v>MAYARA</v>
      </c>
      <c r="Q1749">
        <v>12</v>
      </c>
      <c r="S1749" t="s">
        <v>5991</v>
      </c>
      <c r="T1749" s="1">
        <v>46028</v>
      </c>
      <c r="U1749" s="2">
        <v>1862.99</v>
      </c>
      <c r="V1749" s="2">
        <v>1862.99</v>
      </c>
    </row>
    <row r="1750" spans="1:22" x14ac:dyDescent="0.3">
      <c r="A1750" t="s">
        <v>3923</v>
      </c>
      <c r="B1750" t="s">
        <v>3924</v>
      </c>
      <c r="C1750" t="s">
        <v>1725</v>
      </c>
      <c r="D1750" t="s">
        <v>5992</v>
      </c>
      <c r="E1750" t="s">
        <v>15</v>
      </c>
      <c r="J1750" s="1">
        <v>46084</v>
      </c>
      <c r="K1750">
        <v>0</v>
      </c>
      <c r="L1750" t="s">
        <v>5993</v>
      </c>
      <c r="M1750">
        <v>9</v>
      </c>
      <c r="N1750" t="str">
        <f>VLOOKUP(M1750,[1]LOJA!$A:$B,2,0)</f>
        <v>ÚNICA</v>
      </c>
      <c r="O1750">
        <v>222</v>
      </c>
      <c r="P1750" t="str">
        <f>VLOOKUP(O1750,[1]OPERADORES!$A:$B,2,0)</f>
        <v>VENDAS AGREGADAS</v>
      </c>
      <c r="Q1750">
        <v>4</v>
      </c>
      <c r="S1750" t="s">
        <v>5994</v>
      </c>
      <c r="T1750" s="1">
        <v>46084</v>
      </c>
      <c r="U1750">
        <v>-399.84</v>
      </c>
      <c r="V1750">
        <v>-399.84</v>
      </c>
    </row>
    <row r="1751" spans="1:22" x14ac:dyDescent="0.3">
      <c r="A1751" t="s">
        <v>3925</v>
      </c>
      <c r="B1751" t="s">
        <v>3926</v>
      </c>
      <c r="C1751" t="s">
        <v>13</v>
      </c>
      <c r="D1751" t="s">
        <v>113</v>
      </c>
      <c r="E1751" t="s">
        <v>15</v>
      </c>
      <c r="J1751" s="1">
        <v>44588</v>
      </c>
      <c r="K1751">
        <v>1496</v>
      </c>
      <c r="L1751" t="s">
        <v>2909</v>
      </c>
      <c r="M1751">
        <v>8</v>
      </c>
      <c r="N1751" t="str">
        <f>VLOOKUP(M1751,[1]LOJA!$A:$B,2,0)</f>
        <v>LUZIÂNIA</v>
      </c>
      <c r="O1751">
        <v>170</v>
      </c>
      <c r="P1751" t="str">
        <f>VLOOKUP(O1751,[1]OPERADORES!$A:$B,2,0)</f>
        <v>MARIA LUISA</v>
      </c>
      <c r="Q1751">
        <v>4</v>
      </c>
      <c r="S1751" t="s">
        <v>3927</v>
      </c>
      <c r="T1751" s="1">
        <v>44588</v>
      </c>
      <c r="U1751">
        <v>-4.0999999999999996</v>
      </c>
      <c r="V1751">
        <v>-4.0999999999999996</v>
      </c>
    </row>
    <row r="1752" spans="1:22" x14ac:dyDescent="0.3">
      <c r="A1752" t="s">
        <v>3928</v>
      </c>
      <c r="B1752" t="s">
        <v>3929</v>
      </c>
      <c r="C1752" t="s">
        <v>13</v>
      </c>
      <c r="D1752" t="s">
        <v>5995</v>
      </c>
      <c r="E1752" t="s">
        <v>15</v>
      </c>
      <c r="J1752" s="1">
        <v>46083</v>
      </c>
      <c r="K1752">
        <v>1</v>
      </c>
      <c r="L1752" t="s">
        <v>5996</v>
      </c>
      <c r="M1752">
        <v>24</v>
      </c>
      <c r="N1752" t="str">
        <f>VLOOKUP(M1752,[1]LOJA!$A:$B,2,0)</f>
        <v>LUZIÂNIA</v>
      </c>
      <c r="O1752">
        <v>170</v>
      </c>
      <c r="P1752" t="str">
        <f>VLOOKUP(O1752,[1]OPERADORES!$A:$B,2,0)</f>
        <v>MARIA LUISA</v>
      </c>
      <c r="Q1752">
        <v>4</v>
      </c>
      <c r="S1752" t="s">
        <v>5997</v>
      </c>
      <c r="T1752" s="1">
        <v>46083</v>
      </c>
      <c r="U1752">
        <v>-15.97</v>
      </c>
      <c r="V1752">
        <v>-15.97</v>
      </c>
    </row>
    <row r="1753" spans="1:22" x14ac:dyDescent="0.3">
      <c r="A1753" t="s">
        <v>3930</v>
      </c>
      <c r="B1753" t="s">
        <v>3931</v>
      </c>
      <c r="C1753" t="s">
        <v>13</v>
      </c>
      <c r="D1753" t="s">
        <v>5998</v>
      </c>
      <c r="E1753" t="s">
        <v>15</v>
      </c>
      <c r="J1753" s="1">
        <v>45924</v>
      </c>
      <c r="K1753">
        <v>160</v>
      </c>
      <c r="L1753" t="s">
        <v>3932</v>
      </c>
      <c r="M1753">
        <v>14</v>
      </c>
      <c r="N1753" t="str">
        <f>VLOOKUP(M1753,[1]LOJA!$A:$B,2,0)</f>
        <v>S IA</v>
      </c>
      <c r="O1753">
        <v>207</v>
      </c>
      <c r="P1753" t="str">
        <f>VLOOKUP(O1753,[1]OPERADORES!$A:$B,2,0)</f>
        <v>KETILE SABRINE</v>
      </c>
      <c r="Q1753">
        <v>4</v>
      </c>
      <c r="S1753" t="s">
        <v>3933</v>
      </c>
      <c r="T1753" s="1">
        <v>45924</v>
      </c>
      <c r="U1753">
        <v>-17.98</v>
      </c>
      <c r="V1753">
        <v>-17.98</v>
      </c>
    </row>
    <row r="1754" spans="1:22" x14ac:dyDescent="0.3">
      <c r="A1754" t="s">
        <v>3930</v>
      </c>
      <c r="B1754" t="s">
        <v>3931</v>
      </c>
      <c r="C1754" t="s">
        <v>13</v>
      </c>
      <c r="D1754" t="s">
        <v>5998</v>
      </c>
      <c r="E1754" t="s">
        <v>15</v>
      </c>
      <c r="J1754" s="1">
        <v>45930</v>
      </c>
      <c r="K1754">
        <v>154</v>
      </c>
      <c r="L1754" t="s">
        <v>3934</v>
      </c>
      <c r="M1754">
        <v>14</v>
      </c>
      <c r="N1754" t="str">
        <f>VLOOKUP(M1754,[1]LOJA!$A:$B,2,0)</f>
        <v>S IA</v>
      </c>
      <c r="O1754">
        <v>207</v>
      </c>
      <c r="P1754" t="str">
        <f>VLOOKUP(O1754,[1]OPERADORES!$A:$B,2,0)</f>
        <v>KETILE SABRINE</v>
      </c>
      <c r="Q1754">
        <v>4</v>
      </c>
      <c r="S1754" t="s">
        <v>3935</v>
      </c>
      <c r="T1754" s="1">
        <v>45930</v>
      </c>
      <c r="U1754">
        <v>-7</v>
      </c>
      <c r="V1754">
        <v>-7</v>
      </c>
    </row>
    <row r="1755" spans="1:22" x14ac:dyDescent="0.3">
      <c r="A1755" t="s">
        <v>3936</v>
      </c>
      <c r="B1755" t="s">
        <v>3937</v>
      </c>
      <c r="C1755" t="s">
        <v>324</v>
      </c>
      <c r="D1755" t="s">
        <v>3938</v>
      </c>
      <c r="E1755" t="s">
        <v>15</v>
      </c>
      <c r="J1755" s="1">
        <v>45520</v>
      </c>
      <c r="K1755">
        <v>564</v>
      </c>
      <c r="L1755" t="s">
        <v>3939</v>
      </c>
      <c r="M1755">
        <v>9</v>
      </c>
      <c r="N1755" t="str">
        <f>VLOOKUP(M1755,[1]LOJA!$A:$B,2,0)</f>
        <v>ÚNICA</v>
      </c>
      <c r="O1755">
        <v>174</v>
      </c>
      <c r="P1755" t="str">
        <f>VLOOKUP(O1755,[1]OPERADORES!$A:$B,2,0)</f>
        <v>MIRIÃ LOBATO RODRIGUES</v>
      </c>
      <c r="Q1755">
        <v>23</v>
      </c>
      <c r="R1755">
        <v>101422</v>
      </c>
      <c r="S1755" t="s">
        <v>51</v>
      </c>
      <c r="T1755" s="1">
        <v>45490</v>
      </c>
      <c r="U1755" s="2">
        <v>1528.6</v>
      </c>
      <c r="V1755" s="2">
        <v>1528.6</v>
      </c>
    </row>
    <row r="1756" spans="1:22" x14ac:dyDescent="0.3">
      <c r="A1756" t="s">
        <v>3936</v>
      </c>
      <c r="B1756" t="s">
        <v>3937</v>
      </c>
      <c r="C1756" t="s">
        <v>324</v>
      </c>
      <c r="D1756" t="s">
        <v>3938</v>
      </c>
      <c r="E1756" t="s">
        <v>15</v>
      </c>
      <c r="J1756" s="1">
        <v>45533</v>
      </c>
      <c r="K1756">
        <v>551</v>
      </c>
      <c r="L1756" t="s">
        <v>3940</v>
      </c>
      <c r="M1756">
        <v>9</v>
      </c>
      <c r="N1756" t="str">
        <f>VLOOKUP(M1756,[1]LOJA!$A:$B,2,0)</f>
        <v>ÚNICA</v>
      </c>
      <c r="O1756">
        <v>174</v>
      </c>
      <c r="P1756" t="str">
        <f>VLOOKUP(O1756,[1]OPERADORES!$A:$B,2,0)</f>
        <v>MIRIÃ LOBATO RODRIGUES</v>
      </c>
      <c r="Q1756">
        <v>23</v>
      </c>
      <c r="R1756">
        <v>103949</v>
      </c>
      <c r="S1756" t="s">
        <v>51</v>
      </c>
      <c r="T1756" s="1">
        <v>45503</v>
      </c>
      <c r="U1756" s="2">
        <v>1675.55</v>
      </c>
      <c r="V1756" s="2">
        <v>1675.55</v>
      </c>
    </row>
    <row r="1757" spans="1:22" x14ac:dyDescent="0.3">
      <c r="A1757" t="s">
        <v>3936</v>
      </c>
      <c r="B1757" t="s">
        <v>3937</v>
      </c>
      <c r="C1757" t="s">
        <v>324</v>
      </c>
      <c r="D1757" t="s">
        <v>3938</v>
      </c>
      <c r="E1757" t="s">
        <v>15</v>
      </c>
      <c r="J1757" s="1">
        <v>45550</v>
      </c>
      <c r="K1757">
        <v>534</v>
      </c>
      <c r="L1757" t="s">
        <v>3941</v>
      </c>
      <c r="M1757">
        <v>9</v>
      </c>
      <c r="N1757" t="str">
        <f>VLOOKUP(M1757,[1]LOJA!$A:$B,2,0)</f>
        <v>ÚNICA</v>
      </c>
      <c r="O1757">
        <v>174</v>
      </c>
      <c r="P1757" t="str">
        <f>VLOOKUP(O1757,[1]OPERADORES!$A:$B,2,0)</f>
        <v>MIRIÃ LOBATO RODRIGUES</v>
      </c>
      <c r="Q1757">
        <v>23</v>
      </c>
      <c r="R1757">
        <v>101430</v>
      </c>
      <c r="S1757" t="s">
        <v>53</v>
      </c>
      <c r="T1757" s="1">
        <v>45490</v>
      </c>
      <c r="U1757" s="2">
        <v>1528.6</v>
      </c>
      <c r="V1757" s="2">
        <v>1528.6</v>
      </c>
    </row>
    <row r="1758" spans="1:22" x14ac:dyDescent="0.3">
      <c r="A1758" t="s">
        <v>3936</v>
      </c>
      <c r="B1758" t="s">
        <v>3937</v>
      </c>
      <c r="C1758" t="s">
        <v>324</v>
      </c>
      <c r="D1758" t="s">
        <v>3938</v>
      </c>
      <c r="E1758" t="s">
        <v>15</v>
      </c>
      <c r="J1758" s="1">
        <v>45563</v>
      </c>
      <c r="K1758">
        <v>521</v>
      </c>
      <c r="L1758" t="s">
        <v>3942</v>
      </c>
      <c r="M1758">
        <v>9</v>
      </c>
      <c r="N1758" t="str">
        <f>VLOOKUP(M1758,[1]LOJA!$A:$B,2,0)</f>
        <v>ÚNICA</v>
      </c>
      <c r="O1758">
        <v>174</v>
      </c>
      <c r="P1758" t="str">
        <f>VLOOKUP(O1758,[1]OPERADORES!$A:$B,2,0)</f>
        <v>MIRIÃ LOBATO RODRIGUES</v>
      </c>
      <c r="Q1758">
        <v>23</v>
      </c>
      <c r="R1758">
        <v>103956</v>
      </c>
      <c r="S1758" t="s">
        <v>53</v>
      </c>
      <c r="T1758" s="1">
        <v>45503</v>
      </c>
      <c r="U1758" s="2">
        <v>1675.55</v>
      </c>
      <c r="V1758" s="2">
        <v>1675.55</v>
      </c>
    </row>
    <row r="1759" spans="1:22" x14ac:dyDescent="0.3">
      <c r="A1759" t="s">
        <v>3936</v>
      </c>
      <c r="B1759" t="s">
        <v>3937</v>
      </c>
      <c r="C1759" t="s">
        <v>324</v>
      </c>
      <c r="D1759" t="s">
        <v>3938</v>
      </c>
      <c r="E1759" t="s">
        <v>15</v>
      </c>
      <c r="J1759" s="1">
        <v>45580</v>
      </c>
      <c r="K1759">
        <v>504</v>
      </c>
      <c r="L1759" t="s">
        <v>3943</v>
      </c>
      <c r="M1759">
        <v>9</v>
      </c>
      <c r="N1759" t="str">
        <f>VLOOKUP(M1759,[1]LOJA!$A:$B,2,0)</f>
        <v>ÚNICA</v>
      </c>
      <c r="O1759">
        <v>174</v>
      </c>
      <c r="P1759" t="str">
        <f>VLOOKUP(O1759,[1]OPERADORES!$A:$B,2,0)</f>
        <v>MIRIÃ LOBATO RODRIGUES</v>
      </c>
      <c r="Q1759">
        <v>23</v>
      </c>
      <c r="R1759">
        <v>101448</v>
      </c>
      <c r="S1759" t="s">
        <v>55</v>
      </c>
      <c r="T1759" s="1">
        <v>45490</v>
      </c>
      <c r="U1759" s="2">
        <v>1528.6</v>
      </c>
      <c r="V1759" s="2">
        <v>1528.6</v>
      </c>
    </row>
    <row r="1760" spans="1:22" x14ac:dyDescent="0.3">
      <c r="A1760" t="s">
        <v>3936</v>
      </c>
      <c r="B1760" t="s">
        <v>3937</v>
      </c>
      <c r="C1760" t="s">
        <v>324</v>
      </c>
      <c r="D1760" t="s">
        <v>3938</v>
      </c>
      <c r="E1760" t="s">
        <v>15</v>
      </c>
      <c r="J1760" s="1">
        <v>45593</v>
      </c>
      <c r="K1760">
        <v>491</v>
      </c>
      <c r="L1760" t="s">
        <v>3944</v>
      </c>
      <c r="M1760">
        <v>9</v>
      </c>
      <c r="N1760" t="str">
        <f>VLOOKUP(M1760,[1]LOJA!$A:$B,2,0)</f>
        <v>ÚNICA</v>
      </c>
      <c r="O1760">
        <v>174</v>
      </c>
      <c r="P1760" t="str">
        <f>VLOOKUP(O1760,[1]OPERADORES!$A:$B,2,0)</f>
        <v>MIRIÃ LOBATO RODRIGUES</v>
      </c>
      <c r="Q1760">
        <v>23</v>
      </c>
      <c r="R1760">
        <v>103964</v>
      </c>
      <c r="S1760" t="s">
        <v>55</v>
      </c>
      <c r="T1760" s="1">
        <v>45503</v>
      </c>
      <c r="U1760" s="2">
        <v>1675.55</v>
      </c>
      <c r="V1760" s="2">
        <v>1675.55</v>
      </c>
    </row>
    <row r="1761" spans="1:22" x14ac:dyDescent="0.3">
      <c r="A1761" t="s">
        <v>3945</v>
      </c>
      <c r="B1761" t="s">
        <v>3946</v>
      </c>
      <c r="C1761" t="s">
        <v>13</v>
      </c>
      <c r="D1761" t="s">
        <v>5999</v>
      </c>
      <c r="E1761" t="s">
        <v>15</v>
      </c>
      <c r="J1761" s="1">
        <v>46083</v>
      </c>
      <c r="K1761">
        <v>1</v>
      </c>
      <c r="L1761" t="s">
        <v>6000</v>
      </c>
      <c r="M1761">
        <v>24</v>
      </c>
      <c r="N1761" t="str">
        <f>VLOOKUP(M1761,[1]LOJA!$A:$B,2,0)</f>
        <v>LUZIÂNIA</v>
      </c>
      <c r="O1761">
        <v>170</v>
      </c>
      <c r="P1761" t="str">
        <f>VLOOKUP(O1761,[1]OPERADORES!$A:$B,2,0)</f>
        <v>MARIA LUISA</v>
      </c>
      <c r="Q1761">
        <v>4</v>
      </c>
      <c r="S1761" t="s">
        <v>110</v>
      </c>
      <c r="T1761" s="1">
        <v>46083</v>
      </c>
      <c r="U1761">
        <v>-82</v>
      </c>
      <c r="V1761">
        <v>-82</v>
      </c>
    </row>
    <row r="1762" spans="1:22" x14ac:dyDescent="0.3">
      <c r="A1762" t="s">
        <v>3945</v>
      </c>
      <c r="B1762" t="s">
        <v>3946</v>
      </c>
      <c r="C1762" t="s">
        <v>13</v>
      </c>
      <c r="D1762" t="s">
        <v>5999</v>
      </c>
      <c r="E1762" t="s">
        <v>15</v>
      </c>
      <c r="J1762" s="1">
        <v>46084</v>
      </c>
      <c r="K1762">
        <v>0</v>
      </c>
      <c r="L1762" t="s">
        <v>6001</v>
      </c>
      <c r="M1762">
        <v>24</v>
      </c>
      <c r="N1762" t="str">
        <f>VLOOKUP(M1762,[1]LOJA!$A:$B,2,0)</f>
        <v>LUZIÂNIA</v>
      </c>
      <c r="O1762">
        <v>170</v>
      </c>
      <c r="P1762" t="str">
        <f>VLOOKUP(O1762,[1]OPERADORES!$A:$B,2,0)</f>
        <v>MARIA LUISA</v>
      </c>
      <c r="Q1762">
        <v>4</v>
      </c>
      <c r="S1762" t="s">
        <v>6002</v>
      </c>
      <c r="T1762" s="1">
        <v>46083</v>
      </c>
      <c r="U1762">
        <v>-93.65</v>
      </c>
      <c r="V1762">
        <v>-93.65</v>
      </c>
    </row>
    <row r="1763" spans="1:22" x14ac:dyDescent="0.3">
      <c r="A1763" t="s">
        <v>3947</v>
      </c>
      <c r="B1763" t="s">
        <v>32</v>
      </c>
      <c r="C1763" t="s">
        <v>13</v>
      </c>
      <c r="D1763" t="s">
        <v>3948</v>
      </c>
      <c r="E1763" t="s">
        <v>15</v>
      </c>
      <c r="J1763" s="1">
        <v>45670</v>
      </c>
      <c r="K1763">
        <v>414</v>
      </c>
      <c r="L1763" t="s">
        <v>3949</v>
      </c>
      <c r="M1763">
        <v>8</v>
      </c>
      <c r="N1763" t="str">
        <f>VLOOKUP(M1763,[1]LOJA!$A:$B,2,0)</f>
        <v>LUZIÂNIA</v>
      </c>
      <c r="O1763">
        <v>170</v>
      </c>
      <c r="P1763" t="str">
        <f>VLOOKUP(O1763,[1]OPERADORES!$A:$B,2,0)</f>
        <v>MARIA LUISA</v>
      </c>
      <c r="Q1763">
        <v>4</v>
      </c>
      <c r="S1763" t="s">
        <v>110</v>
      </c>
      <c r="T1763" s="1">
        <v>45670</v>
      </c>
      <c r="U1763">
        <v>-9.5</v>
      </c>
      <c r="V1763">
        <v>-9.5</v>
      </c>
    </row>
    <row r="1764" spans="1:22" x14ac:dyDescent="0.3">
      <c r="A1764" t="s">
        <v>3947</v>
      </c>
      <c r="B1764" t="s">
        <v>32</v>
      </c>
      <c r="C1764" t="s">
        <v>13</v>
      </c>
      <c r="D1764" t="s">
        <v>3948</v>
      </c>
      <c r="E1764" t="s">
        <v>15</v>
      </c>
      <c r="J1764" s="1">
        <v>45677</v>
      </c>
      <c r="K1764">
        <v>407</v>
      </c>
      <c r="L1764" t="s">
        <v>3950</v>
      </c>
      <c r="M1764">
        <v>8</v>
      </c>
      <c r="N1764" t="str">
        <f>VLOOKUP(M1764,[1]LOJA!$A:$B,2,0)</f>
        <v>LUZIÂNIA</v>
      </c>
      <c r="O1764">
        <v>170</v>
      </c>
      <c r="P1764" t="str">
        <f>VLOOKUP(O1764,[1]OPERADORES!$A:$B,2,0)</f>
        <v>MARIA LUISA</v>
      </c>
      <c r="Q1764">
        <v>4</v>
      </c>
      <c r="S1764" t="s">
        <v>3951</v>
      </c>
      <c r="T1764" s="1">
        <v>45677</v>
      </c>
      <c r="U1764">
        <v>-5.0999999999999996</v>
      </c>
      <c r="V1764">
        <v>-5.0999999999999996</v>
      </c>
    </row>
    <row r="1765" spans="1:22" x14ac:dyDescent="0.3">
      <c r="A1765" t="s">
        <v>3947</v>
      </c>
      <c r="B1765" t="s">
        <v>32</v>
      </c>
      <c r="C1765" t="s">
        <v>13</v>
      </c>
      <c r="D1765" t="s">
        <v>3948</v>
      </c>
      <c r="E1765" t="s">
        <v>15</v>
      </c>
      <c r="J1765" s="1">
        <v>45929</v>
      </c>
      <c r="K1765">
        <v>155</v>
      </c>
      <c r="L1765" t="s">
        <v>2929</v>
      </c>
      <c r="M1765">
        <v>24</v>
      </c>
      <c r="N1765" t="str">
        <f>VLOOKUP(M1765,[1]LOJA!$A:$B,2,0)</f>
        <v>LUZIÂNIA</v>
      </c>
      <c r="O1765">
        <v>244</v>
      </c>
      <c r="P1765" t="str">
        <f>VLOOKUP(O1765,[1]OPERADORES!$A:$B,2,0)</f>
        <v>NATHALIA PEREIRA DA SILVA</v>
      </c>
      <c r="Q1765">
        <v>4</v>
      </c>
      <c r="S1765" t="s">
        <v>3952</v>
      </c>
      <c r="T1765" s="1">
        <v>45929</v>
      </c>
      <c r="U1765">
        <v>-10</v>
      </c>
      <c r="V1765">
        <v>-10</v>
      </c>
    </row>
    <row r="1766" spans="1:22" x14ac:dyDescent="0.3">
      <c r="A1766" t="s">
        <v>3953</v>
      </c>
      <c r="B1766" t="s">
        <v>3954</v>
      </c>
      <c r="C1766" t="s">
        <v>13</v>
      </c>
      <c r="D1766" t="s">
        <v>3955</v>
      </c>
      <c r="E1766" t="s">
        <v>15</v>
      </c>
      <c r="J1766" s="1">
        <v>45987</v>
      </c>
      <c r="K1766">
        <v>97</v>
      </c>
      <c r="L1766" t="s">
        <v>3956</v>
      </c>
      <c r="M1766">
        <v>24</v>
      </c>
      <c r="N1766" t="str">
        <f>VLOOKUP(M1766,[1]LOJA!$A:$B,2,0)</f>
        <v>LUZIÂNIA</v>
      </c>
      <c r="O1766">
        <v>244</v>
      </c>
      <c r="P1766" t="str">
        <f>VLOOKUP(O1766,[1]OPERADORES!$A:$B,2,0)</f>
        <v>NATHALIA PEREIRA DA SILVA</v>
      </c>
      <c r="Q1766">
        <v>4</v>
      </c>
      <c r="S1766" t="s">
        <v>3957</v>
      </c>
      <c r="T1766" s="1">
        <v>45986</v>
      </c>
      <c r="U1766">
        <v>-42.64</v>
      </c>
      <c r="V1766">
        <v>-42.64</v>
      </c>
    </row>
    <row r="1767" spans="1:22" x14ac:dyDescent="0.3">
      <c r="A1767" t="s">
        <v>3958</v>
      </c>
      <c r="B1767" t="s">
        <v>3959</v>
      </c>
      <c r="C1767" t="s">
        <v>13</v>
      </c>
      <c r="D1767" t="s">
        <v>1057</v>
      </c>
      <c r="E1767" t="s">
        <v>15</v>
      </c>
      <c r="J1767" s="1">
        <v>45398</v>
      </c>
      <c r="K1767">
        <v>686</v>
      </c>
      <c r="L1767" t="s">
        <v>3960</v>
      </c>
      <c r="M1767">
        <v>13</v>
      </c>
      <c r="N1767" t="str">
        <f>VLOOKUP(M1767,[1]LOJA!$A:$B,2,0)</f>
        <v>CEILÂNDIA</v>
      </c>
      <c r="O1767">
        <v>67</v>
      </c>
      <c r="P1767" t="str">
        <f>VLOOKUP(O1767,[1]OPERADORES!$A:$B,2,0)</f>
        <v>ERIKA</v>
      </c>
      <c r="Q1767">
        <v>10</v>
      </c>
      <c r="S1767" t="s">
        <v>3961</v>
      </c>
      <c r="T1767" s="1">
        <v>45398</v>
      </c>
      <c r="U1767">
        <v>-0.01</v>
      </c>
      <c r="V1767">
        <v>-0.01</v>
      </c>
    </row>
    <row r="1768" spans="1:22" x14ac:dyDescent="0.3">
      <c r="A1768" t="s">
        <v>3962</v>
      </c>
      <c r="B1768" t="s">
        <v>3963</v>
      </c>
      <c r="C1768" t="s">
        <v>13</v>
      </c>
      <c r="D1768" t="s">
        <v>3396</v>
      </c>
      <c r="E1768" t="s">
        <v>15</v>
      </c>
      <c r="J1768" s="1">
        <v>45526</v>
      </c>
      <c r="K1768">
        <v>558</v>
      </c>
      <c r="L1768" t="s">
        <v>3964</v>
      </c>
      <c r="M1768">
        <v>6</v>
      </c>
      <c r="N1768" t="str">
        <f>VLOOKUP(M1768,[1]LOJA!$A:$B,2,0)</f>
        <v>GAMA</v>
      </c>
      <c r="O1768">
        <v>98</v>
      </c>
      <c r="P1768" t="str">
        <f>VLOOKUP(O1768,[1]OPERADORES!$A:$B,2,0)</f>
        <v xml:space="preserve">ARIGLEICE </v>
      </c>
      <c r="Q1768">
        <v>4</v>
      </c>
      <c r="S1768" t="s">
        <v>3965</v>
      </c>
      <c r="T1768" s="1">
        <v>45526</v>
      </c>
      <c r="U1768">
        <v>-1</v>
      </c>
      <c r="V1768">
        <v>-1</v>
      </c>
    </row>
    <row r="1769" spans="1:22" x14ac:dyDescent="0.3">
      <c r="A1769" t="s">
        <v>3962</v>
      </c>
      <c r="B1769" t="s">
        <v>3963</v>
      </c>
      <c r="C1769" t="s">
        <v>13</v>
      </c>
      <c r="D1769" t="s">
        <v>3396</v>
      </c>
      <c r="E1769" t="s">
        <v>15</v>
      </c>
      <c r="J1769" s="1">
        <v>45679</v>
      </c>
      <c r="K1769">
        <v>405</v>
      </c>
      <c r="L1769" t="s">
        <v>3966</v>
      </c>
      <c r="M1769">
        <v>6</v>
      </c>
      <c r="N1769" t="str">
        <f>VLOOKUP(M1769,[1]LOJA!$A:$B,2,0)</f>
        <v>GAMA</v>
      </c>
      <c r="O1769">
        <v>98</v>
      </c>
      <c r="P1769" t="str">
        <f>VLOOKUP(O1769,[1]OPERADORES!$A:$B,2,0)</f>
        <v xml:space="preserve">ARIGLEICE </v>
      </c>
      <c r="Q1769">
        <v>4</v>
      </c>
      <c r="S1769" t="s">
        <v>3965</v>
      </c>
      <c r="T1769" s="1">
        <v>45679</v>
      </c>
      <c r="U1769">
        <v>-3</v>
      </c>
      <c r="V1769">
        <v>-3</v>
      </c>
    </row>
    <row r="1770" spans="1:22" x14ac:dyDescent="0.3">
      <c r="A1770" t="s">
        <v>3967</v>
      </c>
      <c r="B1770" t="s">
        <v>3968</v>
      </c>
      <c r="C1770" t="s">
        <v>13</v>
      </c>
      <c r="D1770" t="s">
        <v>221</v>
      </c>
      <c r="E1770" t="s">
        <v>15</v>
      </c>
      <c r="J1770" s="1">
        <v>45246</v>
      </c>
      <c r="K1770">
        <v>838</v>
      </c>
      <c r="L1770" t="s">
        <v>3969</v>
      </c>
      <c r="M1770">
        <v>1</v>
      </c>
      <c r="N1770" t="str">
        <f>VLOOKUP(M1770,[1]LOJA!$A:$B,2,0)</f>
        <v>GUARÁ</v>
      </c>
      <c r="O1770">
        <v>206</v>
      </c>
      <c r="P1770" t="str">
        <f>VLOOKUP(O1770,[1]OPERADORES!$A:$B,2,0)</f>
        <v>LAURA LISBOA</v>
      </c>
      <c r="Q1770">
        <v>4</v>
      </c>
      <c r="S1770" t="s">
        <v>3970</v>
      </c>
      <c r="T1770" s="1">
        <v>45246</v>
      </c>
      <c r="U1770">
        <v>-27</v>
      </c>
      <c r="V1770">
        <v>-27</v>
      </c>
    </row>
    <row r="1771" spans="1:22" x14ac:dyDescent="0.3">
      <c r="A1771" t="s">
        <v>3971</v>
      </c>
      <c r="B1771" t="s">
        <v>3972</v>
      </c>
      <c r="C1771" t="s">
        <v>43</v>
      </c>
      <c r="D1771" t="s">
        <v>6003</v>
      </c>
      <c r="E1771" t="s">
        <v>15</v>
      </c>
      <c r="J1771" s="1">
        <v>45552</v>
      </c>
      <c r="K1771">
        <v>532</v>
      </c>
      <c r="L1771" t="s">
        <v>3973</v>
      </c>
      <c r="M1771">
        <v>14</v>
      </c>
      <c r="N1771" t="str">
        <f>VLOOKUP(M1771,[1]LOJA!$A:$B,2,0)</f>
        <v>S IA</v>
      </c>
      <c r="O1771">
        <v>227</v>
      </c>
      <c r="P1771" t="str">
        <f>VLOOKUP(O1771,[1]OPERADORES!$A:$B,2,0)</f>
        <v>WHALISSON</v>
      </c>
      <c r="Q1771">
        <v>4</v>
      </c>
      <c r="S1771" t="s">
        <v>3974</v>
      </c>
      <c r="T1771" s="1">
        <v>45552</v>
      </c>
      <c r="U1771">
        <v>-14.62</v>
      </c>
      <c r="V1771">
        <v>-14.62</v>
      </c>
    </row>
    <row r="1772" spans="1:22" x14ac:dyDescent="0.3">
      <c r="A1772" t="s">
        <v>6004</v>
      </c>
      <c r="B1772" t="s">
        <v>6005</v>
      </c>
      <c r="C1772" t="s">
        <v>13</v>
      </c>
      <c r="D1772" t="s">
        <v>6006</v>
      </c>
      <c r="E1772" t="s">
        <v>15</v>
      </c>
      <c r="J1772" s="1">
        <v>46074</v>
      </c>
      <c r="K1772">
        <v>10</v>
      </c>
      <c r="L1772" t="s">
        <v>3393</v>
      </c>
      <c r="M1772">
        <v>24</v>
      </c>
      <c r="N1772" t="str">
        <f>VLOOKUP(M1772,[1]LOJA!$A:$B,2,0)</f>
        <v>LUZIÂNIA</v>
      </c>
      <c r="O1772">
        <v>170</v>
      </c>
      <c r="P1772" t="str">
        <f>VLOOKUP(O1772,[1]OPERADORES!$A:$B,2,0)</f>
        <v>MARIA LUISA</v>
      </c>
      <c r="Q1772">
        <v>4</v>
      </c>
      <c r="S1772" t="s">
        <v>6007</v>
      </c>
      <c r="T1772" s="1">
        <v>46074</v>
      </c>
      <c r="U1772">
        <v>-0.1</v>
      </c>
      <c r="V1772">
        <v>-0.1</v>
      </c>
    </row>
    <row r="1773" spans="1:22" x14ac:dyDescent="0.3">
      <c r="A1773" t="s">
        <v>6004</v>
      </c>
      <c r="B1773" t="s">
        <v>6005</v>
      </c>
      <c r="C1773" t="s">
        <v>13</v>
      </c>
      <c r="D1773" t="s">
        <v>6006</v>
      </c>
      <c r="E1773" t="s">
        <v>15</v>
      </c>
      <c r="J1773" s="1">
        <v>46078</v>
      </c>
      <c r="K1773">
        <v>6</v>
      </c>
      <c r="L1773" t="s">
        <v>6008</v>
      </c>
      <c r="M1773">
        <v>24</v>
      </c>
      <c r="N1773" t="str">
        <f>VLOOKUP(M1773,[1]LOJA!$A:$B,2,0)</f>
        <v>LUZIÂNIA</v>
      </c>
      <c r="O1773">
        <v>150</v>
      </c>
      <c r="P1773" t="str">
        <f>VLOOKUP(O1773,[1]OPERADORES!$A:$B,2,0)</f>
        <v>LUZIBERTO GOMES DA SILVA</v>
      </c>
      <c r="Q1773">
        <v>7</v>
      </c>
      <c r="S1773" t="s">
        <v>87</v>
      </c>
      <c r="T1773" s="1">
        <v>46077</v>
      </c>
      <c r="U1773">
        <v>44</v>
      </c>
      <c r="V1773">
        <v>44</v>
      </c>
    </row>
    <row r="1774" spans="1:22" x14ac:dyDescent="0.3">
      <c r="A1774" t="s">
        <v>6004</v>
      </c>
      <c r="B1774" t="s">
        <v>6005</v>
      </c>
      <c r="C1774" t="s">
        <v>13</v>
      </c>
      <c r="D1774" t="s">
        <v>6006</v>
      </c>
      <c r="E1774" t="s">
        <v>15</v>
      </c>
      <c r="J1774" s="1">
        <v>46078</v>
      </c>
      <c r="K1774">
        <v>6</v>
      </c>
      <c r="L1774" t="s">
        <v>6009</v>
      </c>
      <c r="M1774">
        <v>24</v>
      </c>
      <c r="N1774" t="str">
        <f>VLOOKUP(M1774,[1]LOJA!$A:$B,2,0)</f>
        <v>LUZIÂNIA</v>
      </c>
      <c r="O1774">
        <v>150</v>
      </c>
      <c r="P1774" t="str">
        <f>VLOOKUP(O1774,[1]OPERADORES!$A:$B,2,0)</f>
        <v>LUZIBERTO GOMES DA SILVA</v>
      </c>
      <c r="Q1774">
        <v>7</v>
      </c>
      <c r="S1774" t="s">
        <v>87</v>
      </c>
      <c r="T1774" s="1">
        <v>46077</v>
      </c>
      <c r="U1774">
        <v>233.4</v>
      </c>
      <c r="V1774">
        <v>233.4</v>
      </c>
    </row>
    <row r="1775" spans="1:22" x14ac:dyDescent="0.3">
      <c r="A1775" t="s">
        <v>6004</v>
      </c>
      <c r="B1775" t="s">
        <v>6005</v>
      </c>
      <c r="C1775" t="s">
        <v>13</v>
      </c>
      <c r="D1775" t="s">
        <v>6006</v>
      </c>
      <c r="E1775" t="s">
        <v>15</v>
      </c>
      <c r="J1775" s="1">
        <v>46081</v>
      </c>
      <c r="K1775">
        <v>3</v>
      </c>
      <c r="L1775" t="s">
        <v>6010</v>
      </c>
      <c r="M1775">
        <v>24</v>
      </c>
      <c r="N1775" t="str">
        <f>VLOOKUP(M1775,[1]LOJA!$A:$B,2,0)</f>
        <v>LUZIÂNIA</v>
      </c>
      <c r="O1775">
        <v>150</v>
      </c>
      <c r="P1775" t="str">
        <f>VLOOKUP(O1775,[1]OPERADORES!$A:$B,2,0)</f>
        <v>LUZIBERTO GOMES DA SILVA</v>
      </c>
      <c r="Q1775">
        <v>7</v>
      </c>
      <c r="S1775" t="s">
        <v>87</v>
      </c>
      <c r="T1775" s="1">
        <v>46080</v>
      </c>
      <c r="U1775">
        <v>189</v>
      </c>
      <c r="V1775">
        <v>189</v>
      </c>
    </row>
    <row r="1776" spans="1:22" x14ac:dyDescent="0.3">
      <c r="A1776" t="s">
        <v>3975</v>
      </c>
      <c r="B1776" t="s">
        <v>3976</v>
      </c>
      <c r="C1776" t="s">
        <v>13</v>
      </c>
      <c r="D1776" t="s">
        <v>3977</v>
      </c>
      <c r="E1776" t="s">
        <v>15</v>
      </c>
      <c r="J1776" s="1">
        <v>44749</v>
      </c>
      <c r="K1776">
        <v>1335</v>
      </c>
      <c r="L1776" t="s">
        <v>3978</v>
      </c>
      <c r="M1776">
        <v>14</v>
      </c>
      <c r="N1776" t="str">
        <f>VLOOKUP(M1776,[1]LOJA!$A:$B,2,0)</f>
        <v>S IA</v>
      </c>
      <c r="O1776">
        <v>144</v>
      </c>
      <c r="P1776" t="str">
        <f>VLOOKUP(O1776,[1]OPERADORES!$A:$B,2,0)</f>
        <v>CINTIA DA SILVA CARLOS</v>
      </c>
      <c r="Q1776">
        <v>4</v>
      </c>
      <c r="S1776" t="s">
        <v>3979</v>
      </c>
      <c r="T1776" s="1">
        <v>44749</v>
      </c>
      <c r="U1776">
        <v>-7.57</v>
      </c>
      <c r="V1776">
        <v>-7.57</v>
      </c>
    </row>
    <row r="1777" spans="1:22" x14ac:dyDescent="0.3">
      <c r="A1777" t="s">
        <v>3980</v>
      </c>
      <c r="B1777" t="s">
        <v>232</v>
      </c>
      <c r="C1777" t="s">
        <v>13</v>
      </c>
      <c r="D1777" t="s">
        <v>3981</v>
      </c>
      <c r="E1777" t="s">
        <v>15</v>
      </c>
      <c r="J1777" s="1">
        <v>45918</v>
      </c>
      <c r="K1777">
        <v>166</v>
      </c>
      <c r="L1777" t="s">
        <v>3982</v>
      </c>
      <c r="M1777">
        <v>13</v>
      </c>
      <c r="N1777" t="str">
        <f>VLOOKUP(M1777,[1]LOJA!$A:$B,2,0)</f>
        <v>CEILÂNDIA</v>
      </c>
      <c r="O1777">
        <v>33</v>
      </c>
      <c r="P1777" t="str">
        <f>VLOOKUP(O1777,[1]OPERADORES!$A:$B,2,0)</f>
        <v>PAULINHO</v>
      </c>
      <c r="Q1777">
        <v>4</v>
      </c>
      <c r="S1777" t="s">
        <v>3983</v>
      </c>
      <c r="T1777" s="1">
        <v>45918</v>
      </c>
      <c r="U1777">
        <v>-10.46</v>
      </c>
      <c r="V1777">
        <v>-10.46</v>
      </c>
    </row>
    <row r="1778" spans="1:22" x14ac:dyDescent="0.3">
      <c r="A1778" t="s">
        <v>3984</v>
      </c>
      <c r="B1778" t="s">
        <v>3985</v>
      </c>
      <c r="C1778" t="s">
        <v>13</v>
      </c>
      <c r="D1778" t="s">
        <v>3986</v>
      </c>
      <c r="E1778" t="s">
        <v>15</v>
      </c>
      <c r="J1778" s="1">
        <v>45646</v>
      </c>
      <c r="K1778">
        <v>438</v>
      </c>
      <c r="L1778" t="s">
        <v>3987</v>
      </c>
      <c r="M1778">
        <v>8</v>
      </c>
      <c r="N1778" t="str">
        <f>VLOOKUP(M1778,[1]LOJA!$A:$B,2,0)</f>
        <v>LUZIÂNIA</v>
      </c>
      <c r="O1778">
        <v>170</v>
      </c>
      <c r="P1778" t="str">
        <f>VLOOKUP(O1778,[1]OPERADORES!$A:$B,2,0)</f>
        <v>MARIA LUISA</v>
      </c>
      <c r="Q1778">
        <v>4</v>
      </c>
      <c r="S1778" t="s">
        <v>3988</v>
      </c>
      <c r="T1778" s="1">
        <v>45646</v>
      </c>
      <c r="U1778">
        <v>-2.33</v>
      </c>
      <c r="V1778">
        <v>-2.33</v>
      </c>
    </row>
    <row r="1779" spans="1:22" x14ac:dyDescent="0.3">
      <c r="A1779" t="s">
        <v>3989</v>
      </c>
      <c r="B1779" t="s">
        <v>3990</v>
      </c>
      <c r="C1779" t="s">
        <v>13</v>
      </c>
      <c r="D1779" t="s">
        <v>3991</v>
      </c>
      <c r="E1779" t="s">
        <v>15</v>
      </c>
      <c r="J1779" s="1">
        <v>45397</v>
      </c>
      <c r="K1779">
        <v>687</v>
      </c>
      <c r="L1779" t="s">
        <v>3992</v>
      </c>
      <c r="M1779">
        <v>9</v>
      </c>
      <c r="N1779" t="str">
        <f>VLOOKUP(M1779,[1]LOJA!$A:$B,2,0)</f>
        <v>ÚNICA</v>
      </c>
      <c r="O1779">
        <v>197</v>
      </c>
      <c r="P1779" t="str">
        <f>VLOOKUP(O1779,[1]OPERADORES!$A:$B,2,0)</f>
        <v xml:space="preserve">POLIANA LORRANE DE AMORIM </v>
      </c>
      <c r="Q1779">
        <v>23</v>
      </c>
      <c r="R1779">
        <v>73431</v>
      </c>
      <c r="S1779" t="s">
        <v>53</v>
      </c>
      <c r="T1779" s="1">
        <v>45322</v>
      </c>
      <c r="U1779">
        <v>824.81</v>
      </c>
      <c r="V1779">
        <v>824.81</v>
      </c>
    </row>
    <row r="1780" spans="1:22" x14ac:dyDescent="0.3">
      <c r="A1780" t="s">
        <v>3989</v>
      </c>
      <c r="B1780" t="s">
        <v>3990</v>
      </c>
      <c r="C1780" t="s">
        <v>13</v>
      </c>
      <c r="D1780" t="s">
        <v>3991</v>
      </c>
      <c r="E1780" t="s">
        <v>15</v>
      </c>
      <c r="J1780" s="1">
        <v>45412</v>
      </c>
      <c r="K1780">
        <v>672</v>
      </c>
      <c r="L1780" t="s">
        <v>3993</v>
      </c>
      <c r="M1780">
        <v>9</v>
      </c>
      <c r="N1780" t="str">
        <f>VLOOKUP(M1780,[1]LOJA!$A:$B,2,0)</f>
        <v>ÚNICA</v>
      </c>
      <c r="O1780">
        <v>145</v>
      </c>
      <c r="P1780" t="str">
        <f>VLOOKUP(O1780,[1]OPERADORES!$A:$B,2,0)</f>
        <v xml:space="preserve">FABRICIA </v>
      </c>
      <c r="Q1780">
        <v>23</v>
      </c>
      <c r="R1780">
        <v>71302</v>
      </c>
      <c r="S1780" t="s">
        <v>55</v>
      </c>
      <c r="T1780" s="1">
        <v>45308</v>
      </c>
      <c r="U1780" s="2">
        <v>1417.65</v>
      </c>
      <c r="V1780" s="2">
        <v>1417.65</v>
      </c>
    </row>
    <row r="1781" spans="1:22" x14ac:dyDescent="0.3">
      <c r="A1781" t="s">
        <v>3989</v>
      </c>
      <c r="B1781" t="s">
        <v>3990</v>
      </c>
      <c r="C1781" t="s">
        <v>13</v>
      </c>
      <c r="D1781" t="s">
        <v>3991</v>
      </c>
      <c r="E1781" t="s">
        <v>15</v>
      </c>
      <c r="J1781" s="1">
        <v>45412</v>
      </c>
      <c r="K1781">
        <v>672</v>
      </c>
      <c r="L1781" t="s">
        <v>3994</v>
      </c>
      <c r="M1781">
        <v>9</v>
      </c>
      <c r="N1781" t="str">
        <f>VLOOKUP(M1781,[1]LOJA!$A:$B,2,0)</f>
        <v>ÚNICA</v>
      </c>
      <c r="O1781">
        <v>197</v>
      </c>
      <c r="P1781" t="str">
        <f>VLOOKUP(O1781,[1]OPERADORES!$A:$B,2,0)</f>
        <v xml:space="preserve">POLIANA LORRANE DE AMORIM </v>
      </c>
      <c r="Q1781">
        <v>23</v>
      </c>
      <c r="R1781">
        <v>73449</v>
      </c>
      <c r="S1781" t="s">
        <v>55</v>
      </c>
      <c r="T1781" s="1">
        <v>45322</v>
      </c>
      <c r="U1781">
        <v>824.81</v>
      </c>
      <c r="V1781">
        <v>824.81</v>
      </c>
    </row>
    <row r="1782" spans="1:22" x14ac:dyDescent="0.3">
      <c r="A1782" t="s">
        <v>3989</v>
      </c>
      <c r="B1782" t="s">
        <v>3990</v>
      </c>
      <c r="C1782" t="s">
        <v>13</v>
      </c>
      <c r="D1782" t="s">
        <v>3991</v>
      </c>
      <c r="E1782" t="s">
        <v>15</v>
      </c>
      <c r="J1782" s="1">
        <v>45412</v>
      </c>
      <c r="K1782">
        <v>672</v>
      </c>
      <c r="L1782" t="s">
        <v>3995</v>
      </c>
      <c r="M1782">
        <v>9</v>
      </c>
      <c r="N1782" t="str">
        <f>VLOOKUP(M1782,[1]LOJA!$A:$B,2,0)</f>
        <v>ÚNICA</v>
      </c>
      <c r="O1782">
        <v>174</v>
      </c>
      <c r="P1782" t="str">
        <f>VLOOKUP(O1782,[1]OPERADORES!$A:$B,2,0)</f>
        <v>MIRIÃ LOBATO RODRIGUES</v>
      </c>
      <c r="Q1782">
        <v>23</v>
      </c>
      <c r="R1782">
        <v>75402</v>
      </c>
      <c r="S1782" t="s">
        <v>53</v>
      </c>
      <c r="T1782" s="1">
        <v>45338</v>
      </c>
      <c r="U1782">
        <v>973.28</v>
      </c>
      <c r="V1782">
        <v>973.28</v>
      </c>
    </row>
    <row r="1783" spans="1:22" x14ac:dyDescent="0.3">
      <c r="A1783" t="s">
        <v>3989</v>
      </c>
      <c r="B1783" t="s">
        <v>3990</v>
      </c>
      <c r="C1783" t="s">
        <v>13</v>
      </c>
      <c r="D1783" t="s">
        <v>3991</v>
      </c>
      <c r="E1783" t="s">
        <v>15</v>
      </c>
      <c r="J1783" s="1">
        <v>45412</v>
      </c>
      <c r="K1783">
        <v>672</v>
      </c>
      <c r="L1783" t="s">
        <v>3996</v>
      </c>
      <c r="M1783">
        <v>9</v>
      </c>
      <c r="N1783" t="str">
        <f>VLOOKUP(M1783,[1]LOJA!$A:$B,2,0)</f>
        <v>ÚNICA</v>
      </c>
      <c r="O1783">
        <v>174</v>
      </c>
      <c r="P1783" t="str">
        <f>VLOOKUP(O1783,[1]OPERADORES!$A:$B,2,0)</f>
        <v>MIRIÃ LOBATO RODRIGUES</v>
      </c>
      <c r="Q1783">
        <v>23</v>
      </c>
      <c r="R1783">
        <v>77036</v>
      </c>
      <c r="S1783" t="s">
        <v>53</v>
      </c>
      <c r="T1783" s="1">
        <v>45350</v>
      </c>
      <c r="U1783">
        <v>318.07</v>
      </c>
      <c r="V1783">
        <v>318.07</v>
      </c>
    </row>
    <row r="1784" spans="1:22" x14ac:dyDescent="0.3">
      <c r="A1784" t="s">
        <v>3989</v>
      </c>
      <c r="B1784" t="s">
        <v>3990</v>
      </c>
      <c r="C1784" t="s">
        <v>13</v>
      </c>
      <c r="D1784" t="s">
        <v>3991</v>
      </c>
      <c r="E1784" t="s">
        <v>15</v>
      </c>
      <c r="J1784" s="1">
        <v>45442</v>
      </c>
      <c r="K1784">
        <v>642</v>
      </c>
      <c r="L1784" t="s">
        <v>3997</v>
      </c>
      <c r="M1784">
        <v>9</v>
      </c>
      <c r="N1784" t="str">
        <f>VLOOKUP(M1784,[1]LOJA!$A:$B,2,0)</f>
        <v>ÚNICA</v>
      </c>
      <c r="O1784">
        <v>174</v>
      </c>
      <c r="P1784" t="str">
        <f>VLOOKUP(O1784,[1]OPERADORES!$A:$B,2,0)</f>
        <v>MIRIÃ LOBATO RODRIGUES</v>
      </c>
      <c r="Q1784">
        <v>23</v>
      </c>
      <c r="R1784">
        <v>75410</v>
      </c>
      <c r="S1784" t="s">
        <v>55</v>
      </c>
      <c r="T1784" s="1">
        <v>45338</v>
      </c>
      <c r="U1784">
        <v>973.27</v>
      </c>
      <c r="V1784">
        <v>973.27</v>
      </c>
    </row>
    <row r="1785" spans="1:22" x14ac:dyDescent="0.3">
      <c r="A1785" t="s">
        <v>3989</v>
      </c>
      <c r="B1785" t="s">
        <v>3990</v>
      </c>
      <c r="C1785" t="s">
        <v>13</v>
      </c>
      <c r="D1785" t="s">
        <v>3991</v>
      </c>
      <c r="E1785" t="s">
        <v>15</v>
      </c>
      <c r="J1785" s="1">
        <v>45442</v>
      </c>
      <c r="K1785">
        <v>642</v>
      </c>
      <c r="L1785" t="s">
        <v>3998</v>
      </c>
      <c r="M1785">
        <v>9</v>
      </c>
      <c r="N1785" t="str">
        <f>VLOOKUP(M1785,[1]LOJA!$A:$B,2,0)</f>
        <v>ÚNICA</v>
      </c>
      <c r="O1785">
        <v>174</v>
      </c>
      <c r="P1785" t="str">
        <f>VLOOKUP(O1785,[1]OPERADORES!$A:$B,2,0)</f>
        <v>MIRIÃ LOBATO RODRIGUES</v>
      </c>
      <c r="Q1785">
        <v>23</v>
      </c>
      <c r="R1785">
        <v>77044</v>
      </c>
      <c r="S1785" t="s">
        <v>55</v>
      </c>
      <c r="T1785" s="1">
        <v>45350</v>
      </c>
      <c r="U1785">
        <v>318.06</v>
      </c>
      <c r="V1785">
        <v>318.06</v>
      </c>
    </row>
    <row r="1786" spans="1:22" x14ac:dyDescent="0.3">
      <c r="A1786" t="s">
        <v>6011</v>
      </c>
      <c r="B1786" t="s">
        <v>6012</v>
      </c>
      <c r="C1786" t="s">
        <v>13</v>
      </c>
      <c r="D1786" t="s">
        <v>6013</v>
      </c>
      <c r="E1786" t="s">
        <v>15</v>
      </c>
      <c r="J1786" s="1">
        <v>46079</v>
      </c>
      <c r="K1786">
        <v>5</v>
      </c>
      <c r="L1786" t="s">
        <v>6014</v>
      </c>
      <c r="M1786">
        <v>13</v>
      </c>
      <c r="N1786" t="str">
        <f>VLOOKUP(M1786,[1]LOJA!$A:$B,2,0)</f>
        <v>CEILÂNDIA</v>
      </c>
      <c r="O1786">
        <v>67</v>
      </c>
      <c r="P1786" t="str">
        <f>VLOOKUP(O1786,[1]OPERADORES!$A:$B,2,0)</f>
        <v>ERIKA</v>
      </c>
      <c r="Q1786">
        <v>10</v>
      </c>
      <c r="S1786" t="s">
        <v>6015</v>
      </c>
      <c r="T1786" s="1">
        <v>46079</v>
      </c>
      <c r="U1786">
        <v>-0.16</v>
      </c>
      <c r="V1786">
        <v>-0.16</v>
      </c>
    </row>
    <row r="1787" spans="1:22" x14ac:dyDescent="0.3">
      <c r="A1787" t="s">
        <v>6011</v>
      </c>
      <c r="B1787" t="s">
        <v>6012</v>
      </c>
      <c r="C1787" t="s">
        <v>13</v>
      </c>
      <c r="D1787" t="s">
        <v>6013</v>
      </c>
      <c r="E1787" t="s">
        <v>15</v>
      </c>
      <c r="J1787" s="1">
        <v>46081</v>
      </c>
      <c r="K1787">
        <v>3</v>
      </c>
      <c r="L1787" t="s">
        <v>6016</v>
      </c>
      <c r="M1787">
        <v>13</v>
      </c>
      <c r="N1787" t="str">
        <f>VLOOKUP(M1787,[1]LOJA!$A:$B,2,0)</f>
        <v>CEILÂNDIA</v>
      </c>
      <c r="O1787">
        <v>86</v>
      </c>
      <c r="P1787" t="str">
        <f>VLOOKUP(O1787,[1]OPERADORES!$A:$B,2,0)</f>
        <v>AMANDA</v>
      </c>
      <c r="Q1787">
        <v>7</v>
      </c>
      <c r="S1787" t="s">
        <v>87</v>
      </c>
      <c r="T1787" s="1">
        <v>46080</v>
      </c>
      <c r="U1787">
        <v>50</v>
      </c>
      <c r="V1787">
        <v>50</v>
      </c>
    </row>
    <row r="1788" spans="1:22" x14ac:dyDescent="0.3">
      <c r="A1788" t="s">
        <v>3999</v>
      </c>
      <c r="B1788" t="s">
        <v>4000</v>
      </c>
      <c r="C1788" t="s">
        <v>13</v>
      </c>
      <c r="D1788" t="s">
        <v>4001</v>
      </c>
      <c r="E1788" t="s">
        <v>15</v>
      </c>
      <c r="J1788" s="1">
        <v>44914</v>
      </c>
      <c r="K1788">
        <v>1170</v>
      </c>
      <c r="L1788" t="s">
        <v>4002</v>
      </c>
      <c r="M1788">
        <v>1</v>
      </c>
      <c r="N1788" t="str">
        <f>VLOOKUP(M1788,[1]LOJA!$A:$B,2,0)</f>
        <v>GUARÁ</v>
      </c>
      <c r="O1788">
        <v>20</v>
      </c>
      <c r="P1788" t="str">
        <f>VLOOKUP(O1788,[1]OPERADORES!$A:$B,2,0)</f>
        <v>MAYARA</v>
      </c>
      <c r="Q1788">
        <v>11</v>
      </c>
      <c r="R1788">
        <v>1000007588</v>
      </c>
      <c r="S1788" t="s">
        <v>4003</v>
      </c>
      <c r="T1788" s="1">
        <v>44824</v>
      </c>
      <c r="U1788" s="2">
        <v>1918.26</v>
      </c>
      <c r="V1788" s="2">
        <v>1918.26</v>
      </c>
    </row>
    <row r="1789" spans="1:22" x14ac:dyDescent="0.3">
      <c r="A1789" t="s">
        <v>3999</v>
      </c>
      <c r="B1789" t="s">
        <v>4000</v>
      </c>
      <c r="C1789" t="s">
        <v>13</v>
      </c>
      <c r="D1789" t="s">
        <v>4001</v>
      </c>
      <c r="E1789" t="s">
        <v>15</v>
      </c>
      <c r="J1789" s="1">
        <v>44915</v>
      </c>
      <c r="K1789">
        <v>1169</v>
      </c>
      <c r="L1789" t="s">
        <v>4004</v>
      </c>
      <c r="M1789">
        <v>1</v>
      </c>
      <c r="N1789" t="str">
        <f>VLOOKUP(M1789,[1]LOJA!$A:$B,2,0)</f>
        <v>GUARÁ</v>
      </c>
      <c r="O1789">
        <v>20</v>
      </c>
      <c r="P1789" t="str">
        <f>VLOOKUP(O1789,[1]OPERADORES!$A:$B,2,0)</f>
        <v>MAYARA</v>
      </c>
      <c r="Q1789">
        <v>11</v>
      </c>
      <c r="R1789">
        <v>1000007260</v>
      </c>
      <c r="S1789" t="s">
        <v>4005</v>
      </c>
      <c r="T1789" s="1">
        <v>44795</v>
      </c>
      <c r="U1789" s="2">
        <v>1460</v>
      </c>
      <c r="V1789" s="2">
        <v>1460</v>
      </c>
    </row>
    <row r="1790" spans="1:22" x14ac:dyDescent="0.3">
      <c r="A1790" t="s">
        <v>3999</v>
      </c>
      <c r="B1790" t="s">
        <v>4000</v>
      </c>
      <c r="C1790" t="s">
        <v>13</v>
      </c>
      <c r="D1790" t="s">
        <v>4001</v>
      </c>
      <c r="E1790" t="s">
        <v>15</v>
      </c>
      <c r="J1790" s="1">
        <v>44916</v>
      </c>
      <c r="K1790">
        <v>1168</v>
      </c>
      <c r="L1790" t="s">
        <v>4006</v>
      </c>
      <c r="M1790">
        <v>1</v>
      </c>
      <c r="N1790" t="str">
        <f>VLOOKUP(M1790,[1]LOJA!$A:$B,2,0)</f>
        <v>GUARÁ</v>
      </c>
      <c r="O1790">
        <v>20</v>
      </c>
      <c r="P1790" t="str">
        <f>VLOOKUP(O1790,[1]OPERADORES!$A:$B,2,0)</f>
        <v>MAYARA</v>
      </c>
      <c r="Q1790">
        <v>11</v>
      </c>
      <c r="R1790">
        <v>1000008194</v>
      </c>
      <c r="S1790" t="s">
        <v>4007</v>
      </c>
      <c r="T1790" s="1">
        <v>44886</v>
      </c>
      <c r="U1790" s="2">
        <v>1255.92</v>
      </c>
      <c r="V1790" s="2">
        <v>1255.92</v>
      </c>
    </row>
    <row r="1791" spans="1:22" x14ac:dyDescent="0.3">
      <c r="A1791" t="s">
        <v>3999</v>
      </c>
      <c r="B1791" t="s">
        <v>4000</v>
      </c>
      <c r="C1791" t="s">
        <v>13</v>
      </c>
      <c r="D1791" t="s">
        <v>4001</v>
      </c>
      <c r="E1791" t="s">
        <v>15</v>
      </c>
      <c r="J1791" s="1">
        <v>44918</v>
      </c>
      <c r="K1791">
        <v>1166</v>
      </c>
      <c r="L1791" t="s">
        <v>4008</v>
      </c>
      <c r="M1791">
        <v>1</v>
      </c>
      <c r="N1791" t="str">
        <f>VLOOKUP(M1791,[1]LOJA!$A:$B,2,0)</f>
        <v>GUARÁ</v>
      </c>
      <c r="O1791">
        <v>20</v>
      </c>
      <c r="P1791" t="str">
        <f>VLOOKUP(O1791,[1]OPERADORES!$A:$B,2,0)</f>
        <v>MAYARA</v>
      </c>
      <c r="Q1791">
        <v>11</v>
      </c>
      <c r="R1791">
        <v>1000007910</v>
      </c>
      <c r="S1791" t="s">
        <v>4009</v>
      </c>
      <c r="T1791" s="1">
        <v>44858</v>
      </c>
      <c r="U1791" s="2">
        <v>1503</v>
      </c>
      <c r="V1791" s="2">
        <v>1503</v>
      </c>
    </row>
    <row r="1792" spans="1:22" x14ac:dyDescent="0.3">
      <c r="A1792" t="s">
        <v>3999</v>
      </c>
      <c r="B1792" t="s">
        <v>4000</v>
      </c>
      <c r="C1792" t="s">
        <v>13</v>
      </c>
      <c r="D1792" t="s">
        <v>4001</v>
      </c>
      <c r="E1792" t="s">
        <v>15</v>
      </c>
      <c r="J1792" s="1">
        <v>44920</v>
      </c>
      <c r="K1792">
        <v>1164</v>
      </c>
      <c r="L1792" t="s">
        <v>4010</v>
      </c>
      <c r="M1792">
        <v>1</v>
      </c>
      <c r="N1792" t="str">
        <f>VLOOKUP(M1792,[1]LOJA!$A:$B,2,0)</f>
        <v>GUARÁ</v>
      </c>
      <c r="O1792">
        <v>20</v>
      </c>
      <c r="P1792" t="str">
        <f>VLOOKUP(O1792,[1]OPERADORES!$A:$B,2,0)</f>
        <v>MAYARA</v>
      </c>
      <c r="Q1792">
        <v>11</v>
      </c>
      <c r="R1792">
        <v>1000007612</v>
      </c>
      <c r="S1792" t="s">
        <v>4011</v>
      </c>
      <c r="T1792" s="1">
        <v>44830</v>
      </c>
      <c r="U1792" s="2">
        <v>1752</v>
      </c>
      <c r="V1792" s="2">
        <v>1752</v>
      </c>
    </row>
    <row r="1793" spans="1:22" x14ac:dyDescent="0.3">
      <c r="A1793" t="s">
        <v>3999</v>
      </c>
      <c r="B1793" t="s">
        <v>4000</v>
      </c>
      <c r="C1793" t="s">
        <v>13</v>
      </c>
      <c r="D1793" t="s">
        <v>4001</v>
      </c>
      <c r="E1793" t="s">
        <v>15</v>
      </c>
      <c r="J1793" s="1">
        <v>44922</v>
      </c>
      <c r="K1793">
        <v>1162</v>
      </c>
      <c r="L1793" t="s">
        <v>4012</v>
      </c>
      <c r="M1793">
        <v>1</v>
      </c>
      <c r="N1793" t="str">
        <f>VLOOKUP(M1793,[1]LOJA!$A:$B,2,0)</f>
        <v>GUARÁ</v>
      </c>
      <c r="O1793">
        <v>20</v>
      </c>
      <c r="P1793" t="str">
        <f>VLOOKUP(O1793,[1]OPERADORES!$A:$B,2,0)</f>
        <v>MAYARA</v>
      </c>
      <c r="Q1793">
        <v>23</v>
      </c>
      <c r="R1793">
        <v>27783</v>
      </c>
      <c r="S1793" t="s">
        <v>4013</v>
      </c>
      <c r="T1793" s="1">
        <v>44802</v>
      </c>
      <c r="U1793">
        <v>893</v>
      </c>
      <c r="V1793">
        <v>893</v>
      </c>
    </row>
    <row r="1794" spans="1:22" x14ac:dyDescent="0.3">
      <c r="A1794" t="s">
        <v>3999</v>
      </c>
      <c r="B1794" t="s">
        <v>4000</v>
      </c>
      <c r="C1794" t="s">
        <v>13</v>
      </c>
      <c r="D1794" t="s">
        <v>4001</v>
      </c>
      <c r="E1794" t="s">
        <v>15</v>
      </c>
      <c r="J1794" s="1">
        <v>44924</v>
      </c>
      <c r="K1794">
        <v>1160</v>
      </c>
      <c r="L1794" t="s">
        <v>4014</v>
      </c>
      <c r="M1794">
        <v>1</v>
      </c>
      <c r="N1794" t="str">
        <f>VLOOKUP(M1794,[1]LOJA!$A:$B,2,0)</f>
        <v>GUARÁ</v>
      </c>
      <c r="O1794">
        <v>20</v>
      </c>
      <c r="P1794" t="str">
        <f>VLOOKUP(O1794,[1]OPERADORES!$A:$B,2,0)</f>
        <v>MAYARA</v>
      </c>
      <c r="Q1794">
        <v>11</v>
      </c>
      <c r="R1794">
        <v>1000008270</v>
      </c>
      <c r="S1794" t="s">
        <v>4015</v>
      </c>
      <c r="T1794" s="1">
        <v>44894</v>
      </c>
      <c r="U1794" s="2">
        <v>2103.33</v>
      </c>
      <c r="V1794" s="2">
        <v>2103.33</v>
      </c>
    </row>
    <row r="1795" spans="1:22" x14ac:dyDescent="0.3">
      <c r="A1795" t="s">
        <v>3999</v>
      </c>
      <c r="B1795" t="s">
        <v>4000</v>
      </c>
      <c r="C1795" t="s">
        <v>13</v>
      </c>
      <c r="D1795" t="s">
        <v>4001</v>
      </c>
      <c r="E1795" t="s">
        <v>15</v>
      </c>
      <c r="J1795" s="1">
        <v>44926</v>
      </c>
      <c r="K1795">
        <v>1158</v>
      </c>
      <c r="L1795" t="s">
        <v>4016</v>
      </c>
      <c r="M1795">
        <v>1</v>
      </c>
      <c r="N1795" t="str">
        <f>VLOOKUP(M1795,[1]LOJA!$A:$B,2,0)</f>
        <v>GUARÁ</v>
      </c>
      <c r="O1795">
        <v>20</v>
      </c>
      <c r="P1795" t="str">
        <f>VLOOKUP(O1795,[1]OPERADORES!$A:$B,2,0)</f>
        <v>MAYARA</v>
      </c>
      <c r="Q1795">
        <v>11</v>
      </c>
      <c r="R1795">
        <v>1000008013</v>
      </c>
      <c r="S1795" t="s">
        <v>4017</v>
      </c>
      <c r="T1795" s="1">
        <v>44866</v>
      </c>
      <c r="U1795" s="2">
        <v>1707</v>
      </c>
      <c r="V1795" s="2">
        <v>1707</v>
      </c>
    </row>
    <row r="1796" spans="1:22" x14ac:dyDescent="0.3">
      <c r="A1796" t="s">
        <v>3999</v>
      </c>
      <c r="B1796" t="s">
        <v>4000</v>
      </c>
      <c r="C1796" t="s">
        <v>13</v>
      </c>
      <c r="D1796" t="s">
        <v>4001</v>
      </c>
      <c r="E1796" t="s">
        <v>15</v>
      </c>
      <c r="J1796" s="1">
        <v>44927</v>
      </c>
      <c r="K1796">
        <v>1157</v>
      </c>
      <c r="L1796" t="s">
        <v>4018</v>
      </c>
      <c r="M1796">
        <v>1</v>
      </c>
      <c r="N1796" t="str">
        <f>VLOOKUP(M1796,[1]LOJA!$A:$B,2,0)</f>
        <v>GUARÁ</v>
      </c>
      <c r="O1796">
        <v>84</v>
      </c>
      <c r="P1796" t="str">
        <f>VLOOKUP(O1796,[1]OPERADORES!$A:$B,2,0)</f>
        <v>JEICY AZEVEDO</v>
      </c>
      <c r="Q1796">
        <v>11</v>
      </c>
      <c r="R1796">
        <v>1000007707</v>
      </c>
      <c r="S1796" t="s">
        <v>4019</v>
      </c>
      <c r="T1796" s="1">
        <v>44837</v>
      </c>
      <c r="U1796" s="2">
        <v>1409</v>
      </c>
      <c r="V1796" s="2">
        <v>1409</v>
      </c>
    </row>
    <row r="1797" spans="1:22" x14ac:dyDescent="0.3">
      <c r="A1797" t="s">
        <v>3999</v>
      </c>
      <c r="B1797" t="s">
        <v>4000</v>
      </c>
      <c r="C1797" t="s">
        <v>13</v>
      </c>
      <c r="D1797" t="s">
        <v>4001</v>
      </c>
      <c r="E1797" t="s">
        <v>15</v>
      </c>
      <c r="J1797" s="1">
        <v>44929</v>
      </c>
      <c r="K1797">
        <v>1155</v>
      </c>
      <c r="L1797" t="s">
        <v>4020</v>
      </c>
      <c r="M1797">
        <v>1</v>
      </c>
      <c r="N1797" t="str">
        <f>VLOOKUP(M1797,[1]LOJA!$A:$B,2,0)</f>
        <v>GUARÁ</v>
      </c>
      <c r="O1797">
        <v>20</v>
      </c>
      <c r="P1797" t="str">
        <f>VLOOKUP(O1797,[1]OPERADORES!$A:$B,2,0)</f>
        <v>MAYARA</v>
      </c>
      <c r="Q1797">
        <v>11</v>
      </c>
      <c r="R1797">
        <v>1000007497</v>
      </c>
      <c r="S1797" t="s">
        <v>4021</v>
      </c>
      <c r="T1797" s="1">
        <v>44809</v>
      </c>
      <c r="U1797" s="2">
        <v>1452</v>
      </c>
      <c r="V1797" s="2">
        <v>1452</v>
      </c>
    </row>
    <row r="1798" spans="1:22" x14ac:dyDescent="0.3">
      <c r="A1798" t="s">
        <v>3999</v>
      </c>
      <c r="B1798" t="s">
        <v>4000</v>
      </c>
      <c r="C1798" t="s">
        <v>13</v>
      </c>
      <c r="D1798" t="s">
        <v>4001</v>
      </c>
      <c r="E1798" t="s">
        <v>15</v>
      </c>
      <c r="J1798" s="1">
        <v>44932</v>
      </c>
      <c r="K1798">
        <v>1152</v>
      </c>
      <c r="L1798" t="s">
        <v>4022</v>
      </c>
      <c r="M1798">
        <v>1</v>
      </c>
      <c r="N1798" t="str">
        <f>VLOOKUP(M1798,[1]LOJA!$A:$B,2,0)</f>
        <v>GUARÁ</v>
      </c>
      <c r="O1798">
        <v>84</v>
      </c>
      <c r="P1798" t="str">
        <f>VLOOKUP(O1798,[1]OPERADORES!$A:$B,2,0)</f>
        <v>JEICY AZEVEDO</v>
      </c>
      <c r="Q1798">
        <v>11</v>
      </c>
      <c r="R1798">
        <v>1000008106</v>
      </c>
      <c r="S1798" t="s">
        <v>4023</v>
      </c>
      <c r="T1798" s="1">
        <v>44872</v>
      </c>
      <c r="U1798">
        <v>619</v>
      </c>
      <c r="V1798">
        <v>619</v>
      </c>
    </row>
    <row r="1799" spans="1:22" x14ac:dyDescent="0.3">
      <c r="A1799" t="s">
        <v>3999</v>
      </c>
      <c r="B1799" t="s">
        <v>4000</v>
      </c>
      <c r="C1799" t="s">
        <v>13</v>
      </c>
      <c r="D1799" t="s">
        <v>4001</v>
      </c>
      <c r="E1799" t="s">
        <v>15</v>
      </c>
      <c r="J1799" s="1">
        <v>44934</v>
      </c>
      <c r="K1799">
        <v>1150</v>
      </c>
      <c r="L1799" t="s">
        <v>4024</v>
      </c>
      <c r="M1799">
        <v>1</v>
      </c>
      <c r="N1799" t="str">
        <f>VLOOKUP(M1799,[1]LOJA!$A:$B,2,0)</f>
        <v>GUARÁ</v>
      </c>
      <c r="O1799">
        <v>20</v>
      </c>
      <c r="P1799" t="str">
        <f>VLOOKUP(O1799,[1]OPERADORES!$A:$B,2,0)</f>
        <v>MAYARA</v>
      </c>
      <c r="Q1799">
        <v>11</v>
      </c>
      <c r="R1799">
        <v>1000007813</v>
      </c>
      <c r="S1799" t="s">
        <v>4025</v>
      </c>
      <c r="T1799" s="1">
        <v>44844</v>
      </c>
      <c r="U1799" s="2">
        <v>1274</v>
      </c>
      <c r="V1799" s="2">
        <v>1274</v>
      </c>
    </row>
    <row r="1800" spans="1:22" x14ac:dyDescent="0.3">
      <c r="A1800" t="s">
        <v>3999</v>
      </c>
      <c r="B1800" t="s">
        <v>4000</v>
      </c>
      <c r="C1800" t="s">
        <v>13</v>
      </c>
      <c r="D1800" t="s">
        <v>4001</v>
      </c>
      <c r="E1800" t="s">
        <v>15</v>
      </c>
      <c r="J1800" s="1">
        <v>44936</v>
      </c>
      <c r="K1800">
        <v>1148</v>
      </c>
      <c r="L1800" t="s">
        <v>4026</v>
      </c>
      <c r="M1800">
        <v>1</v>
      </c>
      <c r="N1800" t="str">
        <f>VLOOKUP(M1800,[1]LOJA!$A:$B,2,0)</f>
        <v>GUARÁ</v>
      </c>
      <c r="O1800">
        <v>20</v>
      </c>
      <c r="P1800" t="str">
        <f>VLOOKUP(O1800,[1]OPERADORES!$A:$B,2,0)</f>
        <v>MAYARA</v>
      </c>
      <c r="Q1800">
        <v>11</v>
      </c>
      <c r="R1800">
        <v>1000007536</v>
      </c>
      <c r="S1800" t="s">
        <v>4027</v>
      </c>
      <c r="T1800" s="1">
        <v>44816</v>
      </c>
      <c r="U1800" s="2">
        <v>1695</v>
      </c>
      <c r="V1800" s="2">
        <v>1695</v>
      </c>
    </row>
    <row r="1801" spans="1:22" x14ac:dyDescent="0.3">
      <c r="A1801" t="s">
        <v>3999</v>
      </c>
      <c r="B1801" t="s">
        <v>4000</v>
      </c>
      <c r="C1801" t="s">
        <v>13</v>
      </c>
      <c r="D1801" t="s">
        <v>4001</v>
      </c>
      <c r="E1801" t="s">
        <v>15</v>
      </c>
      <c r="J1801" s="1">
        <v>44937</v>
      </c>
      <c r="K1801">
        <v>1147</v>
      </c>
      <c r="L1801" t="s">
        <v>4028</v>
      </c>
      <c r="M1801">
        <v>1</v>
      </c>
      <c r="N1801" t="str">
        <f>VLOOKUP(M1801,[1]LOJA!$A:$B,2,0)</f>
        <v>GUARÁ</v>
      </c>
      <c r="O1801">
        <v>84</v>
      </c>
      <c r="P1801" t="str">
        <f>VLOOKUP(O1801,[1]OPERADORES!$A:$B,2,0)</f>
        <v>JEICY AZEVEDO</v>
      </c>
      <c r="Q1801">
        <v>11</v>
      </c>
      <c r="R1801">
        <v>1000008482</v>
      </c>
      <c r="S1801" t="s">
        <v>4029</v>
      </c>
      <c r="T1801" s="1">
        <v>44907</v>
      </c>
      <c r="U1801" s="2">
        <v>1877.92</v>
      </c>
      <c r="V1801" s="2">
        <v>1877.92</v>
      </c>
    </row>
    <row r="1802" spans="1:22" x14ac:dyDescent="0.3">
      <c r="A1802" t="s">
        <v>3999</v>
      </c>
      <c r="B1802" t="s">
        <v>4000</v>
      </c>
      <c r="C1802" t="s">
        <v>13</v>
      </c>
      <c r="D1802" t="s">
        <v>4001</v>
      </c>
      <c r="E1802" t="s">
        <v>15</v>
      </c>
      <c r="J1802" s="1">
        <v>44939</v>
      </c>
      <c r="K1802">
        <v>1145</v>
      </c>
      <c r="L1802" t="s">
        <v>4030</v>
      </c>
      <c r="M1802">
        <v>1</v>
      </c>
      <c r="N1802" t="str">
        <f>VLOOKUP(M1802,[1]LOJA!$A:$B,2,0)</f>
        <v>GUARÁ</v>
      </c>
      <c r="O1802">
        <v>20</v>
      </c>
      <c r="P1802" t="str">
        <f>VLOOKUP(O1802,[1]OPERADORES!$A:$B,2,0)</f>
        <v>MAYARA</v>
      </c>
      <c r="Q1802">
        <v>11</v>
      </c>
      <c r="R1802">
        <v>1000008142</v>
      </c>
      <c r="S1802" t="s">
        <v>4031</v>
      </c>
      <c r="T1802" s="1">
        <v>44879</v>
      </c>
      <c r="U1802" s="2">
        <v>1131</v>
      </c>
      <c r="V1802" s="2">
        <v>1131</v>
      </c>
    </row>
    <row r="1803" spans="1:22" x14ac:dyDescent="0.3">
      <c r="A1803" t="s">
        <v>3999</v>
      </c>
      <c r="B1803" t="s">
        <v>4000</v>
      </c>
      <c r="C1803" t="s">
        <v>13</v>
      </c>
      <c r="D1803" t="s">
        <v>4001</v>
      </c>
      <c r="E1803" t="s">
        <v>15</v>
      </c>
      <c r="J1803" s="1">
        <v>44941</v>
      </c>
      <c r="K1803">
        <v>1143</v>
      </c>
      <c r="L1803" t="s">
        <v>4032</v>
      </c>
      <c r="M1803">
        <v>1</v>
      </c>
      <c r="N1803" t="str">
        <f>VLOOKUP(M1803,[1]LOJA!$A:$B,2,0)</f>
        <v>GUARÁ</v>
      </c>
      <c r="O1803">
        <v>20</v>
      </c>
      <c r="P1803" t="str">
        <f>VLOOKUP(O1803,[1]OPERADORES!$A:$B,2,0)</f>
        <v>MAYARA</v>
      </c>
      <c r="Q1803">
        <v>11</v>
      </c>
      <c r="R1803">
        <v>1000007855</v>
      </c>
      <c r="S1803" t="s">
        <v>4033</v>
      </c>
      <c r="T1803" s="1">
        <v>44851</v>
      </c>
      <c r="U1803" s="2">
        <v>1443</v>
      </c>
      <c r="V1803" s="2">
        <v>1443</v>
      </c>
    </row>
    <row r="1804" spans="1:22" x14ac:dyDescent="0.3">
      <c r="A1804" t="s">
        <v>3999</v>
      </c>
      <c r="B1804" t="s">
        <v>4000</v>
      </c>
      <c r="C1804" t="s">
        <v>13</v>
      </c>
      <c r="D1804" t="s">
        <v>4001</v>
      </c>
      <c r="E1804" t="s">
        <v>15</v>
      </c>
      <c r="J1804" s="1">
        <v>44943</v>
      </c>
      <c r="K1804">
        <v>1141</v>
      </c>
      <c r="L1804" t="s">
        <v>4034</v>
      </c>
      <c r="M1804">
        <v>1</v>
      </c>
      <c r="N1804" t="str">
        <f>VLOOKUP(M1804,[1]LOJA!$A:$B,2,0)</f>
        <v>GUARÁ</v>
      </c>
      <c r="O1804">
        <v>20</v>
      </c>
      <c r="P1804" t="str">
        <f>VLOOKUP(O1804,[1]OPERADORES!$A:$B,2,0)</f>
        <v>MAYARA</v>
      </c>
      <c r="Q1804">
        <v>11</v>
      </c>
      <c r="R1804">
        <v>1000008522</v>
      </c>
      <c r="S1804" t="s">
        <v>4035</v>
      </c>
      <c r="T1804" s="1">
        <v>44913</v>
      </c>
      <c r="U1804" s="2">
        <v>2174.39</v>
      </c>
      <c r="V1804" s="2">
        <v>2174.39</v>
      </c>
    </row>
    <row r="1805" spans="1:22" x14ac:dyDescent="0.3">
      <c r="A1805" t="s">
        <v>3999</v>
      </c>
      <c r="B1805" t="s">
        <v>4000</v>
      </c>
      <c r="C1805" t="s">
        <v>13</v>
      </c>
      <c r="D1805" t="s">
        <v>4001</v>
      </c>
      <c r="E1805" t="s">
        <v>15</v>
      </c>
      <c r="J1805" s="1">
        <v>44944</v>
      </c>
      <c r="K1805">
        <v>1140</v>
      </c>
      <c r="L1805" t="s">
        <v>4036</v>
      </c>
      <c r="M1805">
        <v>1</v>
      </c>
      <c r="N1805" t="str">
        <f>VLOOKUP(M1805,[1]LOJA!$A:$B,2,0)</f>
        <v>GUARÁ</v>
      </c>
      <c r="O1805">
        <v>20</v>
      </c>
      <c r="P1805" t="str">
        <f>VLOOKUP(O1805,[1]OPERADORES!$A:$B,2,0)</f>
        <v>MAYARA</v>
      </c>
      <c r="Q1805">
        <v>11</v>
      </c>
      <c r="R1805">
        <v>1000007589</v>
      </c>
      <c r="S1805" t="s">
        <v>4037</v>
      </c>
      <c r="T1805" s="1">
        <v>44824</v>
      </c>
      <c r="U1805" s="2">
        <v>2046</v>
      </c>
      <c r="V1805" s="2">
        <v>2046</v>
      </c>
    </row>
    <row r="1806" spans="1:22" x14ac:dyDescent="0.3">
      <c r="A1806" t="s">
        <v>3999</v>
      </c>
      <c r="B1806" t="s">
        <v>4000</v>
      </c>
      <c r="C1806" t="s">
        <v>13</v>
      </c>
      <c r="D1806" t="s">
        <v>4001</v>
      </c>
      <c r="E1806" t="s">
        <v>15</v>
      </c>
      <c r="J1806" s="1">
        <v>44946</v>
      </c>
      <c r="K1806">
        <v>1138</v>
      </c>
      <c r="L1806" t="s">
        <v>4038</v>
      </c>
      <c r="M1806">
        <v>1</v>
      </c>
      <c r="N1806" t="str">
        <f>VLOOKUP(M1806,[1]LOJA!$A:$B,2,0)</f>
        <v>GUARÁ</v>
      </c>
      <c r="O1806">
        <v>20</v>
      </c>
      <c r="P1806" t="str">
        <f>VLOOKUP(O1806,[1]OPERADORES!$A:$B,2,0)</f>
        <v>MAYARA</v>
      </c>
      <c r="Q1806">
        <v>11</v>
      </c>
      <c r="R1806">
        <v>1000008196</v>
      </c>
      <c r="S1806" t="s">
        <v>4039</v>
      </c>
      <c r="T1806" s="1">
        <v>44886</v>
      </c>
      <c r="U1806" s="2">
        <v>1254</v>
      </c>
      <c r="V1806" s="2">
        <v>1254</v>
      </c>
    </row>
    <row r="1807" spans="1:22" x14ac:dyDescent="0.3">
      <c r="A1807" t="s">
        <v>3999</v>
      </c>
      <c r="B1807" t="s">
        <v>4000</v>
      </c>
      <c r="C1807" t="s">
        <v>13</v>
      </c>
      <c r="D1807" t="s">
        <v>4001</v>
      </c>
      <c r="E1807" t="s">
        <v>15</v>
      </c>
      <c r="J1807" s="1">
        <v>44948</v>
      </c>
      <c r="K1807">
        <v>1136</v>
      </c>
      <c r="L1807" t="s">
        <v>4040</v>
      </c>
      <c r="M1807">
        <v>1</v>
      </c>
      <c r="N1807" t="str">
        <f>VLOOKUP(M1807,[1]LOJA!$A:$B,2,0)</f>
        <v>GUARÁ</v>
      </c>
      <c r="O1807">
        <v>20</v>
      </c>
      <c r="P1807" t="str">
        <f>VLOOKUP(O1807,[1]OPERADORES!$A:$B,2,0)</f>
        <v>MAYARA</v>
      </c>
      <c r="Q1807">
        <v>11</v>
      </c>
      <c r="R1807">
        <v>1000007911</v>
      </c>
      <c r="S1807" t="s">
        <v>4041</v>
      </c>
      <c r="T1807" s="1">
        <v>44858</v>
      </c>
      <c r="U1807" s="2">
        <v>1503</v>
      </c>
      <c r="V1807" s="2">
        <v>1503</v>
      </c>
    </row>
    <row r="1808" spans="1:22" x14ac:dyDescent="0.3">
      <c r="A1808" t="s">
        <v>3999</v>
      </c>
      <c r="B1808" t="s">
        <v>4000</v>
      </c>
      <c r="C1808" t="s">
        <v>13</v>
      </c>
      <c r="D1808" t="s">
        <v>4001</v>
      </c>
      <c r="E1808" t="s">
        <v>15</v>
      </c>
      <c r="J1808" s="1">
        <v>44950</v>
      </c>
      <c r="K1808">
        <v>1134</v>
      </c>
      <c r="L1808" t="s">
        <v>4042</v>
      </c>
      <c r="M1808">
        <v>1</v>
      </c>
      <c r="N1808" t="str">
        <f>VLOOKUP(M1808,[1]LOJA!$A:$B,2,0)</f>
        <v>GUARÁ</v>
      </c>
      <c r="O1808">
        <v>20</v>
      </c>
      <c r="P1808" t="str">
        <f>VLOOKUP(O1808,[1]OPERADORES!$A:$B,2,0)</f>
        <v>MAYARA</v>
      </c>
      <c r="Q1808">
        <v>11</v>
      </c>
      <c r="R1808">
        <v>1000007613</v>
      </c>
      <c r="S1808" t="s">
        <v>4043</v>
      </c>
      <c r="T1808" s="1">
        <v>44830</v>
      </c>
      <c r="U1808" s="2">
        <v>1752</v>
      </c>
      <c r="V1808" s="2">
        <v>1752</v>
      </c>
    </row>
    <row r="1809" spans="1:22" x14ac:dyDescent="0.3">
      <c r="A1809" t="s">
        <v>3999</v>
      </c>
      <c r="B1809" t="s">
        <v>4000</v>
      </c>
      <c r="C1809" t="s">
        <v>13</v>
      </c>
      <c r="D1809" t="s">
        <v>4001</v>
      </c>
      <c r="E1809" t="s">
        <v>15</v>
      </c>
      <c r="J1809" s="1">
        <v>44951</v>
      </c>
      <c r="K1809">
        <v>1133</v>
      </c>
      <c r="L1809" t="s">
        <v>4044</v>
      </c>
      <c r="M1809">
        <v>1</v>
      </c>
      <c r="N1809" t="str">
        <f>VLOOKUP(M1809,[1]LOJA!$A:$B,2,0)</f>
        <v>GUARÁ</v>
      </c>
      <c r="O1809">
        <v>20</v>
      </c>
      <c r="P1809" t="str">
        <f>VLOOKUP(O1809,[1]OPERADORES!$A:$B,2,0)</f>
        <v>MAYARA</v>
      </c>
      <c r="Q1809">
        <v>11</v>
      </c>
      <c r="R1809">
        <v>1000008577</v>
      </c>
      <c r="S1809" t="s">
        <v>4045</v>
      </c>
      <c r="T1809" s="1">
        <v>44921</v>
      </c>
      <c r="U1809" s="2">
        <v>1958.26</v>
      </c>
      <c r="V1809" s="2">
        <v>1958.26</v>
      </c>
    </row>
    <row r="1810" spans="1:22" x14ac:dyDescent="0.3">
      <c r="A1810" t="s">
        <v>3999</v>
      </c>
      <c r="B1810" t="s">
        <v>4000</v>
      </c>
      <c r="C1810" t="s">
        <v>13</v>
      </c>
      <c r="D1810" t="s">
        <v>4001</v>
      </c>
      <c r="E1810" t="s">
        <v>15</v>
      </c>
      <c r="J1810" s="1">
        <v>44954</v>
      </c>
      <c r="K1810">
        <v>1130</v>
      </c>
      <c r="L1810" t="s">
        <v>4046</v>
      </c>
      <c r="M1810">
        <v>1</v>
      </c>
      <c r="N1810" t="str">
        <f>VLOOKUP(M1810,[1]LOJA!$A:$B,2,0)</f>
        <v>GUARÁ</v>
      </c>
      <c r="O1810">
        <v>20</v>
      </c>
      <c r="P1810" t="str">
        <f>VLOOKUP(O1810,[1]OPERADORES!$A:$B,2,0)</f>
        <v>MAYARA</v>
      </c>
      <c r="Q1810">
        <v>11</v>
      </c>
      <c r="R1810">
        <v>1000008271</v>
      </c>
      <c r="S1810" t="s">
        <v>4047</v>
      </c>
      <c r="T1810" s="1">
        <v>44894</v>
      </c>
      <c r="U1810" s="2">
        <v>2102</v>
      </c>
      <c r="V1810" s="2">
        <v>2102</v>
      </c>
    </row>
    <row r="1811" spans="1:22" x14ac:dyDescent="0.3">
      <c r="A1811" t="s">
        <v>3999</v>
      </c>
      <c r="B1811" t="s">
        <v>4000</v>
      </c>
      <c r="C1811" t="s">
        <v>13</v>
      </c>
      <c r="D1811" t="s">
        <v>4001</v>
      </c>
      <c r="E1811" t="s">
        <v>15</v>
      </c>
      <c r="J1811" s="1">
        <v>44956</v>
      </c>
      <c r="K1811">
        <v>1128</v>
      </c>
      <c r="L1811" t="s">
        <v>4048</v>
      </c>
      <c r="M1811">
        <v>1</v>
      </c>
      <c r="N1811" t="str">
        <f>VLOOKUP(M1811,[1]LOJA!$A:$B,2,0)</f>
        <v>GUARÁ</v>
      </c>
      <c r="O1811">
        <v>20</v>
      </c>
      <c r="P1811" t="str">
        <f>VLOOKUP(O1811,[1]OPERADORES!$A:$B,2,0)</f>
        <v>MAYARA</v>
      </c>
      <c r="Q1811">
        <v>11</v>
      </c>
      <c r="R1811">
        <v>1000008014</v>
      </c>
      <c r="S1811" t="s">
        <v>4049</v>
      </c>
      <c r="T1811" s="1">
        <v>44866</v>
      </c>
      <c r="U1811" s="2">
        <v>1707</v>
      </c>
      <c r="V1811" s="2">
        <v>1707</v>
      </c>
    </row>
    <row r="1812" spans="1:22" x14ac:dyDescent="0.3">
      <c r="A1812" t="s">
        <v>3999</v>
      </c>
      <c r="B1812" t="s">
        <v>4000</v>
      </c>
      <c r="C1812" t="s">
        <v>13</v>
      </c>
      <c r="D1812" t="s">
        <v>4001</v>
      </c>
      <c r="E1812" t="s">
        <v>15</v>
      </c>
      <c r="J1812" s="1">
        <v>44957</v>
      </c>
      <c r="K1812">
        <v>1127</v>
      </c>
      <c r="L1812" t="s">
        <v>4050</v>
      </c>
      <c r="M1812">
        <v>1</v>
      </c>
      <c r="N1812" t="str">
        <f>VLOOKUP(M1812,[1]LOJA!$A:$B,2,0)</f>
        <v>GUARÁ</v>
      </c>
      <c r="O1812">
        <v>84</v>
      </c>
      <c r="P1812" t="str">
        <f>VLOOKUP(O1812,[1]OPERADORES!$A:$B,2,0)</f>
        <v>JEICY AZEVEDO</v>
      </c>
      <c r="Q1812">
        <v>11</v>
      </c>
      <c r="R1812">
        <v>1000007708</v>
      </c>
      <c r="S1812" t="s">
        <v>4051</v>
      </c>
      <c r="T1812" s="1">
        <v>44837</v>
      </c>
      <c r="U1812" s="2">
        <v>1409</v>
      </c>
      <c r="V1812" s="2">
        <v>1409</v>
      </c>
    </row>
    <row r="1813" spans="1:22" x14ac:dyDescent="0.3">
      <c r="A1813" t="s">
        <v>3999</v>
      </c>
      <c r="B1813" t="s">
        <v>4000</v>
      </c>
      <c r="C1813" t="s">
        <v>13</v>
      </c>
      <c r="D1813" t="s">
        <v>4001</v>
      </c>
      <c r="E1813" t="s">
        <v>15</v>
      </c>
      <c r="J1813" s="1">
        <v>44958</v>
      </c>
      <c r="K1813">
        <v>1126</v>
      </c>
      <c r="L1813" t="s">
        <v>4052</v>
      </c>
      <c r="M1813">
        <v>1</v>
      </c>
      <c r="N1813" t="str">
        <f>VLOOKUP(M1813,[1]LOJA!$A:$B,2,0)</f>
        <v>GUARÁ</v>
      </c>
      <c r="O1813">
        <v>20</v>
      </c>
      <c r="P1813" t="str">
        <f>VLOOKUP(O1813,[1]OPERADORES!$A:$B,2,0)</f>
        <v>MAYARA</v>
      </c>
      <c r="Q1813">
        <v>11</v>
      </c>
      <c r="R1813">
        <v>1000008622</v>
      </c>
      <c r="S1813" t="s">
        <v>4053</v>
      </c>
      <c r="T1813" s="1">
        <v>44928</v>
      </c>
      <c r="U1813" s="2">
        <v>1661.57</v>
      </c>
      <c r="V1813" s="2">
        <v>1661.57</v>
      </c>
    </row>
    <row r="1814" spans="1:22" x14ac:dyDescent="0.3">
      <c r="A1814" t="s">
        <v>3999</v>
      </c>
      <c r="B1814" t="s">
        <v>4000</v>
      </c>
      <c r="C1814" t="s">
        <v>13</v>
      </c>
      <c r="D1814" t="s">
        <v>4001</v>
      </c>
      <c r="E1814" t="s">
        <v>15</v>
      </c>
      <c r="J1814" s="1">
        <v>44962</v>
      </c>
      <c r="K1814">
        <v>1122</v>
      </c>
      <c r="L1814" t="s">
        <v>4054</v>
      </c>
      <c r="M1814">
        <v>1</v>
      </c>
      <c r="N1814" t="str">
        <f>VLOOKUP(M1814,[1]LOJA!$A:$B,2,0)</f>
        <v>GUARÁ</v>
      </c>
      <c r="O1814">
        <v>84</v>
      </c>
      <c r="P1814" t="str">
        <f>VLOOKUP(O1814,[1]OPERADORES!$A:$B,2,0)</f>
        <v>JEICY AZEVEDO</v>
      </c>
      <c r="Q1814">
        <v>11</v>
      </c>
      <c r="R1814">
        <v>1000008107</v>
      </c>
      <c r="S1814" t="s">
        <v>4055</v>
      </c>
      <c r="T1814" s="1">
        <v>44872</v>
      </c>
      <c r="U1814">
        <v>619</v>
      </c>
      <c r="V1814">
        <v>619</v>
      </c>
    </row>
    <row r="1815" spans="1:22" x14ac:dyDescent="0.3">
      <c r="A1815" t="s">
        <v>3999</v>
      </c>
      <c r="B1815" t="s">
        <v>4000</v>
      </c>
      <c r="C1815" t="s">
        <v>13</v>
      </c>
      <c r="D1815" t="s">
        <v>4001</v>
      </c>
      <c r="E1815" t="s">
        <v>15</v>
      </c>
      <c r="J1815" s="1">
        <v>44964</v>
      </c>
      <c r="K1815">
        <v>1120</v>
      </c>
      <c r="L1815" t="s">
        <v>4056</v>
      </c>
      <c r="M1815">
        <v>1</v>
      </c>
      <c r="N1815" t="str">
        <f>VLOOKUP(M1815,[1]LOJA!$A:$B,2,0)</f>
        <v>GUARÁ</v>
      </c>
      <c r="O1815">
        <v>20</v>
      </c>
      <c r="P1815" t="str">
        <f>VLOOKUP(O1815,[1]OPERADORES!$A:$B,2,0)</f>
        <v>MAYARA</v>
      </c>
      <c r="Q1815">
        <v>11</v>
      </c>
      <c r="R1815">
        <v>1000007814</v>
      </c>
      <c r="S1815" t="s">
        <v>4057</v>
      </c>
      <c r="T1815" s="1">
        <v>44844</v>
      </c>
      <c r="U1815" s="2">
        <v>1274</v>
      </c>
      <c r="V1815" s="2">
        <v>1274</v>
      </c>
    </row>
    <row r="1816" spans="1:22" x14ac:dyDescent="0.3">
      <c r="A1816" t="s">
        <v>3999</v>
      </c>
      <c r="B1816" t="s">
        <v>4000</v>
      </c>
      <c r="C1816" t="s">
        <v>13</v>
      </c>
      <c r="D1816" t="s">
        <v>4001</v>
      </c>
      <c r="E1816" t="s">
        <v>15</v>
      </c>
      <c r="J1816" s="1">
        <v>44967</v>
      </c>
      <c r="K1816">
        <v>1117</v>
      </c>
      <c r="L1816" t="s">
        <v>4058</v>
      </c>
      <c r="M1816">
        <v>1</v>
      </c>
      <c r="N1816" t="str">
        <f>VLOOKUP(M1816,[1]LOJA!$A:$B,2,0)</f>
        <v>GUARÁ</v>
      </c>
      <c r="O1816">
        <v>84</v>
      </c>
      <c r="P1816" t="str">
        <f>VLOOKUP(O1816,[1]OPERADORES!$A:$B,2,0)</f>
        <v>JEICY AZEVEDO</v>
      </c>
      <c r="Q1816">
        <v>11</v>
      </c>
      <c r="R1816">
        <v>1000008483</v>
      </c>
      <c r="S1816" t="s">
        <v>4059</v>
      </c>
      <c r="T1816" s="1">
        <v>44907</v>
      </c>
      <c r="U1816" s="2">
        <v>1875</v>
      </c>
      <c r="V1816" s="2">
        <v>1875</v>
      </c>
    </row>
    <row r="1817" spans="1:22" x14ac:dyDescent="0.3">
      <c r="A1817" t="s">
        <v>3999</v>
      </c>
      <c r="B1817" t="s">
        <v>4000</v>
      </c>
      <c r="C1817" t="s">
        <v>13</v>
      </c>
      <c r="D1817" t="s">
        <v>4001</v>
      </c>
      <c r="E1817" t="s">
        <v>15</v>
      </c>
      <c r="J1817" s="1">
        <v>44967</v>
      </c>
      <c r="K1817">
        <v>1117</v>
      </c>
      <c r="L1817" t="s">
        <v>4060</v>
      </c>
      <c r="M1817">
        <v>1</v>
      </c>
      <c r="N1817" t="str">
        <f>VLOOKUP(M1817,[1]LOJA!$A:$B,2,0)</f>
        <v>GUARÁ</v>
      </c>
      <c r="O1817">
        <v>20</v>
      </c>
      <c r="P1817" t="str">
        <f>VLOOKUP(O1817,[1]OPERADORES!$A:$B,2,0)</f>
        <v>MAYARA</v>
      </c>
      <c r="Q1817">
        <v>11</v>
      </c>
      <c r="R1817">
        <v>1000008762</v>
      </c>
      <c r="S1817" t="s">
        <v>4061</v>
      </c>
      <c r="T1817" s="1">
        <v>44937</v>
      </c>
      <c r="U1817" s="2">
        <v>2105.9899999999998</v>
      </c>
      <c r="V1817" s="2">
        <v>2105.9899999999998</v>
      </c>
    </row>
    <row r="1818" spans="1:22" x14ac:dyDescent="0.3">
      <c r="A1818" t="s">
        <v>3999</v>
      </c>
      <c r="B1818" t="s">
        <v>4000</v>
      </c>
      <c r="C1818" t="s">
        <v>13</v>
      </c>
      <c r="D1818" t="s">
        <v>4001</v>
      </c>
      <c r="E1818" t="s">
        <v>15</v>
      </c>
      <c r="J1818" s="1">
        <v>44969</v>
      </c>
      <c r="K1818">
        <v>1115</v>
      </c>
      <c r="L1818" t="s">
        <v>4062</v>
      </c>
      <c r="M1818">
        <v>1</v>
      </c>
      <c r="N1818" t="str">
        <f>VLOOKUP(M1818,[1]LOJA!$A:$B,2,0)</f>
        <v>GUARÁ</v>
      </c>
      <c r="O1818">
        <v>20</v>
      </c>
      <c r="P1818" t="str">
        <f>VLOOKUP(O1818,[1]OPERADORES!$A:$B,2,0)</f>
        <v>MAYARA</v>
      </c>
      <c r="Q1818">
        <v>11</v>
      </c>
      <c r="R1818">
        <v>1000008143</v>
      </c>
      <c r="S1818" t="s">
        <v>4063</v>
      </c>
      <c r="T1818" s="1">
        <v>44879</v>
      </c>
      <c r="U1818" s="2">
        <v>1131</v>
      </c>
      <c r="V1818" s="2">
        <v>1131</v>
      </c>
    </row>
    <row r="1819" spans="1:22" x14ac:dyDescent="0.3">
      <c r="A1819" t="s">
        <v>3999</v>
      </c>
      <c r="B1819" t="s">
        <v>4000</v>
      </c>
      <c r="C1819" t="s">
        <v>13</v>
      </c>
      <c r="D1819" t="s">
        <v>4001</v>
      </c>
      <c r="E1819" t="s">
        <v>15</v>
      </c>
      <c r="J1819" s="1">
        <v>44971</v>
      </c>
      <c r="K1819">
        <v>1113</v>
      </c>
      <c r="L1819" t="s">
        <v>4064</v>
      </c>
      <c r="M1819">
        <v>1</v>
      </c>
      <c r="N1819" t="str">
        <f>VLOOKUP(M1819,[1]LOJA!$A:$B,2,0)</f>
        <v>GUARÁ</v>
      </c>
      <c r="O1819">
        <v>20</v>
      </c>
      <c r="P1819" t="str">
        <f>VLOOKUP(O1819,[1]OPERADORES!$A:$B,2,0)</f>
        <v>MAYARA</v>
      </c>
      <c r="Q1819">
        <v>11</v>
      </c>
      <c r="R1819">
        <v>1000007856</v>
      </c>
      <c r="S1819" t="s">
        <v>4065</v>
      </c>
      <c r="T1819" s="1">
        <v>44851</v>
      </c>
      <c r="U1819" s="2">
        <v>1443</v>
      </c>
      <c r="V1819" s="2">
        <v>1443</v>
      </c>
    </row>
    <row r="1820" spans="1:22" x14ac:dyDescent="0.3">
      <c r="A1820" t="s">
        <v>3999</v>
      </c>
      <c r="B1820" t="s">
        <v>4000</v>
      </c>
      <c r="C1820" t="s">
        <v>13</v>
      </c>
      <c r="D1820" t="s">
        <v>4001</v>
      </c>
      <c r="E1820" t="s">
        <v>15</v>
      </c>
      <c r="J1820" s="1">
        <v>44972</v>
      </c>
      <c r="K1820">
        <v>1112</v>
      </c>
      <c r="L1820" t="s">
        <v>4066</v>
      </c>
      <c r="M1820">
        <v>1</v>
      </c>
      <c r="N1820" t="str">
        <f>VLOOKUP(M1820,[1]LOJA!$A:$B,2,0)</f>
        <v>GUARÁ</v>
      </c>
      <c r="O1820">
        <v>84</v>
      </c>
      <c r="P1820" t="str">
        <f>VLOOKUP(O1820,[1]OPERADORES!$A:$B,2,0)</f>
        <v>JEICY AZEVEDO</v>
      </c>
      <c r="Q1820">
        <v>11</v>
      </c>
      <c r="R1820">
        <v>1000008787</v>
      </c>
      <c r="S1820" t="s">
        <v>4067</v>
      </c>
      <c r="T1820" s="1">
        <v>44942</v>
      </c>
      <c r="U1820" s="2">
        <v>1720.12</v>
      </c>
      <c r="V1820" s="2">
        <v>1720.12</v>
      </c>
    </row>
    <row r="1821" spans="1:22" x14ac:dyDescent="0.3">
      <c r="A1821" t="s">
        <v>3999</v>
      </c>
      <c r="B1821" t="s">
        <v>4000</v>
      </c>
      <c r="C1821" t="s">
        <v>13</v>
      </c>
      <c r="D1821" t="s">
        <v>4001</v>
      </c>
      <c r="E1821" t="s">
        <v>15</v>
      </c>
      <c r="J1821" s="1">
        <v>44973</v>
      </c>
      <c r="K1821">
        <v>1111</v>
      </c>
      <c r="L1821" t="s">
        <v>4068</v>
      </c>
      <c r="M1821">
        <v>1</v>
      </c>
      <c r="N1821" t="str">
        <f>VLOOKUP(M1821,[1]LOJA!$A:$B,2,0)</f>
        <v>GUARÁ</v>
      </c>
      <c r="O1821">
        <v>20</v>
      </c>
      <c r="P1821" t="str">
        <f>VLOOKUP(O1821,[1]OPERADORES!$A:$B,2,0)</f>
        <v>MAYARA</v>
      </c>
      <c r="Q1821">
        <v>11</v>
      </c>
      <c r="R1821">
        <v>1000008523</v>
      </c>
      <c r="S1821" t="s">
        <v>4069</v>
      </c>
      <c r="T1821" s="1">
        <v>44913</v>
      </c>
      <c r="U1821" s="2">
        <v>2173</v>
      </c>
      <c r="V1821" s="2">
        <v>2173</v>
      </c>
    </row>
    <row r="1822" spans="1:22" x14ac:dyDescent="0.3">
      <c r="A1822" t="s">
        <v>3999</v>
      </c>
      <c r="B1822" t="s">
        <v>4000</v>
      </c>
      <c r="C1822" t="s">
        <v>13</v>
      </c>
      <c r="D1822" t="s">
        <v>4001</v>
      </c>
      <c r="E1822" t="s">
        <v>15</v>
      </c>
      <c r="J1822" s="1">
        <v>44976</v>
      </c>
      <c r="K1822">
        <v>1108</v>
      </c>
      <c r="L1822" t="s">
        <v>4070</v>
      </c>
      <c r="M1822">
        <v>1</v>
      </c>
      <c r="N1822" t="str">
        <f>VLOOKUP(M1822,[1]LOJA!$A:$B,2,0)</f>
        <v>GUARÁ</v>
      </c>
      <c r="O1822">
        <v>20</v>
      </c>
      <c r="P1822" t="str">
        <f>VLOOKUP(O1822,[1]OPERADORES!$A:$B,2,0)</f>
        <v>MAYARA</v>
      </c>
      <c r="Q1822">
        <v>11</v>
      </c>
      <c r="R1822">
        <v>1000008197</v>
      </c>
      <c r="S1822" t="s">
        <v>4071</v>
      </c>
      <c r="T1822" s="1">
        <v>44886</v>
      </c>
      <c r="U1822" s="2">
        <v>1254</v>
      </c>
      <c r="V1822" s="2">
        <v>1254</v>
      </c>
    </row>
    <row r="1823" spans="1:22" x14ac:dyDescent="0.3">
      <c r="A1823" t="s">
        <v>3999</v>
      </c>
      <c r="B1823" t="s">
        <v>4000</v>
      </c>
      <c r="C1823" t="s">
        <v>13</v>
      </c>
      <c r="D1823" t="s">
        <v>4001</v>
      </c>
      <c r="E1823" t="s">
        <v>15</v>
      </c>
      <c r="J1823" s="1">
        <v>44977</v>
      </c>
      <c r="K1823">
        <v>1107</v>
      </c>
      <c r="L1823" t="s">
        <v>4072</v>
      </c>
      <c r="M1823">
        <v>1</v>
      </c>
      <c r="N1823" t="str">
        <f>VLOOKUP(M1823,[1]LOJA!$A:$B,2,0)</f>
        <v>GUARÁ</v>
      </c>
      <c r="O1823">
        <v>84</v>
      </c>
      <c r="P1823" t="str">
        <f>VLOOKUP(O1823,[1]OPERADORES!$A:$B,2,0)</f>
        <v>JEICY AZEVEDO</v>
      </c>
      <c r="Q1823">
        <v>12</v>
      </c>
      <c r="S1823" t="s">
        <v>4073</v>
      </c>
      <c r="T1823" s="1">
        <v>44963</v>
      </c>
      <c r="U1823" s="2">
        <v>7253.87</v>
      </c>
      <c r="V1823" s="2">
        <v>7253.87</v>
      </c>
    </row>
    <row r="1824" spans="1:22" x14ac:dyDescent="0.3">
      <c r="A1824" t="s">
        <v>3999</v>
      </c>
      <c r="B1824" t="s">
        <v>4000</v>
      </c>
      <c r="C1824" t="s">
        <v>13</v>
      </c>
      <c r="D1824" t="s">
        <v>4001</v>
      </c>
      <c r="E1824" t="s">
        <v>15</v>
      </c>
      <c r="J1824" s="1">
        <v>44978</v>
      </c>
      <c r="K1824">
        <v>1106</v>
      </c>
      <c r="L1824" t="s">
        <v>4074</v>
      </c>
      <c r="M1824">
        <v>1</v>
      </c>
      <c r="N1824" t="str">
        <f>VLOOKUP(M1824,[1]LOJA!$A:$B,2,0)</f>
        <v>GUARÁ</v>
      </c>
      <c r="O1824">
        <v>20</v>
      </c>
      <c r="P1824" t="str">
        <f>VLOOKUP(O1824,[1]OPERADORES!$A:$B,2,0)</f>
        <v>MAYARA</v>
      </c>
      <c r="Q1824">
        <v>11</v>
      </c>
      <c r="R1824">
        <v>1000007912</v>
      </c>
      <c r="S1824" t="s">
        <v>4075</v>
      </c>
      <c r="T1824" s="1">
        <v>44858</v>
      </c>
      <c r="U1824" s="2">
        <v>1503</v>
      </c>
      <c r="V1824" s="2">
        <v>1503</v>
      </c>
    </row>
    <row r="1825" spans="1:22" x14ac:dyDescent="0.3">
      <c r="A1825" t="s">
        <v>3999</v>
      </c>
      <c r="B1825" t="s">
        <v>4000</v>
      </c>
      <c r="C1825" t="s">
        <v>13</v>
      </c>
      <c r="D1825" t="s">
        <v>4001</v>
      </c>
      <c r="E1825" t="s">
        <v>15</v>
      </c>
      <c r="J1825" s="1">
        <v>44981</v>
      </c>
      <c r="K1825">
        <v>1103</v>
      </c>
      <c r="L1825" t="s">
        <v>4076</v>
      </c>
      <c r="M1825">
        <v>1</v>
      </c>
      <c r="N1825" t="str">
        <f>VLOOKUP(M1825,[1]LOJA!$A:$B,2,0)</f>
        <v>GUARÁ</v>
      </c>
      <c r="O1825">
        <v>20</v>
      </c>
      <c r="P1825" t="str">
        <f>VLOOKUP(O1825,[1]OPERADORES!$A:$B,2,0)</f>
        <v>MAYARA</v>
      </c>
      <c r="Q1825">
        <v>11</v>
      </c>
      <c r="R1825">
        <v>1000008578</v>
      </c>
      <c r="S1825" t="s">
        <v>4077</v>
      </c>
      <c r="T1825" s="1">
        <v>44921</v>
      </c>
      <c r="U1825" s="2">
        <v>1956</v>
      </c>
      <c r="V1825" s="2">
        <v>1956</v>
      </c>
    </row>
    <row r="1826" spans="1:22" x14ac:dyDescent="0.3">
      <c r="A1826" t="s">
        <v>3999</v>
      </c>
      <c r="B1826" t="s">
        <v>4000</v>
      </c>
      <c r="C1826" t="s">
        <v>13</v>
      </c>
      <c r="D1826" t="s">
        <v>4001</v>
      </c>
      <c r="E1826" t="s">
        <v>15</v>
      </c>
      <c r="J1826" s="1">
        <v>44984</v>
      </c>
      <c r="K1826">
        <v>1100</v>
      </c>
      <c r="L1826" t="s">
        <v>4078</v>
      </c>
      <c r="M1826">
        <v>1</v>
      </c>
      <c r="N1826" t="str">
        <f>VLOOKUP(M1826,[1]LOJA!$A:$B,2,0)</f>
        <v>GUARÁ</v>
      </c>
      <c r="O1826">
        <v>20</v>
      </c>
      <c r="P1826" t="str">
        <f>VLOOKUP(O1826,[1]OPERADORES!$A:$B,2,0)</f>
        <v>MAYARA</v>
      </c>
      <c r="Q1826">
        <v>11</v>
      </c>
      <c r="R1826">
        <v>1000008273</v>
      </c>
      <c r="S1826" t="s">
        <v>4079</v>
      </c>
      <c r="T1826" s="1">
        <v>44894</v>
      </c>
      <c r="U1826" s="2">
        <v>2102</v>
      </c>
      <c r="V1826" s="2">
        <v>2102</v>
      </c>
    </row>
    <row r="1827" spans="1:22" x14ac:dyDescent="0.3">
      <c r="A1827" t="s">
        <v>3999</v>
      </c>
      <c r="B1827" t="s">
        <v>4000</v>
      </c>
      <c r="C1827" t="s">
        <v>13</v>
      </c>
      <c r="D1827" t="s">
        <v>4001</v>
      </c>
      <c r="E1827" t="s">
        <v>15</v>
      </c>
      <c r="J1827" s="1">
        <v>44986</v>
      </c>
      <c r="K1827">
        <v>1098</v>
      </c>
      <c r="L1827" t="s">
        <v>4080</v>
      </c>
      <c r="M1827">
        <v>1</v>
      </c>
      <c r="N1827" t="str">
        <f>VLOOKUP(M1827,[1]LOJA!$A:$B,2,0)</f>
        <v>GUARÁ</v>
      </c>
      <c r="O1827">
        <v>20</v>
      </c>
      <c r="P1827" t="str">
        <f>VLOOKUP(O1827,[1]OPERADORES!$A:$B,2,0)</f>
        <v>MAYARA</v>
      </c>
      <c r="Q1827">
        <v>11</v>
      </c>
      <c r="R1827">
        <v>1000008015</v>
      </c>
      <c r="S1827" t="s">
        <v>4081</v>
      </c>
      <c r="T1827" s="1">
        <v>44866</v>
      </c>
      <c r="U1827" s="2">
        <v>1707</v>
      </c>
      <c r="V1827" s="2">
        <v>1707</v>
      </c>
    </row>
    <row r="1828" spans="1:22" x14ac:dyDescent="0.3">
      <c r="A1828" t="s">
        <v>3999</v>
      </c>
      <c r="B1828" t="s">
        <v>4000</v>
      </c>
      <c r="C1828" t="s">
        <v>13</v>
      </c>
      <c r="D1828" t="s">
        <v>4001</v>
      </c>
      <c r="E1828" t="s">
        <v>15</v>
      </c>
      <c r="J1828" s="1">
        <v>44988</v>
      </c>
      <c r="K1828">
        <v>1096</v>
      </c>
      <c r="L1828" t="s">
        <v>4082</v>
      </c>
      <c r="M1828">
        <v>1</v>
      </c>
      <c r="N1828" t="str">
        <f>VLOOKUP(M1828,[1]LOJA!$A:$B,2,0)</f>
        <v>GUARÁ</v>
      </c>
      <c r="O1828">
        <v>20</v>
      </c>
      <c r="P1828" t="str">
        <f>VLOOKUP(O1828,[1]OPERADORES!$A:$B,2,0)</f>
        <v>MAYARA</v>
      </c>
      <c r="Q1828">
        <v>11</v>
      </c>
      <c r="R1828">
        <v>1000008623</v>
      </c>
      <c r="S1828" t="s">
        <v>4083</v>
      </c>
      <c r="T1828" s="1">
        <v>44928</v>
      </c>
      <c r="U1828" s="2">
        <v>1658</v>
      </c>
      <c r="V1828" s="2">
        <v>1658</v>
      </c>
    </row>
    <row r="1829" spans="1:22" x14ac:dyDescent="0.3">
      <c r="A1829" t="s">
        <v>3999</v>
      </c>
      <c r="B1829" t="s">
        <v>4000</v>
      </c>
      <c r="C1829" t="s">
        <v>13</v>
      </c>
      <c r="D1829" t="s">
        <v>4001</v>
      </c>
      <c r="E1829" t="s">
        <v>15</v>
      </c>
      <c r="J1829" s="1">
        <v>44992</v>
      </c>
      <c r="K1829">
        <v>1092</v>
      </c>
      <c r="L1829" t="s">
        <v>4084</v>
      </c>
      <c r="M1829">
        <v>1</v>
      </c>
      <c r="N1829" t="str">
        <f>VLOOKUP(M1829,[1]LOJA!$A:$B,2,0)</f>
        <v>GUARÁ</v>
      </c>
      <c r="O1829">
        <v>84</v>
      </c>
      <c r="P1829" t="str">
        <f>VLOOKUP(O1829,[1]OPERADORES!$A:$B,2,0)</f>
        <v>JEICY AZEVEDO</v>
      </c>
      <c r="Q1829">
        <v>11</v>
      </c>
      <c r="R1829">
        <v>1000008108</v>
      </c>
      <c r="S1829" t="s">
        <v>4085</v>
      </c>
      <c r="T1829" s="1">
        <v>44872</v>
      </c>
      <c r="U1829">
        <v>619</v>
      </c>
      <c r="V1829">
        <v>619</v>
      </c>
    </row>
    <row r="1830" spans="1:22" x14ac:dyDescent="0.3">
      <c r="A1830" t="s">
        <v>3999</v>
      </c>
      <c r="B1830" t="s">
        <v>4000</v>
      </c>
      <c r="C1830" t="s">
        <v>13</v>
      </c>
      <c r="D1830" t="s">
        <v>4001</v>
      </c>
      <c r="E1830" t="s">
        <v>15</v>
      </c>
      <c r="J1830" s="1">
        <v>44997</v>
      </c>
      <c r="K1830">
        <v>1087</v>
      </c>
      <c r="L1830" t="s">
        <v>4086</v>
      </c>
      <c r="M1830">
        <v>1</v>
      </c>
      <c r="N1830" t="str">
        <f>VLOOKUP(M1830,[1]LOJA!$A:$B,2,0)</f>
        <v>GUARÁ</v>
      </c>
      <c r="O1830">
        <v>84</v>
      </c>
      <c r="P1830" t="str">
        <f>VLOOKUP(O1830,[1]OPERADORES!$A:$B,2,0)</f>
        <v>JEICY AZEVEDO</v>
      </c>
      <c r="Q1830">
        <v>11</v>
      </c>
      <c r="R1830">
        <v>1000008484</v>
      </c>
      <c r="S1830" t="s">
        <v>4087</v>
      </c>
      <c r="T1830" s="1">
        <v>44907</v>
      </c>
      <c r="U1830" s="2">
        <v>1875</v>
      </c>
      <c r="V1830" s="2">
        <v>1875</v>
      </c>
    </row>
    <row r="1831" spans="1:22" x14ac:dyDescent="0.3">
      <c r="A1831" t="s">
        <v>3999</v>
      </c>
      <c r="B1831" t="s">
        <v>4000</v>
      </c>
      <c r="C1831" t="s">
        <v>13</v>
      </c>
      <c r="D1831" t="s">
        <v>4001</v>
      </c>
      <c r="E1831" t="s">
        <v>15</v>
      </c>
      <c r="J1831" s="1">
        <v>44997</v>
      </c>
      <c r="K1831">
        <v>1087</v>
      </c>
      <c r="L1831" t="s">
        <v>4088</v>
      </c>
      <c r="M1831">
        <v>1</v>
      </c>
      <c r="N1831" t="str">
        <f>VLOOKUP(M1831,[1]LOJA!$A:$B,2,0)</f>
        <v>GUARÁ</v>
      </c>
      <c r="O1831">
        <v>20</v>
      </c>
      <c r="P1831" t="str">
        <f>VLOOKUP(O1831,[1]OPERADORES!$A:$B,2,0)</f>
        <v>MAYARA</v>
      </c>
      <c r="Q1831">
        <v>11</v>
      </c>
      <c r="R1831">
        <v>1000008764</v>
      </c>
      <c r="S1831" t="s">
        <v>4089</v>
      </c>
      <c r="T1831" s="1">
        <v>44937</v>
      </c>
      <c r="U1831" s="2">
        <v>2105</v>
      </c>
      <c r="V1831" s="2">
        <v>2105</v>
      </c>
    </row>
    <row r="1832" spans="1:22" x14ac:dyDescent="0.3">
      <c r="A1832" t="s">
        <v>3999</v>
      </c>
      <c r="B1832" t="s">
        <v>4000</v>
      </c>
      <c r="C1832" t="s">
        <v>13</v>
      </c>
      <c r="D1832" t="s">
        <v>4001</v>
      </c>
      <c r="E1832" t="s">
        <v>15</v>
      </c>
      <c r="J1832" s="1">
        <v>44999</v>
      </c>
      <c r="K1832">
        <v>1085</v>
      </c>
      <c r="L1832" t="s">
        <v>4090</v>
      </c>
      <c r="M1832">
        <v>1</v>
      </c>
      <c r="N1832" t="str">
        <f>VLOOKUP(M1832,[1]LOJA!$A:$B,2,0)</f>
        <v>GUARÁ</v>
      </c>
      <c r="O1832">
        <v>20</v>
      </c>
      <c r="P1832" t="str">
        <f>VLOOKUP(O1832,[1]OPERADORES!$A:$B,2,0)</f>
        <v>MAYARA</v>
      </c>
      <c r="Q1832">
        <v>11</v>
      </c>
      <c r="R1832">
        <v>1000008144</v>
      </c>
      <c r="S1832" t="s">
        <v>4091</v>
      </c>
      <c r="T1832" s="1">
        <v>44879</v>
      </c>
      <c r="U1832" s="2">
        <v>1131</v>
      </c>
      <c r="V1832" s="2">
        <v>1131</v>
      </c>
    </row>
    <row r="1833" spans="1:22" x14ac:dyDescent="0.3">
      <c r="A1833" t="s">
        <v>3999</v>
      </c>
      <c r="B1833" t="s">
        <v>4000</v>
      </c>
      <c r="C1833" t="s">
        <v>13</v>
      </c>
      <c r="D1833" t="s">
        <v>4001</v>
      </c>
      <c r="E1833" t="s">
        <v>15</v>
      </c>
      <c r="J1833" s="1">
        <v>45002</v>
      </c>
      <c r="K1833">
        <v>1082</v>
      </c>
      <c r="L1833" t="s">
        <v>4092</v>
      </c>
      <c r="M1833">
        <v>1</v>
      </c>
      <c r="N1833" t="str">
        <f>VLOOKUP(M1833,[1]LOJA!$A:$B,2,0)</f>
        <v>GUARÁ</v>
      </c>
      <c r="O1833">
        <v>84</v>
      </c>
      <c r="P1833" t="str">
        <f>VLOOKUP(O1833,[1]OPERADORES!$A:$B,2,0)</f>
        <v>JEICY AZEVEDO</v>
      </c>
      <c r="Q1833">
        <v>11</v>
      </c>
      <c r="R1833">
        <v>1000008788</v>
      </c>
      <c r="S1833" t="s">
        <v>4093</v>
      </c>
      <c r="T1833" s="1">
        <v>44942</v>
      </c>
      <c r="U1833" s="2">
        <v>1720</v>
      </c>
      <c r="V1833" s="2">
        <v>1720</v>
      </c>
    </row>
    <row r="1834" spans="1:22" x14ac:dyDescent="0.3">
      <c r="A1834" t="s">
        <v>3999</v>
      </c>
      <c r="B1834" t="s">
        <v>4000</v>
      </c>
      <c r="C1834" t="s">
        <v>13</v>
      </c>
      <c r="D1834" t="s">
        <v>4001</v>
      </c>
      <c r="E1834" t="s">
        <v>15</v>
      </c>
      <c r="J1834" s="1">
        <v>45003</v>
      </c>
      <c r="K1834">
        <v>1081</v>
      </c>
      <c r="L1834" t="s">
        <v>4094</v>
      </c>
      <c r="M1834">
        <v>1</v>
      </c>
      <c r="N1834" t="str">
        <f>VLOOKUP(M1834,[1]LOJA!$A:$B,2,0)</f>
        <v>GUARÁ</v>
      </c>
      <c r="O1834">
        <v>20</v>
      </c>
      <c r="P1834" t="str">
        <f>VLOOKUP(O1834,[1]OPERADORES!$A:$B,2,0)</f>
        <v>MAYARA</v>
      </c>
      <c r="Q1834">
        <v>11</v>
      </c>
      <c r="R1834">
        <v>1000008524</v>
      </c>
      <c r="S1834" t="s">
        <v>4095</v>
      </c>
      <c r="T1834" s="1">
        <v>44913</v>
      </c>
      <c r="U1834" s="2">
        <v>2173</v>
      </c>
      <c r="V1834" s="2">
        <v>2173</v>
      </c>
    </row>
    <row r="1835" spans="1:22" x14ac:dyDescent="0.3">
      <c r="A1835" t="s">
        <v>3999</v>
      </c>
      <c r="B1835" t="s">
        <v>4000</v>
      </c>
      <c r="C1835" t="s">
        <v>13</v>
      </c>
      <c r="D1835" t="s">
        <v>4001</v>
      </c>
      <c r="E1835" t="s">
        <v>15</v>
      </c>
      <c r="J1835" s="1">
        <v>45005</v>
      </c>
      <c r="K1835">
        <v>1079</v>
      </c>
      <c r="L1835" t="s">
        <v>4096</v>
      </c>
      <c r="M1835">
        <v>1</v>
      </c>
      <c r="N1835" t="str">
        <f>VLOOKUP(M1835,[1]LOJA!$A:$B,2,0)</f>
        <v>GUARÁ</v>
      </c>
      <c r="O1835">
        <v>84</v>
      </c>
      <c r="P1835" t="str">
        <f>VLOOKUP(O1835,[1]OPERADORES!$A:$B,2,0)</f>
        <v>JEICY AZEVEDO</v>
      </c>
      <c r="Q1835">
        <v>12</v>
      </c>
      <c r="S1835" t="s">
        <v>4097</v>
      </c>
      <c r="T1835" s="1">
        <v>44963</v>
      </c>
      <c r="U1835" s="2">
        <v>7251</v>
      </c>
      <c r="V1835" s="2">
        <v>7251</v>
      </c>
    </row>
    <row r="1836" spans="1:22" x14ac:dyDescent="0.3">
      <c r="A1836" t="s">
        <v>3999</v>
      </c>
      <c r="B1836" t="s">
        <v>4000</v>
      </c>
      <c r="C1836" t="s">
        <v>13</v>
      </c>
      <c r="D1836" t="s">
        <v>4001</v>
      </c>
      <c r="E1836" t="s">
        <v>15</v>
      </c>
      <c r="J1836" s="1">
        <v>45005</v>
      </c>
      <c r="K1836">
        <v>1079</v>
      </c>
      <c r="L1836" t="s">
        <v>4098</v>
      </c>
      <c r="M1836">
        <v>1</v>
      </c>
      <c r="N1836" t="str">
        <f>VLOOKUP(M1836,[1]LOJA!$A:$B,2,0)</f>
        <v>GUARÁ</v>
      </c>
      <c r="O1836">
        <v>84</v>
      </c>
      <c r="P1836" t="str">
        <f>VLOOKUP(O1836,[1]OPERADORES!$A:$B,2,0)</f>
        <v>JEICY AZEVEDO</v>
      </c>
      <c r="Q1836">
        <v>12</v>
      </c>
      <c r="S1836" t="s">
        <v>4099</v>
      </c>
      <c r="T1836" s="1">
        <v>44991</v>
      </c>
      <c r="U1836" s="2">
        <v>8432.66</v>
      </c>
      <c r="V1836" s="2">
        <v>8432.66</v>
      </c>
    </row>
    <row r="1837" spans="1:22" x14ac:dyDescent="0.3">
      <c r="A1837" t="s">
        <v>3999</v>
      </c>
      <c r="B1837" t="s">
        <v>4000</v>
      </c>
      <c r="C1837" t="s">
        <v>13</v>
      </c>
      <c r="D1837" t="s">
        <v>4001</v>
      </c>
      <c r="E1837" t="s">
        <v>15</v>
      </c>
      <c r="J1837" s="1">
        <v>45006</v>
      </c>
      <c r="K1837">
        <v>1078</v>
      </c>
      <c r="L1837" t="s">
        <v>4100</v>
      </c>
      <c r="M1837">
        <v>1</v>
      </c>
      <c r="N1837" t="str">
        <f>VLOOKUP(M1837,[1]LOJA!$A:$B,2,0)</f>
        <v>GUARÁ</v>
      </c>
      <c r="O1837">
        <v>20</v>
      </c>
      <c r="P1837" t="str">
        <f>VLOOKUP(O1837,[1]OPERADORES!$A:$B,2,0)</f>
        <v>MAYARA</v>
      </c>
      <c r="Q1837">
        <v>11</v>
      </c>
      <c r="R1837">
        <v>1000008198</v>
      </c>
      <c r="S1837" t="s">
        <v>4101</v>
      </c>
      <c r="T1837" s="1">
        <v>44886</v>
      </c>
      <c r="U1837" s="2">
        <v>1254</v>
      </c>
      <c r="V1837" s="2">
        <v>1254</v>
      </c>
    </row>
    <row r="1838" spans="1:22" x14ac:dyDescent="0.3">
      <c r="A1838" t="s">
        <v>3999</v>
      </c>
      <c r="B1838" t="s">
        <v>4000</v>
      </c>
      <c r="C1838" t="s">
        <v>13</v>
      </c>
      <c r="D1838" t="s">
        <v>4001</v>
      </c>
      <c r="E1838" t="s">
        <v>15</v>
      </c>
      <c r="J1838" s="1">
        <v>45011</v>
      </c>
      <c r="K1838">
        <v>1073</v>
      </c>
      <c r="L1838" t="s">
        <v>4102</v>
      </c>
      <c r="M1838">
        <v>1</v>
      </c>
      <c r="N1838" t="str">
        <f>VLOOKUP(M1838,[1]LOJA!$A:$B,2,0)</f>
        <v>GUARÁ</v>
      </c>
      <c r="O1838">
        <v>20</v>
      </c>
      <c r="P1838" t="str">
        <f>VLOOKUP(O1838,[1]OPERADORES!$A:$B,2,0)</f>
        <v>MAYARA</v>
      </c>
      <c r="Q1838">
        <v>11</v>
      </c>
      <c r="R1838">
        <v>1000008579</v>
      </c>
      <c r="S1838" t="s">
        <v>4103</v>
      </c>
      <c r="T1838" s="1">
        <v>44921</v>
      </c>
      <c r="U1838" s="2">
        <v>1956</v>
      </c>
      <c r="V1838" s="2">
        <v>1956</v>
      </c>
    </row>
    <row r="1839" spans="1:22" x14ac:dyDescent="0.3">
      <c r="A1839" t="s">
        <v>3999</v>
      </c>
      <c r="B1839" t="s">
        <v>4000</v>
      </c>
      <c r="C1839" t="s">
        <v>13</v>
      </c>
      <c r="D1839" t="s">
        <v>4001</v>
      </c>
      <c r="E1839" t="s">
        <v>15</v>
      </c>
      <c r="J1839" s="1">
        <v>45014</v>
      </c>
      <c r="K1839">
        <v>1070</v>
      </c>
      <c r="L1839" t="s">
        <v>4104</v>
      </c>
      <c r="M1839">
        <v>1</v>
      </c>
      <c r="N1839" t="str">
        <f>VLOOKUP(M1839,[1]LOJA!$A:$B,2,0)</f>
        <v>GUARÁ</v>
      </c>
      <c r="O1839">
        <v>20</v>
      </c>
      <c r="P1839" t="str">
        <f>VLOOKUP(O1839,[1]OPERADORES!$A:$B,2,0)</f>
        <v>MAYARA</v>
      </c>
      <c r="Q1839">
        <v>11</v>
      </c>
      <c r="R1839">
        <v>1000008275</v>
      </c>
      <c r="S1839" t="s">
        <v>4105</v>
      </c>
      <c r="T1839" s="1">
        <v>44894</v>
      </c>
      <c r="U1839" s="2">
        <v>2102</v>
      </c>
      <c r="V1839" s="2">
        <v>2102</v>
      </c>
    </row>
    <row r="1840" spans="1:22" x14ac:dyDescent="0.3">
      <c r="A1840" t="s">
        <v>3999</v>
      </c>
      <c r="B1840" t="s">
        <v>4000</v>
      </c>
      <c r="C1840" t="s">
        <v>13</v>
      </c>
      <c r="D1840" t="s">
        <v>4001</v>
      </c>
      <c r="E1840" t="s">
        <v>15</v>
      </c>
      <c r="J1840" s="1">
        <v>45018</v>
      </c>
      <c r="K1840">
        <v>1066</v>
      </c>
      <c r="L1840" t="s">
        <v>4106</v>
      </c>
      <c r="M1840">
        <v>1</v>
      </c>
      <c r="N1840" t="str">
        <f>VLOOKUP(M1840,[1]LOJA!$A:$B,2,0)</f>
        <v>GUARÁ</v>
      </c>
      <c r="O1840">
        <v>20</v>
      </c>
      <c r="P1840" t="str">
        <f>VLOOKUP(O1840,[1]OPERADORES!$A:$B,2,0)</f>
        <v>MAYARA</v>
      </c>
      <c r="Q1840">
        <v>11</v>
      </c>
      <c r="R1840">
        <v>1000008624</v>
      </c>
      <c r="S1840" t="s">
        <v>4107</v>
      </c>
      <c r="T1840" s="1">
        <v>44928</v>
      </c>
      <c r="U1840" s="2">
        <v>1658</v>
      </c>
      <c r="V1840" s="2">
        <v>1658</v>
      </c>
    </row>
    <row r="1841" spans="1:22" x14ac:dyDescent="0.3">
      <c r="A1841" t="s">
        <v>3999</v>
      </c>
      <c r="B1841" t="s">
        <v>4000</v>
      </c>
      <c r="C1841" t="s">
        <v>13</v>
      </c>
      <c r="D1841" t="s">
        <v>4001</v>
      </c>
      <c r="E1841" t="s">
        <v>15</v>
      </c>
      <c r="J1841" s="1">
        <v>45027</v>
      </c>
      <c r="K1841">
        <v>1057</v>
      </c>
      <c r="L1841" t="s">
        <v>4108</v>
      </c>
      <c r="M1841">
        <v>1</v>
      </c>
      <c r="N1841" t="str">
        <f>VLOOKUP(M1841,[1]LOJA!$A:$B,2,0)</f>
        <v>GUARÁ</v>
      </c>
      <c r="O1841">
        <v>84</v>
      </c>
      <c r="P1841" t="str">
        <f>VLOOKUP(O1841,[1]OPERADORES!$A:$B,2,0)</f>
        <v>JEICY AZEVEDO</v>
      </c>
      <c r="Q1841">
        <v>11</v>
      </c>
      <c r="R1841">
        <v>1000008485</v>
      </c>
      <c r="S1841" t="s">
        <v>4109</v>
      </c>
      <c r="T1841" s="1">
        <v>44907</v>
      </c>
      <c r="U1841" s="2">
        <v>1875</v>
      </c>
      <c r="V1841" s="2">
        <v>1875</v>
      </c>
    </row>
    <row r="1842" spans="1:22" x14ac:dyDescent="0.3">
      <c r="A1842" t="s">
        <v>3999</v>
      </c>
      <c r="B1842" t="s">
        <v>4000</v>
      </c>
      <c r="C1842" t="s">
        <v>13</v>
      </c>
      <c r="D1842" t="s">
        <v>4001</v>
      </c>
      <c r="E1842" t="s">
        <v>15</v>
      </c>
      <c r="J1842" s="1">
        <v>45027</v>
      </c>
      <c r="K1842">
        <v>1057</v>
      </c>
      <c r="L1842" t="s">
        <v>4110</v>
      </c>
      <c r="M1842">
        <v>1</v>
      </c>
      <c r="N1842" t="str">
        <f>VLOOKUP(M1842,[1]LOJA!$A:$B,2,0)</f>
        <v>GUARÁ</v>
      </c>
      <c r="O1842">
        <v>20</v>
      </c>
      <c r="P1842" t="str">
        <f>VLOOKUP(O1842,[1]OPERADORES!$A:$B,2,0)</f>
        <v>MAYARA</v>
      </c>
      <c r="Q1842">
        <v>11</v>
      </c>
      <c r="R1842">
        <v>1000008765</v>
      </c>
      <c r="S1842" t="s">
        <v>4111</v>
      </c>
      <c r="T1842" s="1">
        <v>44937</v>
      </c>
      <c r="U1842" s="2">
        <v>2105</v>
      </c>
      <c r="V1842" s="2">
        <v>2105</v>
      </c>
    </row>
    <row r="1843" spans="1:22" x14ac:dyDescent="0.3">
      <c r="A1843" t="s">
        <v>3999</v>
      </c>
      <c r="B1843" t="s">
        <v>4000</v>
      </c>
      <c r="C1843" t="s">
        <v>13</v>
      </c>
      <c r="D1843" t="s">
        <v>4001</v>
      </c>
      <c r="E1843" t="s">
        <v>15</v>
      </c>
      <c r="J1843" s="1">
        <v>45032</v>
      </c>
      <c r="K1843">
        <v>1052</v>
      </c>
      <c r="L1843" t="s">
        <v>4112</v>
      </c>
      <c r="M1843">
        <v>1</v>
      </c>
      <c r="N1843" t="str">
        <f>VLOOKUP(M1843,[1]LOJA!$A:$B,2,0)</f>
        <v>GUARÁ</v>
      </c>
      <c r="O1843">
        <v>84</v>
      </c>
      <c r="P1843" t="str">
        <f>VLOOKUP(O1843,[1]OPERADORES!$A:$B,2,0)</f>
        <v>JEICY AZEVEDO</v>
      </c>
      <c r="Q1843">
        <v>11</v>
      </c>
      <c r="R1843">
        <v>1000008789</v>
      </c>
      <c r="S1843" t="s">
        <v>4113</v>
      </c>
      <c r="T1843" s="1">
        <v>44942</v>
      </c>
      <c r="U1843" s="2">
        <v>1720</v>
      </c>
      <c r="V1843" s="2">
        <v>1720</v>
      </c>
    </row>
    <row r="1844" spans="1:22" x14ac:dyDescent="0.3">
      <c r="A1844" t="s">
        <v>3999</v>
      </c>
      <c r="B1844" t="s">
        <v>4000</v>
      </c>
      <c r="C1844" t="s">
        <v>13</v>
      </c>
      <c r="D1844" t="s">
        <v>4001</v>
      </c>
      <c r="E1844" t="s">
        <v>15</v>
      </c>
      <c r="J1844" s="1">
        <v>45033</v>
      </c>
      <c r="K1844">
        <v>1051</v>
      </c>
      <c r="L1844" t="s">
        <v>4114</v>
      </c>
      <c r="M1844">
        <v>1</v>
      </c>
      <c r="N1844" t="str">
        <f>VLOOKUP(M1844,[1]LOJA!$A:$B,2,0)</f>
        <v>GUARÁ</v>
      </c>
      <c r="O1844">
        <v>20</v>
      </c>
      <c r="P1844" t="str">
        <f>VLOOKUP(O1844,[1]OPERADORES!$A:$B,2,0)</f>
        <v>MAYARA</v>
      </c>
      <c r="Q1844">
        <v>11</v>
      </c>
      <c r="R1844">
        <v>1000008525</v>
      </c>
      <c r="S1844" t="s">
        <v>4115</v>
      </c>
      <c r="T1844" s="1">
        <v>44913</v>
      </c>
      <c r="U1844" s="2">
        <v>2173</v>
      </c>
      <c r="V1844" s="2">
        <v>2173</v>
      </c>
    </row>
    <row r="1845" spans="1:22" x14ac:dyDescent="0.3">
      <c r="A1845" t="s">
        <v>3999</v>
      </c>
      <c r="B1845" t="s">
        <v>4000</v>
      </c>
      <c r="C1845" t="s">
        <v>13</v>
      </c>
      <c r="D1845" t="s">
        <v>4001</v>
      </c>
      <c r="E1845" t="s">
        <v>15</v>
      </c>
      <c r="J1845" s="1">
        <v>45036</v>
      </c>
      <c r="K1845">
        <v>1048</v>
      </c>
      <c r="L1845" t="s">
        <v>4116</v>
      </c>
      <c r="M1845">
        <v>1</v>
      </c>
      <c r="N1845" t="str">
        <f>VLOOKUP(M1845,[1]LOJA!$A:$B,2,0)</f>
        <v>GUARÁ</v>
      </c>
      <c r="O1845">
        <v>84</v>
      </c>
      <c r="P1845" t="str">
        <f>VLOOKUP(O1845,[1]OPERADORES!$A:$B,2,0)</f>
        <v>JEICY AZEVEDO</v>
      </c>
      <c r="Q1845">
        <v>12</v>
      </c>
      <c r="S1845" t="s">
        <v>4117</v>
      </c>
      <c r="T1845" s="1">
        <v>44963</v>
      </c>
      <c r="U1845" s="2">
        <v>7251</v>
      </c>
      <c r="V1845" s="2">
        <v>7251</v>
      </c>
    </row>
    <row r="1846" spans="1:22" x14ac:dyDescent="0.3">
      <c r="A1846" t="s">
        <v>3999</v>
      </c>
      <c r="B1846" t="s">
        <v>4000</v>
      </c>
      <c r="C1846" t="s">
        <v>13</v>
      </c>
      <c r="D1846" t="s">
        <v>4001</v>
      </c>
      <c r="E1846" t="s">
        <v>15</v>
      </c>
      <c r="J1846" s="1">
        <v>45036</v>
      </c>
      <c r="K1846">
        <v>1048</v>
      </c>
      <c r="L1846" t="s">
        <v>2005</v>
      </c>
      <c r="M1846">
        <v>1</v>
      </c>
      <c r="N1846" t="str">
        <f>VLOOKUP(M1846,[1]LOJA!$A:$B,2,0)</f>
        <v>GUARÁ</v>
      </c>
      <c r="O1846">
        <v>84</v>
      </c>
      <c r="P1846" t="str">
        <f>VLOOKUP(O1846,[1]OPERADORES!$A:$B,2,0)</f>
        <v>JEICY AZEVEDO</v>
      </c>
      <c r="Q1846">
        <v>12</v>
      </c>
      <c r="S1846" t="s">
        <v>4118</v>
      </c>
      <c r="T1846" s="1">
        <v>44991</v>
      </c>
      <c r="U1846" s="2">
        <v>8430</v>
      </c>
      <c r="V1846" s="2">
        <v>8430</v>
      </c>
    </row>
    <row r="1847" spans="1:22" x14ac:dyDescent="0.3">
      <c r="A1847" t="s">
        <v>3999</v>
      </c>
      <c r="B1847" t="s">
        <v>4000</v>
      </c>
      <c r="C1847" t="s">
        <v>13</v>
      </c>
      <c r="D1847" t="s">
        <v>4001</v>
      </c>
      <c r="E1847" t="s">
        <v>15</v>
      </c>
      <c r="J1847" s="1">
        <v>45036</v>
      </c>
      <c r="K1847">
        <v>1048</v>
      </c>
      <c r="L1847" t="s">
        <v>4119</v>
      </c>
      <c r="M1847">
        <v>1</v>
      </c>
      <c r="N1847" t="str">
        <f>VLOOKUP(M1847,[1]LOJA!$A:$B,2,0)</f>
        <v>GUARÁ</v>
      </c>
      <c r="O1847">
        <v>84</v>
      </c>
      <c r="P1847" t="str">
        <f>VLOOKUP(O1847,[1]OPERADORES!$A:$B,2,0)</f>
        <v>JEICY AZEVEDO</v>
      </c>
      <c r="Q1847">
        <v>12</v>
      </c>
      <c r="S1847" t="s">
        <v>4120</v>
      </c>
      <c r="T1847" s="1">
        <v>45033</v>
      </c>
      <c r="U1847" s="2">
        <v>3001.06</v>
      </c>
      <c r="V1847" s="2">
        <v>3001.06</v>
      </c>
    </row>
    <row r="1848" spans="1:22" x14ac:dyDescent="0.3">
      <c r="A1848" t="s">
        <v>3999</v>
      </c>
      <c r="B1848" t="s">
        <v>4000</v>
      </c>
      <c r="C1848" t="s">
        <v>13</v>
      </c>
      <c r="D1848" t="s">
        <v>4001</v>
      </c>
      <c r="E1848" t="s">
        <v>15</v>
      </c>
      <c r="J1848" s="1">
        <v>45041</v>
      </c>
      <c r="K1848">
        <v>1043</v>
      </c>
      <c r="L1848" t="s">
        <v>4121</v>
      </c>
      <c r="M1848">
        <v>1</v>
      </c>
      <c r="N1848" t="str">
        <f>VLOOKUP(M1848,[1]LOJA!$A:$B,2,0)</f>
        <v>GUARÁ</v>
      </c>
      <c r="O1848">
        <v>20</v>
      </c>
      <c r="P1848" t="str">
        <f>VLOOKUP(O1848,[1]OPERADORES!$A:$B,2,0)</f>
        <v>MAYARA</v>
      </c>
      <c r="Q1848">
        <v>11</v>
      </c>
      <c r="R1848">
        <v>1000008580</v>
      </c>
      <c r="S1848" t="s">
        <v>4122</v>
      </c>
      <c r="T1848" s="1">
        <v>44921</v>
      </c>
      <c r="U1848" s="2">
        <v>1956</v>
      </c>
      <c r="V1848" s="2">
        <v>1956</v>
      </c>
    </row>
    <row r="1849" spans="1:22" x14ac:dyDescent="0.3">
      <c r="A1849" t="s">
        <v>3999</v>
      </c>
      <c r="B1849" t="s">
        <v>4000</v>
      </c>
      <c r="C1849" t="s">
        <v>13</v>
      </c>
      <c r="D1849" t="s">
        <v>4001</v>
      </c>
      <c r="E1849" t="s">
        <v>15</v>
      </c>
      <c r="J1849" s="1">
        <v>45048</v>
      </c>
      <c r="K1849">
        <v>1036</v>
      </c>
      <c r="L1849" t="s">
        <v>4123</v>
      </c>
      <c r="M1849">
        <v>1</v>
      </c>
      <c r="N1849" t="str">
        <f>VLOOKUP(M1849,[1]LOJA!$A:$B,2,0)</f>
        <v>GUARÁ</v>
      </c>
      <c r="O1849">
        <v>20</v>
      </c>
      <c r="P1849" t="str">
        <f>VLOOKUP(O1849,[1]OPERADORES!$A:$B,2,0)</f>
        <v>MAYARA</v>
      </c>
      <c r="Q1849">
        <v>11</v>
      </c>
      <c r="R1849">
        <v>1000008625</v>
      </c>
      <c r="S1849" t="s">
        <v>4124</v>
      </c>
      <c r="T1849" s="1">
        <v>44928</v>
      </c>
      <c r="U1849" s="2">
        <v>1658</v>
      </c>
      <c r="V1849" s="2">
        <v>1658</v>
      </c>
    </row>
    <row r="1850" spans="1:22" x14ac:dyDescent="0.3">
      <c r="A1850" t="s">
        <v>3999</v>
      </c>
      <c r="B1850" t="s">
        <v>4000</v>
      </c>
      <c r="C1850" t="s">
        <v>13</v>
      </c>
      <c r="D1850" t="s">
        <v>4001</v>
      </c>
      <c r="E1850" t="s">
        <v>15</v>
      </c>
      <c r="J1850" s="1">
        <v>45057</v>
      </c>
      <c r="K1850">
        <v>1027</v>
      </c>
      <c r="L1850" t="s">
        <v>4125</v>
      </c>
      <c r="M1850">
        <v>1</v>
      </c>
      <c r="N1850" t="str">
        <f>VLOOKUP(M1850,[1]LOJA!$A:$B,2,0)</f>
        <v>GUARÁ</v>
      </c>
      <c r="O1850">
        <v>20</v>
      </c>
      <c r="P1850" t="str">
        <f>VLOOKUP(O1850,[1]OPERADORES!$A:$B,2,0)</f>
        <v>MAYARA</v>
      </c>
      <c r="Q1850">
        <v>11</v>
      </c>
      <c r="R1850">
        <v>1000008766</v>
      </c>
      <c r="S1850" t="s">
        <v>4126</v>
      </c>
      <c r="T1850" s="1">
        <v>44937</v>
      </c>
      <c r="U1850" s="2">
        <v>2105</v>
      </c>
      <c r="V1850" s="2">
        <v>2105</v>
      </c>
    </row>
    <row r="1851" spans="1:22" x14ac:dyDescent="0.3">
      <c r="A1851" t="s">
        <v>3999</v>
      </c>
      <c r="B1851" t="s">
        <v>4000</v>
      </c>
      <c r="C1851" t="s">
        <v>13</v>
      </c>
      <c r="D1851" t="s">
        <v>4001</v>
      </c>
      <c r="E1851" t="s">
        <v>15</v>
      </c>
      <c r="J1851" s="1">
        <v>45062</v>
      </c>
      <c r="K1851">
        <v>1022</v>
      </c>
      <c r="L1851" t="s">
        <v>4127</v>
      </c>
      <c r="M1851">
        <v>1</v>
      </c>
      <c r="N1851" t="str">
        <f>VLOOKUP(M1851,[1]LOJA!$A:$B,2,0)</f>
        <v>GUARÁ</v>
      </c>
      <c r="O1851">
        <v>84</v>
      </c>
      <c r="P1851" t="str">
        <f>VLOOKUP(O1851,[1]OPERADORES!$A:$B,2,0)</f>
        <v>JEICY AZEVEDO</v>
      </c>
      <c r="Q1851">
        <v>11</v>
      </c>
      <c r="R1851">
        <v>1000008790</v>
      </c>
      <c r="S1851" t="s">
        <v>4128</v>
      </c>
      <c r="T1851" s="1">
        <v>44942</v>
      </c>
      <c r="U1851" s="2">
        <v>1720</v>
      </c>
      <c r="V1851" s="2">
        <v>1720</v>
      </c>
    </row>
    <row r="1852" spans="1:22" x14ac:dyDescent="0.3">
      <c r="A1852" t="s">
        <v>3999</v>
      </c>
      <c r="B1852" t="s">
        <v>4000</v>
      </c>
      <c r="C1852" t="s">
        <v>13</v>
      </c>
      <c r="D1852" t="s">
        <v>4001</v>
      </c>
      <c r="E1852" t="s">
        <v>15</v>
      </c>
      <c r="J1852" s="1">
        <v>45066</v>
      </c>
      <c r="K1852">
        <v>1018</v>
      </c>
      <c r="L1852" t="s">
        <v>2014</v>
      </c>
      <c r="M1852">
        <v>1</v>
      </c>
      <c r="N1852" t="str">
        <f>VLOOKUP(M1852,[1]LOJA!$A:$B,2,0)</f>
        <v>GUARÁ</v>
      </c>
      <c r="O1852">
        <v>84</v>
      </c>
      <c r="P1852" t="str">
        <f>VLOOKUP(O1852,[1]OPERADORES!$A:$B,2,0)</f>
        <v>JEICY AZEVEDO</v>
      </c>
      <c r="Q1852">
        <v>12</v>
      </c>
      <c r="S1852" t="s">
        <v>4129</v>
      </c>
      <c r="T1852" s="1">
        <v>44991</v>
      </c>
      <c r="U1852" s="2">
        <v>8430</v>
      </c>
      <c r="V1852" s="2">
        <v>8430</v>
      </c>
    </row>
    <row r="1853" spans="1:22" x14ac:dyDescent="0.3">
      <c r="A1853" t="s">
        <v>3999</v>
      </c>
      <c r="B1853" t="s">
        <v>4000</v>
      </c>
      <c r="C1853" t="s">
        <v>13</v>
      </c>
      <c r="D1853" t="s">
        <v>4001</v>
      </c>
      <c r="E1853" t="s">
        <v>15</v>
      </c>
      <c r="J1853" s="1">
        <v>45066</v>
      </c>
      <c r="K1853">
        <v>1018</v>
      </c>
      <c r="L1853" t="s">
        <v>4130</v>
      </c>
      <c r="M1853">
        <v>1</v>
      </c>
      <c r="N1853" t="str">
        <f>VLOOKUP(M1853,[1]LOJA!$A:$B,2,0)</f>
        <v>GUARÁ</v>
      </c>
      <c r="O1853">
        <v>84</v>
      </c>
      <c r="P1853" t="str">
        <f>VLOOKUP(O1853,[1]OPERADORES!$A:$B,2,0)</f>
        <v>JEICY AZEVEDO</v>
      </c>
      <c r="Q1853">
        <v>12</v>
      </c>
      <c r="S1853" t="s">
        <v>4131</v>
      </c>
      <c r="T1853" s="1">
        <v>45033</v>
      </c>
      <c r="U1853" s="2">
        <v>3001</v>
      </c>
      <c r="V1853" s="2">
        <v>3001</v>
      </c>
    </row>
    <row r="1854" spans="1:22" x14ac:dyDescent="0.3">
      <c r="A1854" t="s">
        <v>3999</v>
      </c>
      <c r="B1854" t="s">
        <v>4000</v>
      </c>
      <c r="C1854" t="s">
        <v>13</v>
      </c>
      <c r="D1854" t="s">
        <v>4001</v>
      </c>
      <c r="E1854" t="s">
        <v>15</v>
      </c>
      <c r="J1854" s="1">
        <v>45097</v>
      </c>
      <c r="K1854">
        <v>987</v>
      </c>
      <c r="L1854" t="s">
        <v>4132</v>
      </c>
      <c r="M1854">
        <v>1</v>
      </c>
      <c r="N1854" t="str">
        <f>VLOOKUP(M1854,[1]LOJA!$A:$B,2,0)</f>
        <v>GUARÁ</v>
      </c>
      <c r="O1854">
        <v>84</v>
      </c>
      <c r="P1854" t="str">
        <f>VLOOKUP(O1854,[1]OPERADORES!$A:$B,2,0)</f>
        <v>JEICY AZEVEDO</v>
      </c>
      <c r="Q1854">
        <v>12</v>
      </c>
      <c r="S1854" t="s">
        <v>4133</v>
      </c>
      <c r="T1854" s="1">
        <v>45033</v>
      </c>
      <c r="U1854" s="2">
        <v>3001</v>
      </c>
      <c r="V1854" s="2">
        <v>3001</v>
      </c>
    </row>
    <row r="1855" spans="1:22" x14ac:dyDescent="0.3">
      <c r="A1855" t="s">
        <v>3999</v>
      </c>
      <c r="B1855" t="s">
        <v>4000</v>
      </c>
      <c r="C1855" t="s">
        <v>13</v>
      </c>
      <c r="D1855" t="s">
        <v>4001</v>
      </c>
      <c r="E1855" t="s">
        <v>15</v>
      </c>
      <c r="J1855" s="1">
        <v>45286</v>
      </c>
      <c r="K1855">
        <v>798</v>
      </c>
      <c r="L1855" t="s">
        <v>4134</v>
      </c>
      <c r="M1855">
        <v>1</v>
      </c>
      <c r="N1855" t="str">
        <f>VLOOKUP(M1855,[1]LOJA!$A:$B,2,0)</f>
        <v>GUARÁ</v>
      </c>
      <c r="O1855">
        <v>93</v>
      </c>
      <c r="P1855" t="str">
        <f>VLOOKUP(O1855,[1]OPERADORES!$A:$B,2,0)</f>
        <v>PATRICIA</v>
      </c>
      <c r="Q1855">
        <v>4</v>
      </c>
      <c r="S1855" t="s">
        <v>4135</v>
      </c>
      <c r="T1855" s="1">
        <v>45286</v>
      </c>
      <c r="U1855">
        <v>-553.41</v>
      </c>
      <c r="V1855">
        <v>-553.41</v>
      </c>
    </row>
    <row r="1856" spans="1:22" x14ac:dyDescent="0.3">
      <c r="A1856" t="s">
        <v>3999</v>
      </c>
      <c r="B1856" t="s">
        <v>4000</v>
      </c>
      <c r="C1856" t="s">
        <v>13</v>
      </c>
      <c r="D1856" t="s">
        <v>4001</v>
      </c>
      <c r="E1856" t="s">
        <v>15</v>
      </c>
      <c r="J1856" s="1">
        <v>45376</v>
      </c>
      <c r="K1856">
        <v>708</v>
      </c>
      <c r="L1856" t="s">
        <v>4136</v>
      </c>
      <c r="M1856">
        <v>22</v>
      </c>
      <c r="N1856" t="str">
        <f>VLOOKUP(M1856,[1]LOJA!$A:$B,2,0)</f>
        <v>GUARÁ</v>
      </c>
      <c r="O1856">
        <v>84</v>
      </c>
      <c r="P1856" t="str">
        <f>VLOOKUP(O1856,[1]OPERADORES!$A:$B,2,0)</f>
        <v>JEICY AZEVEDO</v>
      </c>
      <c r="Q1856">
        <v>4</v>
      </c>
      <c r="S1856" t="s">
        <v>4137</v>
      </c>
      <c r="T1856" s="1">
        <v>45364</v>
      </c>
      <c r="U1856" s="2">
        <v>8400</v>
      </c>
      <c r="V1856" s="2">
        <v>8400</v>
      </c>
    </row>
    <row r="1857" spans="1:22" x14ac:dyDescent="0.3">
      <c r="A1857" t="s">
        <v>3999</v>
      </c>
      <c r="B1857" t="s">
        <v>4000</v>
      </c>
      <c r="C1857" t="s">
        <v>13</v>
      </c>
      <c r="D1857" t="s">
        <v>4001</v>
      </c>
      <c r="E1857" t="s">
        <v>15</v>
      </c>
      <c r="J1857" s="1">
        <v>45404</v>
      </c>
      <c r="K1857">
        <v>680</v>
      </c>
      <c r="L1857" t="s">
        <v>2929</v>
      </c>
      <c r="M1857">
        <v>22</v>
      </c>
      <c r="N1857" t="str">
        <f>VLOOKUP(M1857,[1]LOJA!$A:$B,2,0)</f>
        <v>GUARÁ</v>
      </c>
      <c r="O1857">
        <v>212</v>
      </c>
      <c r="P1857" t="str">
        <f>VLOOKUP(O1857,[1]OPERADORES!$A:$B,2,0)</f>
        <v>YASMIN</v>
      </c>
      <c r="Q1857">
        <v>4</v>
      </c>
      <c r="S1857" t="s">
        <v>110</v>
      </c>
      <c r="T1857" s="1">
        <v>45404</v>
      </c>
      <c r="U1857">
        <v>-332</v>
      </c>
      <c r="V1857">
        <v>-332</v>
      </c>
    </row>
    <row r="1858" spans="1:22" x14ac:dyDescent="0.3">
      <c r="A1858" t="s">
        <v>3999</v>
      </c>
      <c r="B1858" t="s">
        <v>4000</v>
      </c>
      <c r="C1858" t="s">
        <v>13</v>
      </c>
      <c r="D1858" t="s">
        <v>4001</v>
      </c>
      <c r="E1858" t="s">
        <v>15</v>
      </c>
      <c r="J1858" s="1">
        <v>45407</v>
      </c>
      <c r="K1858">
        <v>677</v>
      </c>
      <c r="L1858" t="s">
        <v>4138</v>
      </c>
      <c r="M1858">
        <v>22</v>
      </c>
      <c r="N1858" t="str">
        <f>VLOOKUP(M1858,[1]LOJA!$A:$B,2,0)</f>
        <v>GUARÁ</v>
      </c>
      <c r="O1858">
        <v>84</v>
      </c>
      <c r="P1858" t="str">
        <f>VLOOKUP(O1858,[1]OPERADORES!$A:$B,2,0)</f>
        <v>JEICY AZEVEDO</v>
      </c>
      <c r="Q1858">
        <v>4</v>
      </c>
      <c r="S1858" t="s">
        <v>4139</v>
      </c>
      <c r="T1858" s="1">
        <v>45364</v>
      </c>
      <c r="U1858" s="2">
        <v>8400</v>
      </c>
      <c r="V1858" s="2">
        <v>8400</v>
      </c>
    </row>
    <row r="1859" spans="1:22" x14ac:dyDescent="0.3">
      <c r="A1859" t="s">
        <v>3999</v>
      </c>
      <c r="B1859" t="s">
        <v>4000</v>
      </c>
      <c r="C1859" t="s">
        <v>13</v>
      </c>
      <c r="D1859" t="s">
        <v>4001</v>
      </c>
      <c r="E1859" t="s">
        <v>15</v>
      </c>
      <c r="J1859" s="1">
        <v>45425</v>
      </c>
      <c r="K1859">
        <v>659</v>
      </c>
      <c r="L1859" t="s">
        <v>2581</v>
      </c>
      <c r="M1859">
        <v>22</v>
      </c>
      <c r="N1859" t="str">
        <f>VLOOKUP(M1859,[1]LOJA!$A:$B,2,0)</f>
        <v>GUARÁ</v>
      </c>
      <c r="O1859">
        <v>212</v>
      </c>
      <c r="P1859" t="str">
        <f>VLOOKUP(O1859,[1]OPERADORES!$A:$B,2,0)</f>
        <v>YASMIN</v>
      </c>
      <c r="Q1859">
        <v>4</v>
      </c>
      <c r="S1859" t="s">
        <v>4140</v>
      </c>
      <c r="T1859" s="1">
        <v>45425</v>
      </c>
      <c r="U1859">
        <v>-3</v>
      </c>
      <c r="V1859">
        <v>-3</v>
      </c>
    </row>
    <row r="1860" spans="1:22" x14ac:dyDescent="0.3">
      <c r="A1860" t="s">
        <v>3999</v>
      </c>
      <c r="B1860" t="s">
        <v>4000</v>
      </c>
      <c r="C1860" t="s">
        <v>13</v>
      </c>
      <c r="D1860" t="s">
        <v>4001</v>
      </c>
      <c r="E1860" t="s">
        <v>15</v>
      </c>
      <c r="J1860" s="1">
        <v>45434</v>
      </c>
      <c r="K1860">
        <v>650</v>
      </c>
      <c r="L1860" t="s">
        <v>4141</v>
      </c>
      <c r="M1860">
        <v>22</v>
      </c>
      <c r="N1860" t="str">
        <f>VLOOKUP(M1860,[1]LOJA!$A:$B,2,0)</f>
        <v>GUARÁ</v>
      </c>
      <c r="O1860">
        <v>212</v>
      </c>
      <c r="P1860" t="str">
        <f>VLOOKUP(O1860,[1]OPERADORES!$A:$B,2,0)</f>
        <v>YASMIN</v>
      </c>
      <c r="Q1860">
        <v>4</v>
      </c>
      <c r="S1860" t="s">
        <v>4142</v>
      </c>
      <c r="T1860" s="1">
        <v>45434</v>
      </c>
      <c r="U1860">
        <v>-47.2</v>
      </c>
      <c r="V1860">
        <v>-47.2</v>
      </c>
    </row>
    <row r="1861" spans="1:22" x14ac:dyDescent="0.3">
      <c r="A1861" t="s">
        <v>3999</v>
      </c>
      <c r="B1861" t="s">
        <v>4000</v>
      </c>
      <c r="C1861" t="s">
        <v>13</v>
      </c>
      <c r="D1861" t="s">
        <v>4001</v>
      </c>
      <c r="E1861" t="s">
        <v>15</v>
      </c>
      <c r="J1861" s="1">
        <v>45434</v>
      </c>
      <c r="K1861">
        <v>650</v>
      </c>
      <c r="L1861" t="s">
        <v>4143</v>
      </c>
      <c r="M1861">
        <v>22</v>
      </c>
      <c r="N1861" t="str">
        <f>VLOOKUP(M1861,[1]LOJA!$A:$B,2,0)</f>
        <v>GUARÁ</v>
      </c>
      <c r="O1861">
        <v>212</v>
      </c>
      <c r="P1861" t="str">
        <f>VLOOKUP(O1861,[1]OPERADORES!$A:$B,2,0)</f>
        <v>YASMIN</v>
      </c>
      <c r="Q1861">
        <v>4</v>
      </c>
      <c r="S1861" t="s">
        <v>110</v>
      </c>
      <c r="T1861" s="1">
        <v>45434</v>
      </c>
      <c r="U1861">
        <v>-256</v>
      </c>
      <c r="V1861">
        <v>-256</v>
      </c>
    </row>
    <row r="1862" spans="1:22" x14ac:dyDescent="0.3">
      <c r="A1862" t="s">
        <v>3999</v>
      </c>
      <c r="B1862" t="s">
        <v>4000</v>
      </c>
      <c r="C1862" t="s">
        <v>13</v>
      </c>
      <c r="D1862" t="s">
        <v>4001</v>
      </c>
      <c r="E1862" t="s">
        <v>15</v>
      </c>
      <c r="J1862" s="1">
        <v>45437</v>
      </c>
      <c r="K1862">
        <v>647</v>
      </c>
      <c r="L1862" t="s">
        <v>4144</v>
      </c>
      <c r="M1862">
        <v>22</v>
      </c>
      <c r="N1862" t="str">
        <f>VLOOKUP(M1862,[1]LOJA!$A:$B,2,0)</f>
        <v>GUARÁ</v>
      </c>
      <c r="O1862">
        <v>20</v>
      </c>
      <c r="P1862" t="str">
        <f>VLOOKUP(O1862,[1]OPERADORES!$A:$B,2,0)</f>
        <v>MAYARA</v>
      </c>
      <c r="Q1862">
        <v>4</v>
      </c>
      <c r="S1862" t="s">
        <v>4145</v>
      </c>
      <c r="T1862" s="1">
        <v>45364</v>
      </c>
      <c r="U1862" s="2">
        <v>8400</v>
      </c>
      <c r="V1862" s="2">
        <v>8400</v>
      </c>
    </row>
    <row r="1863" spans="1:22" x14ac:dyDescent="0.3">
      <c r="A1863" t="s">
        <v>3999</v>
      </c>
      <c r="B1863" t="s">
        <v>4000</v>
      </c>
      <c r="C1863" t="s">
        <v>13</v>
      </c>
      <c r="D1863" t="s">
        <v>4001</v>
      </c>
      <c r="E1863" t="s">
        <v>15</v>
      </c>
      <c r="J1863" s="1">
        <v>45468</v>
      </c>
      <c r="K1863">
        <v>616</v>
      </c>
      <c r="L1863" t="s">
        <v>4146</v>
      </c>
      <c r="M1863">
        <v>22</v>
      </c>
      <c r="N1863" t="str">
        <f>VLOOKUP(M1863,[1]LOJA!$A:$B,2,0)</f>
        <v>GUARÁ</v>
      </c>
      <c r="O1863">
        <v>20</v>
      </c>
      <c r="P1863" t="str">
        <f>VLOOKUP(O1863,[1]OPERADORES!$A:$B,2,0)</f>
        <v>MAYARA</v>
      </c>
      <c r="Q1863">
        <v>27</v>
      </c>
      <c r="S1863" t="s">
        <v>4147</v>
      </c>
      <c r="T1863" s="1">
        <v>45364</v>
      </c>
      <c r="U1863" s="2">
        <v>8400</v>
      </c>
      <c r="V1863" s="2">
        <v>8400</v>
      </c>
    </row>
    <row r="1864" spans="1:22" x14ac:dyDescent="0.3">
      <c r="A1864" t="s">
        <v>4148</v>
      </c>
      <c r="B1864" t="s">
        <v>4149</v>
      </c>
      <c r="C1864" t="s">
        <v>4150</v>
      </c>
      <c r="D1864" t="s">
        <v>3508</v>
      </c>
      <c r="E1864" t="s">
        <v>15</v>
      </c>
      <c r="J1864" s="1">
        <v>45917</v>
      </c>
      <c r="K1864">
        <v>167</v>
      </c>
      <c r="L1864" t="s">
        <v>4151</v>
      </c>
      <c r="M1864">
        <v>6</v>
      </c>
      <c r="N1864" t="str">
        <f>VLOOKUP(M1864,[1]LOJA!$A:$B,2,0)</f>
        <v>GAMA</v>
      </c>
      <c r="O1864">
        <v>241</v>
      </c>
      <c r="P1864" t="str">
        <f>VLOOKUP(O1864,[1]OPERADORES!$A:$B,2,0)</f>
        <v>PRISCILA</v>
      </c>
      <c r="Q1864">
        <v>4</v>
      </c>
      <c r="S1864" t="s">
        <v>4152</v>
      </c>
      <c r="T1864" s="1">
        <v>45917</v>
      </c>
      <c r="U1864">
        <v>-20</v>
      </c>
      <c r="V1864">
        <v>-20</v>
      </c>
    </row>
    <row r="1865" spans="1:22" x14ac:dyDescent="0.3">
      <c r="A1865" t="s">
        <v>4153</v>
      </c>
      <c r="B1865" t="s">
        <v>4154</v>
      </c>
      <c r="C1865" t="s">
        <v>13</v>
      </c>
      <c r="D1865" t="s">
        <v>4155</v>
      </c>
      <c r="E1865" t="s">
        <v>15</v>
      </c>
      <c r="J1865" s="1">
        <v>44923</v>
      </c>
      <c r="K1865">
        <v>1161</v>
      </c>
      <c r="L1865" t="s">
        <v>4156</v>
      </c>
      <c r="M1865">
        <v>4</v>
      </c>
      <c r="N1865" t="str">
        <f>VLOOKUP(M1865,[1]LOJA!$A:$B,2,0)</f>
        <v>ADE</v>
      </c>
      <c r="O1865">
        <v>107</v>
      </c>
      <c r="P1865" t="str">
        <f>VLOOKUP(O1865,[1]OPERADORES!$A:$B,2,0)</f>
        <v>DAIANA PORTELA</v>
      </c>
      <c r="Q1865">
        <v>7</v>
      </c>
      <c r="S1865" t="s">
        <v>4157</v>
      </c>
      <c r="T1865" s="1">
        <v>44923</v>
      </c>
      <c r="U1865">
        <v>-3.93</v>
      </c>
      <c r="V1865">
        <v>-3.93</v>
      </c>
    </row>
    <row r="1866" spans="1:22" x14ac:dyDescent="0.3">
      <c r="A1866" t="s">
        <v>4158</v>
      </c>
      <c r="B1866" t="s">
        <v>4154</v>
      </c>
      <c r="C1866" t="s">
        <v>13</v>
      </c>
      <c r="D1866" t="s">
        <v>4159</v>
      </c>
      <c r="E1866" t="s">
        <v>15</v>
      </c>
      <c r="J1866" s="1">
        <v>45379</v>
      </c>
      <c r="K1866">
        <v>705</v>
      </c>
      <c r="L1866" t="s">
        <v>4160</v>
      </c>
      <c r="M1866">
        <v>4</v>
      </c>
      <c r="N1866" t="str">
        <f>VLOOKUP(M1866,[1]LOJA!$A:$B,2,0)</f>
        <v>ADE</v>
      </c>
      <c r="O1866">
        <v>189</v>
      </c>
      <c r="P1866" t="str">
        <f>VLOOKUP(O1866,[1]OPERADORES!$A:$B,2,0)</f>
        <v>CAMILA WILLIANE</v>
      </c>
      <c r="Q1866">
        <v>7</v>
      </c>
      <c r="S1866" t="s">
        <v>87</v>
      </c>
      <c r="T1866" s="1">
        <v>45378</v>
      </c>
      <c r="U1866">
        <v>311</v>
      </c>
      <c r="V1866">
        <v>311</v>
      </c>
    </row>
    <row r="1867" spans="1:22" x14ac:dyDescent="0.3">
      <c r="A1867" t="s">
        <v>4161</v>
      </c>
      <c r="B1867" t="s">
        <v>4162</v>
      </c>
      <c r="C1867" t="s">
        <v>43</v>
      </c>
      <c r="D1867" t="s">
        <v>4163</v>
      </c>
      <c r="E1867" t="s">
        <v>15</v>
      </c>
      <c r="J1867" s="1">
        <v>44974</v>
      </c>
      <c r="K1867">
        <v>1110</v>
      </c>
      <c r="L1867" t="s">
        <v>4164</v>
      </c>
      <c r="M1867">
        <v>14</v>
      </c>
      <c r="N1867" t="str">
        <f>VLOOKUP(M1867,[1]LOJA!$A:$B,2,0)</f>
        <v>S IA</v>
      </c>
      <c r="O1867">
        <v>16</v>
      </c>
      <c r="P1867" t="str">
        <f>VLOOKUP(O1867,[1]OPERADORES!$A:$B,2,0)</f>
        <v>AYSLAN</v>
      </c>
      <c r="Q1867">
        <v>4</v>
      </c>
      <c r="S1867" t="s">
        <v>4165</v>
      </c>
      <c r="T1867" s="1">
        <v>44974</v>
      </c>
      <c r="U1867">
        <v>-2.33</v>
      </c>
      <c r="V1867">
        <v>-2.33</v>
      </c>
    </row>
    <row r="1868" spans="1:22" x14ac:dyDescent="0.3">
      <c r="A1868" t="s">
        <v>4161</v>
      </c>
      <c r="B1868" t="s">
        <v>4162</v>
      </c>
      <c r="C1868" t="s">
        <v>43</v>
      </c>
      <c r="D1868" t="s">
        <v>4163</v>
      </c>
      <c r="E1868" t="s">
        <v>15</v>
      </c>
      <c r="J1868" s="1">
        <v>45589</v>
      </c>
      <c r="K1868">
        <v>495</v>
      </c>
      <c r="L1868" t="s">
        <v>4166</v>
      </c>
      <c r="M1868">
        <v>14</v>
      </c>
      <c r="N1868" t="str">
        <f>VLOOKUP(M1868,[1]LOJA!$A:$B,2,0)</f>
        <v>S IA</v>
      </c>
      <c r="O1868">
        <v>54</v>
      </c>
      <c r="P1868" t="str">
        <f>VLOOKUP(O1868,[1]OPERADORES!$A:$B,2,0)</f>
        <v>ROBSON</v>
      </c>
      <c r="Q1868">
        <v>4</v>
      </c>
      <c r="S1868" t="s">
        <v>4167</v>
      </c>
      <c r="T1868" s="1">
        <v>45589</v>
      </c>
      <c r="U1868">
        <v>-0.81</v>
      </c>
      <c r="V1868">
        <v>-0.81</v>
      </c>
    </row>
    <row r="1869" spans="1:22" x14ac:dyDescent="0.3">
      <c r="A1869" t="s">
        <v>4161</v>
      </c>
      <c r="B1869" t="s">
        <v>4162</v>
      </c>
      <c r="C1869" t="s">
        <v>43</v>
      </c>
      <c r="D1869" t="s">
        <v>4163</v>
      </c>
      <c r="E1869" t="s">
        <v>15</v>
      </c>
      <c r="J1869" s="1">
        <v>45750</v>
      </c>
      <c r="K1869">
        <v>334</v>
      </c>
      <c r="L1869" t="s">
        <v>4168</v>
      </c>
      <c r="M1869">
        <v>14</v>
      </c>
      <c r="N1869" t="str">
        <f>VLOOKUP(M1869,[1]LOJA!$A:$B,2,0)</f>
        <v>S IA</v>
      </c>
      <c r="O1869">
        <v>54</v>
      </c>
      <c r="P1869" t="str">
        <f>VLOOKUP(O1869,[1]OPERADORES!$A:$B,2,0)</f>
        <v>ROBSON</v>
      </c>
      <c r="Q1869">
        <v>27</v>
      </c>
      <c r="R1869">
        <v>2000008077</v>
      </c>
      <c r="S1869" t="s">
        <v>976</v>
      </c>
      <c r="T1869" s="1">
        <v>45660</v>
      </c>
      <c r="U1869">
        <v>360.15</v>
      </c>
      <c r="V1869">
        <v>360.15</v>
      </c>
    </row>
    <row r="1870" spans="1:22" x14ac:dyDescent="0.3">
      <c r="A1870" t="s">
        <v>4161</v>
      </c>
      <c r="B1870" t="s">
        <v>4162</v>
      </c>
      <c r="C1870" t="s">
        <v>43</v>
      </c>
      <c r="D1870" t="s">
        <v>4163</v>
      </c>
      <c r="E1870" t="s">
        <v>15</v>
      </c>
      <c r="J1870" s="1">
        <v>45753</v>
      </c>
      <c r="K1870">
        <v>331</v>
      </c>
      <c r="L1870" t="s">
        <v>4169</v>
      </c>
      <c r="M1870">
        <v>14</v>
      </c>
      <c r="N1870" t="str">
        <f>VLOOKUP(M1870,[1]LOJA!$A:$B,2,0)</f>
        <v>S IA</v>
      </c>
      <c r="O1870">
        <v>54</v>
      </c>
      <c r="P1870" t="str">
        <f>VLOOKUP(O1870,[1]OPERADORES!$A:$B,2,0)</f>
        <v>ROBSON</v>
      </c>
      <c r="Q1870">
        <v>27</v>
      </c>
      <c r="R1870">
        <v>2000008209</v>
      </c>
      <c r="S1870" t="s">
        <v>53</v>
      </c>
      <c r="T1870" s="1">
        <v>45693</v>
      </c>
      <c r="U1870">
        <v>658.75</v>
      </c>
      <c r="V1870">
        <v>658.75</v>
      </c>
    </row>
    <row r="1871" spans="1:22" x14ac:dyDescent="0.3">
      <c r="A1871" t="s">
        <v>4161</v>
      </c>
      <c r="B1871" t="s">
        <v>4162</v>
      </c>
      <c r="C1871" t="s">
        <v>43</v>
      </c>
      <c r="D1871" t="s">
        <v>4163</v>
      </c>
      <c r="E1871" t="s">
        <v>15</v>
      </c>
      <c r="J1871" s="1">
        <v>45756</v>
      </c>
      <c r="K1871">
        <v>328</v>
      </c>
      <c r="L1871" t="s">
        <v>4170</v>
      </c>
      <c r="M1871">
        <v>14</v>
      </c>
      <c r="N1871" t="str">
        <f>VLOOKUP(M1871,[1]LOJA!$A:$B,2,0)</f>
        <v>S IA</v>
      </c>
      <c r="O1871">
        <v>54</v>
      </c>
      <c r="P1871" t="str">
        <f>VLOOKUP(O1871,[1]OPERADORES!$A:$B,2,0)</f>
        <v>ROBSON</v>
      </c>
      <c r="Q1871">
        <v>27</v>
      </c>
      <c r="R1871">
        <v>2000008222</v>
      </c>
      <c r="S1871" t="s">
        <v>53</v>
      </c>
      <c r="T1871" s="1">
        <v>45696</v>
      </c>
      <c r="U1871">
        <v>317.3</v>
      </c>
      <c r="V1871">
        <v>317.3</v>
      </c>
    </row>
    <row r="1872" spans="1:22" x14ac:dyDescent="0.3">
      <c r="A1872" t="s">
        <v>4161</v>
      </c>
      <c r="B1872" t="s">
        <v>4162</v>
      </c>
      <c r="C1872" t="s">
        <v>43</v>
      </c>
      <c r="D1872" t="s">
        <v>4163</v>
      </c>
      <c r="E1872" t="s">
        <v>15</v>
      </c>
      <c r="J1872" s="1">
        <v>45758</v>
      </c>
      <c r="K1872">
        <v>326</v>
      </c>
      <c r="L1872" t="s">
        <v>4171</v>
      </c>
      <c r="M1872">
        <v>14</v>
      </c>
      <c r="N1872" t="str">
        <f>VLOOKUP(M1872,[1]LOJA!$A:$B,2,0)</f>
        <v>S IA</v>
      </c>
      <c r="O1872">
        <v>54</v>
      </c>
      <c r="P1872" t="str">
        <f>VLOOKUP(O1872,[1]OPERADORES!$A:$B,2,0)</f>
        <v>ROBSON</v>
      </c>
      <c r="Q1872">
        <v>27</v>
      </c>
      <c r="R1872">
        <v>2000008302</v>
      </c>
      <c r="S1872" t="s">
        <v>1169</v>
      </c>
      <c r="T1872" s="1">
        <v>45728</v>
      </c>
      <c r="U1872">
        <v>437.93</v>
      </c>
      <c r="V1872">
        <v>437.93</v>
      </c>
    </row>
    <row r="1873" spans="1:22" x14ac:dyDescent="0.3">
      <c r="A1873" t="s">
        <v>4161</v>
      </c>
      <c r="B1873" t="s">
        <v>4162</v>
      </c>
      <c r="C1873" t="s">
        <v>43</v>
      </c>
      <c r="D1873" t="s">
        <v>4163</v>
      </c>
      <c r="E1873" t="s">
        <v>15</v>
      </c>
      <c r="J1873" s="1">
        <v>45761</v>
      </c>
      <c r="K1873">
        <v>323</v>
      </c>
      <c r="L1873" t="s">
        <v>4172</v>
      </c>
      <c r="M1873">
        <v>14</v>
      </c>
      <c r="N1873" t="str">
        <f>VLOOKUP(M1873,[1]LOJA!$A:$B,2,0)</f>
        <v>S IA</v>
      </c>
      <c r="O1873">
        <v>54</v>
      </c>
      <c r="P1873" t="str">
        <f>VLOOKUP(O1873,[1]OPERADORES!$A:$B,2,0)</f>
        <v>ROBSON</v>
      </c>
      <c r="Q1873">
        <v>27</v>
      </c>
      <c r="R1873">
        <v>2000008119</v>
      </c>
      <c r="S1873" t="s">
        <v>976</v>
      </c>
      <c r="T1873" s="1">
        <v>45671</v>
      </c>
      <c r="U1873">
        <v>318.85000000000002</v>
      </c>
      <c r="V1873">
        <v>318.85000000000002</v>
      </c>
    </row>
    <row r="1874" spans="1:22" x14ac:dyDescent="0.3">
      <c r="A1874" t="s">
        <v>4161</v>
      </c>
      <c r="B1874" t="s">
        <v>4162</v>
      </c>
      <c r="C1874" t="s">
        <v>43</v>
      </c>
      <c r="D1874" t="s">
        <v>4163</v>
      </c>
      <c r="E1874" t="s">
        <v>15</v>
      </c>
      <c r="J1874" s="1">
        <v>45767</v>
      </c>
      <c r="K1874">
        <v>317</v>
      </c>
      <c r="L1874" t="s">
        <v>4173</v>
      </c>
      <c r="M1874">
        <v>14</v>
      </c>
      <c r="N1874" t="str">
        <f>VLOOKUP(M1874,[1]LOJA!$A:$B,2,0)</f>
        <v>S IA</v>
      </c>
      <c r="O1874">
        <v>54</v>
      </c>
      <c r="P1874" t="str">
        <f>VLOOKUP(O1874,[1]OPERADORES!$A:$B,2,0)</f>
        <v>ROBSON</v>
      </c>
      <c r="Q1874">
        <v>27</v>
      </c>
      <c r="R1874">
        <v>2000008141</v>
      </c>
      <c r="S1874" t="s">
        <v>55</v>
      </c>
      <c r="T1874" s="1">
        <v>45677</v>
      </c>
      <c r="U1874">
        <v>357.09</v>
      </c>
      <c r="V1874">
        <v>357.09</v>
      </c>
    </row>
    <row r="1875" spans="1:22" x14ac:dyDescent="0.3">
      <c r="A1875" t="s">
        <v>4161</v>
      </c>
      <c r="B1875" t="s">
        <v>4162</v>
      </c>
      <c r="C1875" t="s">
        <v>43</v>
      </c>
      <c r="D1875" t="s">
        <v>4163</v>
      </c>
      <c r="E1875" t="s">
        <v>15</v>
      </c>
      <c r="J1875" s="1">
        <v>45767</v>
      </c>
      <c r="K1875">
        <v>317</v>
      </c>
      <c r="L1875" t="s">
        <v>4174</v>
      </c>
      <c r="M1875">
        <v>14</v>
      </c>
      <c r="N1875" t="str">
        <f>VLOOKUP(M1875,[1]LOJA!$A:$B,2,0)</f>
        <v>S IA</v>
      </c>
      <c r="O1875">
        <v>54</v>
      </c>
      <c r="P1875" t="str">
        <f>VLOOKUP(O1875,[1]OPERADORES!$A:$B,2,0)</f>
        <v>ROBSON</v>
      </c>
      <c r="Q1875">
        <v>27</v>
      </c>
      <c r="R1875">
        <v>2000008321</v>
      </c>
      <c r="S1875" t="s">
        <v>1169</v>
      </c>
      <c r="T1875" s="1">
        <v>45737</v>
      </c>
      <c r="U1875">
        <v>459.48</v>
      </c>
      <c r="V1875">
        <v>459.48</v>
      </c>
    </row>
    <row r="1876" spans="1:22" x14ac:dyDescent="0.3">
      <c r="A1876" t="s">
        <v>4161</v>
      </c>
      <c r="B1876" t="s">
        <v>4162</v>
      </c>
      <c r="C1876" t="s">
        <v>43</v>
      </c>
      <c r="D1876" t="s">
        <v>4163</v>
      </c>
      <c r="E1876" t="s">
        <v>15</v>
      </c>
      <c r="J1876" s="1">
        <v>45770</v>
      </c>
      <c r="K1876">
        <v>314</v>
      </c>
      <c r="L1876" t="s">
        <v>4175</v>
      </c>
      <c r="M1876">
        <v>14</v>
      </c>
      <c r="N1876" t="str">
        <f>VLOOKUP(M1876,[1]LOJA!$A:$B,2,0)</f>
        <v>S IA</v>
      </c>
      <c r="O1876">
        <v>54</v>
      </c>
      <c r="P1876" t="str">
        <f>VLOOKUP(O1876,[1]OPERADORES!$A:$B,2,0)</f>
        <v>ROBSON</v>
      </c>
      <c r="Q1876">
        <v>27</v>
      </c>
      <c r="R1876">
        <v>2000008328</v>
      </c>
      <c r="S1876" t="s">
        <v>51</v>
      </c>
      <c r="T1876" s="1">
        <v>45740</v>
      </c>
      <c r="U1876">
        <v>465.83</v>
      </c>
      <c r="V1876">
        <v>465.83</v>
      </c>
    </row>
    <row r="1877" spans="1:22" x14ac:dyDescent="0.3">
      <c r="A1877" t="s">
        <v>4161</v>
      </c>
      <c r="B1877" t="s">
        <v>4162</v>
      </c>
      <c r="C1877" t="s">
        <v>43</v>
      </c>
      <c r="D1877" t="s">
        <v>4163</v>
      </c>
      <c r="E1877" t="s">
        <v>15</v>
      </c>
      <c r="J1877" s="1">
        <v>45771</v>
      </c>
      <c r="K1877">
        <v>313</v>
      </c>
      <c r="L1877" t="s">
        <v>4176</v>
      </c>
      <c r="M1877">
        <v>14</v>
      </c>
      <c r="N1877" t="str">
        <f>VLOOKUP(M1877,[1]LOJA!$A:$B,2,0)</f>
        <v>S IA</v>
      </c>
      <c r="O1877">
        <v>54</v>
      </c>
      <c r="P1877" t="str">
        <f>VLOOKUP(O1877,[1]OPERADORES!$A:$B,2,0)</f>
        <v>ROBSON</v>
      </c>
      <c r="Q1877">
        <v>27</v>
      </c>
      <c r="R1877">
        <v>2000008169</v>
      </c>
      <c r="S1877" t="s">
        <v>55</v>
      </c>
      <c r="T1877" s="1">
        <v>45681</v>
      </c>
      <c r="U1877">
        <v>298</v>
      </c>
      <c r="V1877">
        <v>298</v>
      </c>
    </row>
    <row r="1878" spans="1:22" x14ac:dyDescent="0.3">
      <c r="A1878" t="s">
        <v>4161</v>
      </c>
      <c r="B1878" t="s">
        <v>4162</v>
      </c>
      <c r="C1878" t="s">
        <v>43</v>
      </c>
      <c r="D1878" t="s">
        <v>4163</v>
      </c>
      <c r="E1878" t="s">
        <v>15</v>
      </c>
      <c r="J1878" s="1">
        <v>45772</v>
      </c>
      <c r="K1878">
        <v>312</v>
      </c>
      <c r="L1878" t="s">
        <v>4177</v>
      </c>
      <c r="M1878">
        <v>14</v>
      </c>
      <c r="N1878" t="str">
        <f>VLOOKUP(M1878,[1]LOJA!$A:$B,2,0)</f>
        <v>S IA</v>
      </c>
      <c r="O1878">
        <v>54</v>
      </c>
      <c r="P1878" t="str">
        <f>VLOOKUP(O1878,[1]OPERADORES!$A:$B,2,0)</f>
        <v>ROBSON</v>
      </c>
      <c r="Q1878">
        <v>27</v>
      </c>
      <c r="R1878">
        <v>2000008337</v>
      </c>
      <c r="S1878" t="s">
        <v>1169</v>
      </c>
      <c r="T1878" s="1">
        <v>45742</v>
      </c>
      <c r="U1878">
        <v>486.3</v>
      </c>
      <c r="V1878">
        <v>486.3</v>
      </c>
    </row>
    <row r="1879" spans="1:22" x14ac:dyDescent="0.3">
      <c r="A1879" t="s">
        <v>4161</v>
      </c>
      <c r="B1879" t="s">
        <v>4162</v>
      </c>
      <c r="C1879" t="s">
        <v>43</v>
      </c>
      <c r="D1879" t="s">
        <v>4163</v>
      </c>
      <c r="E1879" t="s">
        <v>15</v>
      </c>
      <c r="J1879" s="1">
        <v>45776</v>
      </c>
      <c r="K1879">
        <v>308</v>
      </c>
      <c r="L1879" t="s">
        <v>4178</v>
      </c>
      <c r="M1879">
        <v>14</v>
      </c>
      <c r="N1879" t="str">
        <f>VLOOKUP(M1879,[1]LOJA!$A:$B,2,0)</f>
        <v>S IA</v>
      </c>
      <c r="O1879">
        <v>54</v>
      </c>
      <c r="P1879" t="str">
        <f>VLOOKUP(O1879,[1]OPERADORES!$A:$B,2,0)</f>
        <v>ROBSON</v>
      </c>
      <c r="Q1879">
        <v>27</v>
      </c>
      <c r="R1879">
        <v>2000008279</v>
      </c>
      <c r="S1879" t="s">
        <v>972</v>
      </c>
      <c r="T1879" s="1">
        <v>45716</v>
      </c>
      <c r="U1879">
        <v>396.58</v>
      </c>
      <c r="V1879">
        <v>396.58</v>
      </c>
    </row>
    <row r="1880" spans="1:22" x14ac:dyDescent="0.3">
      <c r="A1880" t="s">
        <v>4161</v>
      </c>
      <c r="B1880" t="s">
        <v>4162</v>
      </c>
      <c r="C1880" t="s">
        <v>43</v>
      </c>
      <c r="D1880" t="s">
        <v>4163</v>
      </c>
      <c r="E1880" t="s">
        <v>15</v>
      </c>
      <c r="J1880" s="1">
        <v>45779</v>
      </c>
      <c r="K1880">
        <v>305</v>
      </c>
      <c r="L1880" t="s">
        <v>4179</v>
      </c>
      <c r="M1880">
        <v>14</v>
      </c>
      <c r="N1880" t="str">
        <f>VLOOKUP(M1880,[1]LOJA!$A:$B,2,0)</f>
        <v>S IA</v>
      </c>
      <c r="O1880">
        <v>54</v>
      </c>
      <c r="P1880" t="str">
        <f>VLOOKUP(O1880,[1]OPERADORES!$A:$B,2,0)</f>
        <v>ROBSON</v>
      </c>
      <c r="Q1880">
        <v>27</v>
      </c>
      <c r="R1880">
        <v>2000008359</v>
      </c>
      <c r="S1880" t="s">
        <v>51</v>
      </c>
      <c r="T1880" s="1">
        <v>45749</v>
      </c>
      <c r="U1880">
        <v>251.31</v>
      </c>
      <c r="V1880">
        <v>251.31</v>
      </c>
    </row>
    <row r="1881" spans="1:22" x14ac:dyDescent="0.3">
      <c r="A1881" t="s">
        <v>4161</v>
      </c>
      <c r="B1881" t="s">
        <v>4162</v>
      </c>
      <c r="C1881" t="s">
        <v>43</v>
      </c>
      <c r="D1881" t="s">
        <v>4163</v>
      </c>
      <c r="E1881" t="s">
        <v>15</v>
      </c>
      <c r="J1881" s="1">
        <v>45780</v>
      </c>
      <c r="K1881">
        <v>304</v>
      </c>
      <c r="L1881" t="s">
        <v>4180</v>
      </c>
      <c r="M1881">
        <v>14</v>
      </c>
      <c r="N1881" t="str">
        <f>VLOOKUP(M1881,[1]LOJA!$A:$B,2,0)</f>
        <v>S IA</v>
      </c>
      <c r="O1881">
        <v>54</v>
      </c>
      <c r="P1881" t="str">
        <f>VLOOKUP(O1881,[1]OPERADORES!$A:$B,2,0)</f>
        <v>ROBSON</v>
      </c>
      <c r="Q1881">
        <v>27</v>
      </c>
      <c r="R1881">
        <v>2000008078</v>
      </c>
      <c r="S1881" t="s">
        <v>780</v>
      </c>
      <c r="T1881" s="1">
        <v>45660</v>
      </c>
      <c r="U1881">
        <v>360.15</v>
      </c>
      <c r="V1881">
        <v>360.15</v>
      </c>
    </row>
    <row r="1882" spans="1:22" x14ac:dyDescent="0.3">
      <c r="A1882" t="s">
        <v>4161</v>
      </c>
      <c r="B1882" t="s">
        <v>4162</v>
      </c>
      <c r="C1882" t="s">
        <v>43</v>
      </c>
      <c r="D1882" t="s">
        <v>4163</v>
      </c>
      <c r="E1882" t="s">
        <v>15</v>
      </c>
      <c r="J1882" s="1">
        <v>45780</v>
      </c>
      <c r="K1882">
        <v>304</v>
      </c>
      <c r="L1882" t="s">
        <v>4181</v>
      </c>
      <c r="M1882">
        <v>14</v>
      </c>
      <c r="N1882" t="str">
        <f>VLOOKUP(M1882,[1]LOJA!$A:$B,2,0)</f>
        <v>S IA</v>
      </c>
      <c r="O1882">
        <v>54</v>
      </c>
      <c r="P1882" t="str">
        <f>VLOOKUP(O1882,[1]OPERADORES!$A:$B,2,0)</f>
        <v>ROBSON</v>
      </c>
      <c r="Q1882">
        <v>27</v>
      </c>
      <c r="R1882">
        <v>2000008374</v>
      </c>
      <c r="S1882" t="s">
        <v>51</v>
      </c>
      <c r="T1882" s="1">
        <v>45750</v>
      </c>
      <c r="U1882">
        <v>186.33</v>
      </c>
      <c r="V1882">
        <v>186.33</v>
      </c>
    </row>
    <row r="1883" spans="1:22" x14ac:dyDescent="0.3">
      <c r="A1883" t="s">
        <v>4161</v>
      </c>
      <c r="B1883" t="s">
        <v>4162</v>
      </c>
      <c r="C1883" t="s">
        <v>43</v>
      </c>
      <c r="D1883" t="s">
        <v>4163</v>
      </c>
      <c r="E1883" t="s">
        <v>15</v>
      </c>
      <c r="J1883" s="1">
        <v>45783</v>
      </c>
      <c r="K1883">
        <v>301</v>
      </c>
      <c r="L1883" t="s">
        <v>4182</v>
      </c>
      <c r="M1883">
        <v>14</v>
      </c>
      <c r="N1883" t="str">
        <f>VLOOKUP(M1883,[1]LOJA!$A:$B,2,0)</f>
        <v>S IA</v>
      </c>
      <c r="O1883">
        <v>54</v>
      </c>
      <c r="P1883" t="str">
        <f>VLOOKUP(O1883,[1]OPERADORES!$A:$B,2,0)</f>
        <v>ROBSON</v>
      </c>
      <c r="Q1883">
        <v>27</v>
      </c>
      <c r="R1883">
        <v>2000008210</v>
      </c>
      <c r="S1883" t="s">
        <v>55</v>
      </c>
      <c r="T1883" s="1">
        <v>45693</v>
      </c>
      <c r="U1883">
        <v>658.74</v>
      </c>
      <c r="V1883">
        <v>658.74</v>
      </c>
    </row>
    <row r="1884" spans="1:22" x14ac:dyDescent="0.3">
      <c r="A1884" t="s">
        <v>4161</v>
      </c>
      <c r="B1884" t="s">
        <v>4162</v>
      </c>
      <c r="C1884" t="s">
        <v>43</v>
      </c>
      <c r="D1884" t="s">
        <v>4163</v>
      </c>
      <c r="E1884" t="s">
        <v>15</v>
      </c>
      <c r="J1884" s="1">
        <v>45786</v>
      </c>
      <c r="K1884">
        <v>298</v>
      </c>
      <c r="L1884" t="s">
        <v>4183</v>
      </c>
      <c r="M1884">
        <v>14</v>
      </c>
      <c r="N1884" t="str">
        <f>VLOOKUP(M1884,[1]LOJA!$A:$B,2,0)</f>
        <v>S IA</v>
      </c>
      <c r="O1884">
        <v>54</v>
      </c>
      <c r="P1884" t="str">
        <f>VLOOKUP(O1884,[1]OPERADORES!$A:$B,2,0)</f>
        <v>ROBSON</v>
      </c>
      <c r="Q1884">
        <v>27</v>
      </c>
      <c r="R1884">
        <v>2000008223</v>
      </c>
      <c r="S1884" t="s">
        <v>55</v>
      </c>
      <c r="T1884" s="1">
        <v>45696</v>
      </c>
      <c r="U1884">
        <v>317.29000000000002</v>
      </c>
      <c r="V1884">
        <v>317.29000000000002</v>
      </c>
    </row>
    <row r="1885" spans="1:22" x14ac:dyDescent="0.3">
      <c r="A1885" t="s">
        <v>4161</v>
      </c>
      <c r="B1885" t="s">
        <v>4162</v>
      </c>
      <c r="C1885" t="s">
        <v>43</v>
      </c>
      <c r="D1885" t="s">
        <v>4163</v>
      </c>
      <c r="E1885" t="s">
        <v>15</v>
      </c>
      <c r="J1885" s="1">
        <v>45788</v>
      </c>
      <c r="K1885">
        <v>296</v>
      </c>
      <c r="L1885" t="s">
        <v>4184</v>
      </c>
      <c r="M1885">
        <v>14</v>
      </c>
      <c r="N1885" t="str">
        <f>VLOOKUP(M1885,[1]LOJA!$A:$B,2,0)</f>
        <v>S IA</v>
      </c>
      <c r="O1885">
        <v>54</v>
      </c>
      <c r="P1885" t="str">
        <f>VLOOKUP(O1885,[1]OPERADORES!$A:$B,2,0)</f>
        <v>ROBSON</v>
      </c>
      <c r="Q1885">
        <v>27</v>
      </c>
      <c r="R1885">
        <v>2000008303</v>
      </c>
      <c r="S1885" t="s">
        <v>972</v>
      </c>
      <c r="T1885" s="1">
        <v>45728</v>
      </c>
      <c r="U1885">
        <v>437.92</v>
      </c>
      <c r="V1885">
        <v>437.92</v>
      </c>
    </row>
    <row r="1886" spans="1:22" x14ac:dyDescent="0.3">
      <c r="A1886" t="s">
        <v>4161</v>
      </c>
      <c r="B1886" t="s">
        <v>4162</v>
      </c>
      <c r="C1886" t="s">
        <v>43</v>
      </c>
      <c r="D1886" t="s">
        <v>4163</v>
      </c>
      <c r="E1886" t="s">
        <v>15</v>
      </c>
      <c r="J1886" s="1">
        <v>45791</v>
      </c>
      <c r="K1886">
        <v>293</v>
      </c>
      <c r="L1886" t="s">
        <v>4185</v>
      </c>
      <c r="M1886">
        <v>14</v>
      </c>
      <c r="N1886" t="str">
        <f>VLOOKUP(M1886,[1]LOJA!$A:$B,2,0)</f>
        <v>S IA</v>
      </c>
      <c r="O1886">
        <v>54</v>
      </c>
      <c r="P1886" t="str">
        <f>VLOOKUP(O1886,[1]OPERADORES!$A:$B,2,0)</f>
        <v>ROBSON</v>
      </c>
      <c r="Q1886">
        <v>27</v>
      </c>
      <c r="R1886">
        <v>2000008120</v>
      </c>
      <c r="S1886" t="s">
        <v>780</v>
      </c>
      <c r="T1886" s="1">
        <v>45671</v>
      </c>
      <c r="U1886">
        <v>318.85000000000002</v>
      </c>
      <c r="V1886">
        <v>318.85000000000002</v>
      </c>
    </row>
    <row r="1887" spans="1:22" x14ac:dyDescent="0.3">
      <c r="A1887" t="s">
        <v>4161</v>
      </c>
      <c r="B1887" t="s">
        <v>4162</v>
      </c>
      <c r="C1887" t="s">
        <v>43</v>
      </c>
      <c r="D1887" t="s">
        <v>4163</v>
      </c>
      <c r="E1887" t="s">
        <v>15</v>
      </c>
      <c r="J1887" s="1">
        <v>45797</v>
      </c>
      <c r="K1887">
        <v>287</v>
      </c>
      <c r="L1887" t="s">
        <v>4186</v>
      </c>
      <c r="M1887">
        <v>14</v>
      </c>
      <c r="N1887" t="str">
        <f>VLOOKUP(M1887,[1]LOJA!$A:$B,2,0)</f>
        <v>S IA</v>
      </c>
      <c r="O1887">
        <v>54</v>
      </c>
      <c r="P1887" t="str">
        <f>VLOOKUP(O1887,[1]OPERADORES!$A:$B,2,0)</f>
        <v>ROBSON</v>
      </c>
      <c r="Q1887">
        <v>27</v>
      </c>
      <c r="R1887">
        <v>2000008322</v>
      </c>
      <c r="S1887" t="s">
        <v>972</v>
      </c>
      <c r="T1887" s="1">
        <v>45737</v>
      </c>
      <c r="U1887">
        <v>459.48</v>
      </c>
      <c r="V1887">
        <v>459.48</v>
      </c>
    </row>
    <row r="1888" spans="1:22" x14ac:dyDescent="0.3">
      <c r="A1888" t="s">
        <v>4161</v>
      </c>
      <c r="B1888" t="s">
        <v>4162</v>
      </c>
      <c r="C1888" t="s">
        <v>43</v>
      </c>
      <c r="D1888" t="s">
        <v>4163</v>
      </c>
      <c r="E1888" t="s">
        <v>15</v>
      </c>
      <c r="J1888" s="1">
        <v>45800</v>
      </c>
      <c r="K1888">
        <v>284</v>
      </c>
      <c r="L1888" t="s">
        <v>4187</v>
      </c>
      <c r="M1888">
        <v>14</v>
      </c>
      <c r="N1888" t="str">
        <f>VLOOKUP(M1888,[1]LOJA!$A:$B,2,0)</f>
        <v>S IA</v>
      </c>
      <c r="O1888">
        <v>54</v>
      </c>
      <c r="P1888" t="str">
        <f>VLOOKUP(O1888,[1]OPERADORES!$A:$B,2,0)</f>
        <v>ROBSON</v>
      </c>
      <c r="Q1888">
        <v>27</v>
      </c>
      <c r="R1888">
        <v>2000008329</v>
      </c>
      <c r="S1888" t="s">
        <v>53</v>
      </c>
      <c r="T1888" s="1">
        <v>45740</v>
      </c>
      <c r="U1888">
        <v>465.82</v>
      </c>
      <c r="V1888">
        <v>465.82</v>
      </c>
    </row>
    <row r="1889" spans="1:22" x14ac:dyDescent="0.3">
      <c r="A1889" t="s">
        <v>4161</v>
      </c>
      <c r="B1889" t="s">
        <v>4162</v>
      </c>
      <c r="C1889" t="s">
        <v>43</v>
      </c>
      <c r="D1889" t="s">
        <v>4163</v>
      </c>
      <c r="E1889" t="s">
        <v>15</v>
      </c>
      <c r="J1889" s="1">
        <v>45802</v>
      </c>
      <c r="K1889">
        <v>282</v>
      </c>
      <c r="L1889" t="s">
        <v>4188</v>
      </c>
      <c r="M1889">
        <v>14</v>
      </c>
      <c r="N1889" t="str">
        <f>VLOOKUP(M1889,[1]LOJA!$A:$B,2,0)</f>
        <v>S IA</v>
      </c>
      <c r="O1889">
        <v>54</v>
      </c>
      <c r="P1889" t="str">
        <f>VLOOKUP(O1889,[1]OPERADORES!$A:$B,2,0)</f>
        <v>ROBSON</v>
      </c>
      <c r="Q1889">
        <v>27</v>
      </c>
      <c r="R1889">
        <v>2000008338</v>
      </c>
      <c r="S1889" t="s">
        <v>972</v>
      </c>
      <c r="T1889" s="1">
        <v>45742</v>
      </c>
      <c r="U1889">
        <v>486.3</v>
      </c>
      <c r="V1889">
        <v>486.3</v>
      </c>
    </row>
    <row r="1890" spans="1:22" x14ac:dyDescent="0.3">
      <c r="A1890" t="s">
        <v>4161</v>
      </c>
      <c r="B1890" t="s">
        <v>4162</v>
      </c>
      <c r="C1890" t="s">
        <v>43</v>
      </c>
      <c r="D1890" t="s">
        <v>4163</v>
      </c>
      <c r="E1890" t="s">
        <v>15</v>
      </c>
      <c r="J1890" s="1">
        <v>45806</v>
      </c>
      <c r="K1890">
        <v>278</v>
      </c>
      <c r="L1890" t="s">
        <v>4189</v>
      </c>
      <c r="M1890">
        <v>14</v>
      </c>
      <c r="N1890" t="str">
        <f>VLOOKUP(M1890,[1]LOJA!$A:$B,2,0)</f>
        <v>S IA</v>
      </c>
      <c r="O1890">
        <v>54</v>
      </c>
      <c r="P1890" t="str">
        <f>VLOOKUP(O1890,[1]OPERADORES!$A:$B,2,0)</f>
        <v>ROBSON</v>
      </c>
      <c r="Q1890">
        <v>27</v>
      </c>
      <c r="R1890">
        <v>2000008280</v>
      </c>
      <c r="S1890" t="s">
        <v>976</v>
      </c>
      <c r="T1890" s="1">
        <v>45716</v>
      </c>
      <c r="U1890">
        <v>396.58</v>
      </c>
      <c r="V1890">
        <v>396.58</v>
      </c>
    </row>
    <row r="1891" spans="1:22" x14ac:dyDescent="0.3">
      <c r="A1891" t="s">
        <v>4161</v>
      </c>
      <c r="B1891" t="s">
        <v>4162</v>
      </c>
      <c r="C1891" t="s">
        <v>43</v>
      </c>
      <c r="D1891" t="s">
        <v>4163</v>
      </c>
      <c r="E1891" t="s">
        <v>15</v>
      </c>
      <c r="J1891" s="1">
        <v>45809</v>
      </c>
      <c r="K1891">
        <v>275</v>
      </c>
      <c r="L1891" t="s">
        <v>4190</v>
      </c>
      <c r="M1891">
        <v>14</v>
      </c>
      <c r="N1891" t="str">
        <f>VLOOKUP(M1891,[1]LOJA!$A:$B,2,0)</f>
        <v>S IA</v>
      </c>
      <c r="O1891">
        <v>54</v>
      </c>
      <c r="P1891" t="str">
        <f>VLOOKUP(O1891,[1]OPERADORES!$A:$B,2,0)</f>
        <v>ROBSON</v>
      </c>
      <c r="Q1891">
        <v>27</v>
      </c>
      <c r="R1891">
        <v>2000008360</v>
      </c>
      <c r="S1891" t="s">
        <v>53</v>
      </c>
      <c r="T1891" s="1">
        <v>45749</v>
      </c>
      <c r="U1891">
        <v>251.31</v>
      </c>
      <c r="V1891">
        <v>251.31</v>
      </c>
    </row>
    <row r="1892" spans="1:22" x14ac:dyDescent="0.3">
      <c r="A1892" t="s">
        <v>4161</v>
      </c>
      <c r="B1892" t="s">
        <v>4162</v>
      </c>
      <c r="C1892" t="s">
        <v>43</v>
      </c>
      <c r="D1892" t="s">
        <v>4163</v>
      </c>
      <c r="E1892" t="s">
        <v>15</v>
      </c>
      <c r="J1892" s="1">
        <v>45810</v>
      </c>
      <c r="K1892">
        <v>274</v>
      </c>
      <c r="L1892" t="s">
        <v>4191</v>
      </c>
      <c r="M1892">
        <v>14</v>
      </c>
      <c r="N1892" t="str">
        <f>VLOOKUP(M1892,[1]LOJA!$A:$B,2,0)</f>
        <v>S IA</v>
      </c>
      <c r="O1892">
        <v>54</v>
      </c>
      <c r="P1892" t="str">
        <f>VLOOKUP(O1892,[1]OPERADORES!$A:$B,2,0)</f>
        <v>ROBSON</v>
      </c>
      <c r="Q1892">
        <v>27</v>
      </c>
      <c r="R1892">
        <v>2000008375</v>
      </c>
      <c r="S1892" t="s">
        <v>53</v>
      </c>
      <c r="T1892" s="1">
        <v>45750</v>
      </c>
      <c r="U1892">
        <v>186.32</v>
      </c>
      <c r="V1892">
        <v>186.32</v>
      </c>
    </row>
    <row r="1893" spans="1:22" x14ac:dyDescent="0.3">
      <c r="A1893" t="s">
        <v>4161</v>
      </c>
      <c r="B1893" t="s">
        <v>4162</v>
      </c>
      <c r="C1893" t="s">
        <v>43</v>
      </c>
      <c r="D1893" t="s">
        <v>4163</v>
      </c>
      <c r="E1893" t="s">
        <v>15</v>
      </c>
      <c r="J1893" s="1">
        <v>45818</v>
      </c>
      <c r="K1893">
        <v>266</v>
      </c>
      <c r="L1893" t="s">
        <v>4192</v>
      </c>
      <c r="M1893">
        <v>14</v>
      </c>
      <c r="N1893" t="str">
        <f>VLOOKUP(M1893,[1]LOJA!$A:$B,2,0)</f>
        <v>S IA</v>
      </c>
      <c r="O1893">
        <v>54</v>
      </c>
      <c r="P1893" t="str">
        <f>VLOOKUP(O1893,[1]OPERADORES!$A:$B,2,0)</f>
        <v>ROBSON</v>
      </c>
      <c r="Q1893">
        <v>27</v>
      </c>
      <c r="R1893">
        <v>2000008304</v>
      </c>
      <c r="S1893" t="s">
        <v>976</v>
      </c>
      <c r="T1893" s="1">
        <v>45728</v>
      </c>
      <c r="U1893">
        <v>437.92</v>
      </c>
      <c r="V1893">
        <v>437.92</v>
      </c>
    </row>
    <row r="1894" spans="1:22" x14ac:dyDescent="0.3">
      <c r="A1894" t="s">
        <v>4161</v>
      </c>
      <c r="B1894" t="s">
        <v>4162</v>
      </c>
      <c r="C1894" t="s">
        <v>43</v>
      </c>
      <c r="D1894" t="s">
        <v>4163</v>
      </c>
      <c r="E1894" t="s">
        <v>15</v>
      </c>
      <c r="J1894" s="1">
        <v>45827</v>
      </c>
      <c r="K1894">
        <v>257</v>
      </c>
      <c r="L1894" t="s">
        <v>4193</v>
      </c>
      <c r="M1894">
        <v>14</v>
      </c>
      <c r="N1894" t="str">
        <f>VLOOKUP(M1894,[1]LOJA!$A:$B,2,0)</f>
        <v>S IA</v>
      </c>
      <c r="O1894">
        <v>54</v>
      </c>
      <c r="P1894" t="str">
        <f>VLOOKUP(O1894,[1]OPERADORES!$A:$B,2,0)</f>
        <v>ROBSON</v>
      </c>
      <c r="Q1894">
        <v>27</v>
      </c>
      <c r="R1894">
        <v>2000008323</v>
      </c>
      <c r="S1894" t="s">
        <v>976</v>
      </c>
      <c r="T1894" s="1">
        <v>45737</v>
      </c>
      <c r="U1894">
        <v>459.48</v>
      </c>
      <c r="V1894">
        <v>459.48</v>
      </c>
    </row>
    <row r="1895" spans="1:22" x14ac:dyDescent="0.3">
      <c r="A1895" t="s">
        <v>4161</v>
      </c>
      <c r="B1895" t="s">
        <v>4162</v>
      </c>
      <c r="C1895" t="s">
        <v>43</v>
      </c>
      <c r="D1895" t="s">
        <v>4163</v>
      </c>
      <c r="E1895" t="s">
        <v>15</v>
      </c>
      <c r="J1895" s="1">
        <v>45830</v>
      </c>
      <c r="K1895">
        <v>254</v>
      </c>
      <c r="L1895" t="s">
        <v>4194</v>
      </c>
      <c r="M1895">
        <v>14</v>
      </c>
      <c r="N1895" t="str">
        <f>VLOOKUP(M1895,[1]LOJA!$A:$B,2,0)</f>
        <v>S IA</v>
      </c>
      <c r="O1895">
        <v>54</v>
      </c>
      <c r="P1895" t="str">
        <f>VLOOKUP(O1895,[1]OPERADORES!$A:$B,2,0)</f>
        <v>ROBSON</v>
      </c>
      <c r="Q1895">
        <v>27</v>
      </c>
      <c r="R1895">
        <v>2000008330</v>
      </c>
      <c r="S1895" t="s">
        <v>55</v>
      </c>
      <c r="T1895" s="1">
        <v>45740</v>
      </c>
      <c r="U1895">
        <v>465.82</v>
      </c>
      <c r="V1895">
        <v>465.82</v>
      </c>
    </row>
    <row r="1896" spans="1:22" x14ac:dyDescent="0.3">
      <c r="A1896" t="s">
        <v>4161</v>
      </c>
      <c r="B1896" t="s">
        <v>4162</v>
      </c>
      <c r="C1896" t="s">
        <v>43</v>
      </c>
      <c r="D1896" t="s">
        <v>4163</v>
      </c>
      <c r="E1896" t="s">
        <v>15</v>
      </c>
      <c r="J1896" s="1">
        <v>45832</v>
      </c>
      <c r="K1896">
        <v>252</v>
      </c>
      <c r="L1896" t="s">
        <v>4195</v>
      </c>
      <c r="M1896">
        <v>14</v>
      </c>
      <c r="N1896" t="str">
        <f>VLOOKUP(M1896,[1]LOJA!$A:$B,2,0)</f>
        <v>S IA</v>
      </c>
      <c r="O1896">
        <v>54</v>
      </c>
      <c r="P1896" t="str">
        <f>VLOOKUP(O1896,[1]OPERADORES!$A:$B,2,0)</f>
        <v>ROBSON</v>
      </c>
      <c r="Q1896">
        <v>27</v>
      </c>
      <c r="R1896">
        <v>2000008339</v>
      </c>
      <c r="S1896" t="s">
        <v>976</v>
      </c>
      <c r="T1896" s="1">
        <v>45742</v>
      </c>
      <c r="U1896">
        <v>486.3</v>
      </c>
      <c r="V1896">
        <v>486.3</v>
      </c>
    </row>
    <row r="1897" spans="1:22" x14ac:dyDescent="0.3">
      <c r="A1897" t="s">
        <v>4161</v>
      </c>
      <c r="B1897" t="s">
        <v>4162</v>
      </c>
      <c r="C1897" t="s">
        <v>43</v>
      </c>
      <c r="D1897" t="s">
        <v>4163</v>
      </c>
      <c r="E1897" t="s">
        <v>15</v>
      </c>
      <c r="J1897" s="1">
        <v>45836</v>
      </c>
      <c r="K1897">
        <v>248</v>
      </c>
      <c r="L1897" t="s">
        <v>4196</v>
      </c>
      <c r="M1897">
        <v>14</v>
      </c>
      <c r="N1897" t="str">
        <f>VLOOKUP(M1897,[1]LOJA!$A:$B,2,0)</f>
        <v>S IA</v>
      </c>
      <c r="O1897">
        <v>54</v>
      </c>
      <c r="P1897" t="str">
        <f>VLOOKUP(O1897,[1]OPERADORES!$A:$B,2,0)</f>
        <v>ROBSON</v>
      </c>
      <c r="Q1897">
        <v>27</v>
      </c>
      <c r="R1897">
        <v>2000008281</v>
      </c>
      <c r="S1897" t="s">
        <v>780</v>
      </c>
      <c r="T1897" s="1">
        <v>45716</v>
      </c>
      <c r="U1897">
        <v>396.57</v>
      </c>
      <c r="V1897">
        <v>396.57</v>
      </c>
    </row>
    <row r="1898" spans="1:22" x14ac:dyDescent="0.3">
      <c r="A1898" t="s">
        <v>4161</v>
      </c>
      <c r="B1898" t="s">
        <v>4162</v>
      </c>
      <c r="C1898" t="s">
        <v>43</v>
      </c>
      <c r="D1898" t="s">
        <v>4163</v>
      </c>
      <c r="E1898" t="s">
        <v>15</v>
      </c>
      <c r="J1898" s="1">
        <v>45839</v>
      </c>
      <c r="K1898">
        <v>245</v>
      </c>
      <c r="L1898" t="s">
        <v>4197</v>
      </c>
      <c r="M1898">
        <v>14</v>
      </c>
      <c r="N1898" t="str">
        <f>VLOOKUP(M1898,[1]LOJA!$A:$B,2,0)</f>
        <v>S IA</v>
      </c>
      <c r="O1898">
        <v>54</v>
      </c>
      <c r="P1898" t="str">
        <f>VLOOKUP(O1898,[1]OPERADORES!$A:$B,2,0)</f>
        <v>ROBSON</v>
      </c>
      <c r="Q1898">
        <v>27</v>
      </c>
      <c r="R1898">
        <v>2000008361</v>
      </c>
      <c r="S1898" t="s">
        <v>55</v>
      </c>
      <c r="T1898" s="1">
        <v>45749</v>
      </c>
      <c r="U1898">
        <v>251.3</v>
      </c>
      <c r="V1898">
        <v>251.3</v>
      </c>
    </row>
    <row r="1899" spans="1:22" x14ac:dyDescent="0.3">
      <c r="A1899" t="s">
        <v>4161</v>
      </c>
      <c r="B1899" t="s">
        <v>4162</v>
      </c>
      <c r="C1899" t="s">
        <v>43</v>
      </c>
      <c r="D1899" t="s">
        <v>4163</v>
      </c>
      <c r="E1899" t="s">
        <v>15</v>
      </c>
      <c r="J1899" s="1">
        <v>45840</v>
      </c>
      <c r="K1899">
        <v>244</v>
      </c>
      <c r="L1899" t="s">
        <v>4198</v>
      </c>
      <c r="M1899">
        <v>14</v>
      </c>
      <c r="N1899" t="str">
        <f>VLOOKUP(M1899,[1]LOJA!$A:$B,2,0)</f>
        <v>S IA</v>
      </c>
      <c r="O1899">
        <v>54</v>
      </c>
      <c r="P1899" t="str">
        <f>VLOOKUP(O1899,[1]OPERADORES!$A:$B,2,0)</f>
        <v>ROBSON</v>
      </c>
      <c r="Q1899">
        <v>27</v>
      </c>
      <c r="R1899">
        <v>2000008376</v>
      </c>
      <c r="S1899" t="s">
        <v>55</v>
      </c>
      <c r="T1899" s="1">
        <v>45750</v>
      </c>
      <c r="U1899">
        <v>186.32</v>
      </c>
      <c r="V1899">
        <v>186.32</v>
      </c>
    </row>
    <row r="1900" spans="1:22" x14ac:dyDescent="0.3">
      <c r="A1900" t="s">
        <v>4161</v>
      </c>
      <c r="B1900" t="s">
        <v>4162</v>
      </c>
      <c r="C1900" t="s">
        <v>43</v>
      </c>
      <c r="D1900" t="s">
        <v>4163</v>
      </c>
      <c r="E1900" t="s">
        <v>15</v>
      </c>
      <c r="J1900" s="1">
        <v>45848</v>
      </c>
      <c r="K1900">
        <v>236</v>
      </c>
      <c r="L1900" t="s">
        <v>4199</v>
      </c>
      <c r="M1900">
        <v>14</v>
      </c>
      <c r="N1900" t="str">
        <f>VLOOKUP(M1900,[1]LOJA!$A:$B,2,0)</f>
        <v>S IA</v>
      </c>
      <c r="O1900">
        <v>54</v>
      </c>
      <c r="P1900" t="str">
        <f>VLOOKUP(O1900,[1]OPERADORES!$A:$B,2,0)</f>
        <v>ROBSON</v>
      </c>
      <c r="Q1900">
        <v>27</v>
      </c>
      <c r="R1900">
        <v>2000008305</v>
      </c>
      <c r="S1900" t="s">
        <v>780</v>
      </c>
      <c r="T1900" s="1">
        <v>45728</v>
      </c>
      <c r="U1900">
        <v>437.92</v>
      </c>
      <c r="V1900">
        <v>437.92</v>
      </c>
    </row>
    <row r="1901" spans="1:22" x14ac:dyDescent="0.3">
      <c r="A1901" t="s">
        <v>4161</v>
      </c>
      <c r="B1901" t="s">
        <v>4162</v>
      </c>
      <c r="C1901" t="s">
        <v>43</v>
      </c>
      <c r="D1901" t="s">
        <v>4163</v>
      </c>
      <c r="E1901" t="s">
        <v>15</v>
      </c>
      <c r="J1901" s="1">
        <v>45857</v>
      </c>
      <c r="K1901">
        <v>227</v>
      </c>
      <c r="L1901" t="s">
        <v>4200</v>
      </c>
      <c r="M1901">
        <v>14</v>
      </c>
      <c r="N1901" t="str">
        <f>VLOOKUP(M1901,[1]LOJA!$A:$B,2,0)</f>
        <v>S IA</v>
      </c>
      <c r="O1901">
        <v>54</v>
      </c>
      <c r="P1901" t="str">
        <f>VLOOKUP(O1901,[1]OPERADORES!$A:$B,2,0)</f>
        <v>ROBSON</v>
      </c>
      <c r="Q1901">
        <v>27</v>
      </c>
      <c r="R1901">
        <v>2000008324</v>
      </c>
      <c r="S1901" t="s">
        <v>780</v>
      </c>
      <c r="T1901" s="1">
        <v>45737</v>
      </c>
      <c r="U1901">
        <v>459.48</v>
      </c>
      <c r="V1901">
        <v>459.48</v>
      </c>
    </row>
    <row r="1902" spans="1:22" x14ac:dyDescent="0.3">
      <c r="A1902" t="s">
        <v>4161</v>
      </c>
      <c r="B1902" t="s">
        <v>4162</v>
      </c>
      <c r="C1902" t="s">
        <v>43</v>
      </c>
      <c r="D1902" t="s">
        <v>4163</v>
      </c>
      <c r="E1902" t="s">
        <v>15</v>
      </c>
      <c r="J1902" s="1">
        <v>45862</v>
      </c>
      <c r="K1902">
        <v>222</v>
      </c>
      <c r="L1902" t="s">
        <v>4201</v>
      </c>
      <c r="M1902">
        <v>14</v>
      </c>
      <c r="N1902" t="str">
        <f>VLOOKUP(M1902,[1]LOJA!$A:$B,2,0)</f>
        <v>S IA</v>
      </c>
      <c r="O1902">
        <v>54</v>
      </c>
      <c r="P1902" t="str">
        <f>VLOOKUP(O1902,[1]OPERADORES!$A:$B,2,0)</f>
        <v>ROBSON</v>
      </c>
      <c r="Q1902">
        <v>27</v>
      </c>
      <c r="R1902">
        <v>2000008340</v>
      </c>
      <c r="S1902" t="s">
        <v>780</v>
      </c>
      <c r="T1902" s="1">
        <v>45742</v>
      </c>
      <c r="U1902">
        <v>486.3</v>
      </c>
      <c r="V1902">
        <v>486.3</v>
      </c>
    </row>
    <row r="1903" spans="1:22" x14ac:dyDescent="0.3">
      <c r="A1903" t="s">
        <v>6017</v>
      </c>
      <c r="B1903" t="s">
        <v>32</v>
      </c>
      <c r="C1903" t="s">
        <v>13</v>
      </c>
      <c r="D1903" t="s">
        <v>6018</v>
      </c>
      <c r="E1903" t="s">
        <v>15</v>
      </c>
      <c r="J1903" s="1">
        <v>46079</v>
      </c>
      <c r="K1903">
        <v>5</v>
      </c>
      <c r="L1903" t="s">
        <v>6019</v>
      </c>
      <c r="M1903">
        <v>14</v>
      </c>
      <c r="N1903" t="str">
        <f>VLOOKUP(M1903,[1]LOJA!$A:$B,2,0)</f>
        <v>S IA</v>
      </c>
      <c r="O1903">
        <v>212</v>
      </c>
      <c r="P1903" t="str">
        <f>VLOOKUP(O1903,[1]OPERADORES!$A:$B,2,0)</f>
        <v>YASMIN</v>
      </c>
      <c r="Q1903">
        <v>27</v>
      </c>
      <c r="R1903">
        <v>2000008966</v>
      </c>
      <c r="S1903" t="s">
        <v>87</v>
      </c>
      <c r="T1903" s="1">
        <v>46049</v>
      </c>
      <c r="U1903">
        <v>100.67</v>
      </c>
      <c r="V1903">
        <v>100.67</v>
      </c>
    </row>
    <row r="1904" spans="1:22" x14ac:dyDescent="0.3">
      <c r="A1904" t="s">
        <v>4202</v>
      </c>
      <c r="B1904" t="s">
        <v>4203</v>
      </c>
      <c r="C1904" t="s">
        <v>13</v>
      </c>
      <c r="D1904" t="s">
        <v>4204</v>
      </c>
      <c r="E1904" t="s">
        <v>15</v>
      </c>
      <c r="J1904" s="1">
        <v>44607</v>
      </c>
      <c r="K1904">
        <v>1477</v>
      </c>
      <c r="L1904" t="s">
        <v>4205</v>
      </c>
      <c r="M1904">
        <v>14</v>
      </c>
      <c r="N1904" t="str">
        <f>VLOOKUP(M1904,[1]LOJA!$A:$B,2,0)</f>
        <v>S IA</v>
      </c>
      <c r="O1904">
        <v>84</v>
      </c>
      <c r="P1904" t="str">
        <f>VLOOKUP(O1904,[1]OPERADORES!$A:$B,2,0)</f>
        <v>JEICY AZEVEDO</v>
      </c>
      <c r="Q1904">
        <v>12</v>
      </c>
      <c r="S1904" t="s">
        <v>4206</v>
      </c>
      <c r="T1904" s="1">
        <v>44596</v>
      </c>
      <c r="U1904">
        <v>331.36</v>
      </c>
      <c r="V1904">
        <v>331.36</v>
      </c>
    </row>
    <row r="1905" spans="1:22" x14ac:dyDescent="0.3">
      <c r="A1905" t="s">
        <v>4207</v>
      </c>
      <c r="B1905" t="s">
        <v>4208</v>
      </c>
      <c r="C1905" t="s">
        <v>4209</v>
      </c>
      <c r="D1905" t="s">
        <v>4210</v>
      </c>
      <c r="E1905" t="s">
        <v>15</v>
      </c>
      <c r="J1905" s="1">
        <v>45301</v>
      </c>
      <c r="K1905">
        <v>783</v>
      </c>
      <c r="L1905" t="s">
        <v>4211</v>
      </c>
      <c r="M1905">
        <v>22</v>
      </c>
      <c r="N1905" t="str">
        <f>VLOOKUP(M1905,[1]LOJA!$A:$B,2,0)</f>
        <v>GUARÁ</v>
      </c>
      <c r="O1905">
        <v>206</v>
      </c>
      <c r="P1905" t="str">
        <f>VLOOKUP(O1905,[1]OPERADORES!$A:$B,2,0)</f>
        <v>LAURA LISBOA</v>
      </c>
      <c r="Q1905">
        <v>10</v>
      </c>
      <c r="S1905" t="s">
        <v>4212</v>
      </c>
      <c r="T1905" s="1">
        <v>45301</v>
      </c>
      <c r="U1905">
        <v>-71.33</v>
      </c>
      <c r="V1905">
        <v>-71.33</v>
      </c>
    </row>
    <row r="1906" spans="1:22" x14ac:dyDescent="0.3">
      <c r="A1906" t="s">
        <v>4213</v>
      </c>
      <c r="B1906" t="s">
        <v>4214</v>
      </c>
      <c r="C1906" t="s">
        <v>324</v>
      </c>
      <c r="D1906" t="s">
        <v>4215</v>
      </c>
      <c r="E1906" t="s">
        <v>15</v>
      </c>
      <c r="J1906" s="1">
        <v>44925</v>
      </c>
      <c r="K1906">
        <v>1159</v>
      </c>
      <c r="L1906" t="s">
        <v>4216</v>
      </c>
      <c r="M1906">
        <v>4</v>
      </c>
      <c r="N1906" t="str">
        <f>VLOOKUP(M1906,[1]LOJA!$A:$B,2,0)</f>
        <v>ADE</v>
      </c>
      <c r="O1906">
        <v>189</v>
      </c>
      <c r="P1906" t="str">
        <f>VLOOKUP(O1906,[1]OPERADORES!$A:$B,2,0)</f>
        <v>CAMILA WILLIANE</v>
      </c>
      <c r="Q1906">
        <v>7</v>
      </c>
      <c r="S1906" t="s">
        <v>4217</v>
      </c>
      <c r="T1906" s="1">
        <v>44922</v>
      </c>
      <c r="U1906">
        <v>34.29</v>
      </c>
      <c r="V1906">
        <v>34.29</v>
      </c>
    </row>
    <row r="1907" spans="1:22" x14ac:dyDescent="0.3">
      <c r="A1907" t="s">
        <v>4213</v>
      </c>
      <c r="B1907" t="s">
        <v>4214</v>
      </c>
      <c r="C1907" t="s">
        <v>324</v>
      </c>
      <c r="D1907" t="s">
        <v>4215</v>
      </c>
      <c r="E1907" t="s">
        <v>15</v>
      </c>
      <c r="J1907" s="1">
        <v>44925</v>
      </c>
      <c r="K1907">
        <v>1159</v>
      </c>
      <c r="L1907" t="s">
        <v>4218</v>
      </c>
      <c r="M1907">
        <v>4</v>
      </c>
      <c r="N1907" t="str">
        <f>VLOOKUP(M1907,[1]LOJA!$A:$B,2,0)</f>
        <v>ADE</v>
      </c>
      <c r="O1907">
        <v>143</v>
      </c>
      <c r="P1907" t="str">
        <f>VLOOKUP(O1907,[1]OPERADORES!$A:$B,2,0)</f>
        <v>MARIA THAINARA L. DA SILVA</v>
      </c>
      <c r="Q1907">
        <v>20</v>
      </c>
      <c r="R1907">
        <v>4000000743</v>
      </c>
      <c r="S1907" t="s">
        <v>4219</v>
      </c>
      <c r="T1907" s="1">
        <v>44890</v>
      </c>
      <c r="U1907">
        <v>396.67</v>
      </c>
      <c r="V1907">
        <v>396.67</v>
      </c>
    </row>
    <row r="1908" spans="1:22" x14ac:dyDescent="0.3">
      <c r="A1908" t="s">
        <v>4213</v>
      </c>
      <c r="B1908" t="s">
        <v>4214</v>
      </c>
      <c r="C1908" t="s">
        <v>324</v>
      </c>
      <c r="D1908" t="s">
        <v>4215</v>
      </c>
      <c r="E1908" t="s">
        <v>15</v>
      </c>
      <c r="J1908" s="1">
        <v>44941</v>
      </c>
      <c r="K1908">
        <v>1143</v>
      </c>
      <c r="L1908" t="s">
        <v>4220</v>
      </c>
      <c r="M1908">
        <v>4</v>
      </c>
      <c r="N1908" t="str">
        <f>VLOOKUP(M1908,[1]LOJA!$A:$B,2,0)</f>
        <v>ADE</v>
      </c>
      <c r="O1908">
        <v>189</v>
      </c>
      <c r="P1908" t="str">
        <f>VLOOKUP(O1908,[1]OPERADORES!$A:$B,2,0)</f>
        <v>CAMILA WILLIANE</v>
      </c>
      <c r="Q1908">
        <v>7</v>
      </c>
      <c r="S1908" t="s">
        <v>87</v>
      </c>
      <c r="T1908" s="1">
        <v>44930</v>
      </c>
      <c r="U1908">
        <v>446</v>
      </c>
      <c r="V1908">
        <v>446</v>
      </c>
    </row>
    <row r="1909" spans="1:22" x14ac:dyDescent="0.3">
      <c r="A1909" t="s">
        <v>4213</v>
      </c>
      <c r="B1909" t="s">
        <v>4214</v>
      </c>
      <c r="C1909" t="s">
        <v>324</v>
      </c>
      <c r="D1909" t="s">
        <v>4215</v>
      </c>
      <c r="E1909" t="s">
        <v>15</v>
      </c>
      <c r="J1909" s="1">
        <v>44941</v>
      </c>
      <c r="K1909">
        <v>1143</v>
      </c>
      <c r="L1909" t="s">
        <v>4221</v>
      </c>
      <c r="M1909">
        <v>4</v>
      </c>
      <c r="N1909" t="str">
        <f>VLOOKUP(M1909,[1]LOJA!$A:$B,2,0)</f>
        <v>ADE</v>
      </c>
      <c r="O1909">
        <v>143</v>
      </c>
      <c r="P1909" t="str">
        <f>VLOOKUP(O1909,[1]OPERADORES!$A:$B,2,0)</f>
        <v>MARIA THAINARA L. DA SILVA</v>
      </c>
      <c r="Q1909">
        <v>20</v>
      </c>
      <c r="R1909">
        <v>4000000744</v>
      </c>
      <c r="S1909" t="s">
        <v>4222</v>
      </c>
      <c r="T1909" s="1">
        <v>44890</v>
      </c>
      <c r="U1909">
        <v>396.66</v>
      </c>
      <c r="V1909">
        <v>396.66</v>
      </c>
    </row>
    <row r="1910" spans="1:22" x14ac:dyDescent="0.3">
      <c r="A1910" t="s">
        <v>4223</v>
      </c>
      <c r="B1910" t="s">
        <v>4224</v>
      </c>
      <c r="C1910" t="s">
        <v>226</v>
      </c>
      <c r="D1910" t="s">
        <v>4225</v>
      </c>
      <c r="E1910" t="s">
        <v>15</v>
      </c>
      <c r="J1910" s="1">
        <v>45770</v>
      </c>
      <c r="K1910">
        <v>314</v>
      </c>
      <c r="L1910" t="s">
        <v>4226</v>
      </c>
      <c r="M1910">
        <v>14</v>
      </c>
      <c r="N1910" t="str">
        <f>VLOOKUP(M1910,[1]LOJA!$A:$B,2,0)</f>
        <v>S IA</v>
      </c>
      <c r="O1910">
        <v>212</v>
      </c>
      <c r="P1910" t="str">
        <f>VLOOKUP(O1910,[1]OPERADORES!$A:$B,2,0)</f>
        <v>YASMIN</v>
      </c>
      <c r="Q1910">
        <v>4</v>
      </c>
      <c r="S1910" t="s">
        <v>4227</v>
      </c>
      <c r="T1910" s="1">
        <v>45770</v>
      </c>
      <c r="U1910">
        <v>-1.88</v>
      </c>
      <c r="V1910">
        <v>-1.88</v>
      </c>
    </row>
    <row r="1911" spans="1:22" x14ac:dyDescent="0.3">
      <c r="A1911" t="s">
        <v>4228</v>
      </c>
      <c r="B1911" t="s">
        <v>4229</v>
      </c>
      <c r="C1911" t="s">
        <v>13</v>
      </c>
      <c r="D1911" t="s">
        <v>4230</v>
      </c>
      <c r="E1911" t="s">
        <v>15</v>
      </c>
      <c r="J1911" s="1">
        <v>44684</v>
      </c>
      <c r="K1911">
        <v>1400</v>
      </c>
      <c r="L1911" t="s">
        <v>2495</v>
      </c>
      <c r="M1911">
        <v>9</v>
      </c>
      <c r="N1911" t="str">
        <f>VLOOKUP(M1911,[1]LOJA!$A:$B,2,0)</f>
        <v>ÚNICA</v>
      </c>
      <c r="O1911">
        <v>84</v>
      </c>
      <c r="P1911" t="str">
        <f>VLOOKUP(O1911,[1]OPERADORES!$A:$B,2,0)</f>
        <v>JEICY AZEVEDO</v>
      </c>
      <c r="Q1911">
        <v>4</v>
      </c>
      <c r="S1911" t="s">
        <v>142</v>
      </c>
      <c r="T1911" s="1">
        <v>44684</v>
      </c>
      <c r="U1911">
        <v>-1.59</v>
      </c>
      <c r="V1911">
        <v>-1.59</v>
      </c>
    </row>
    <row r="1912" spans="1:22" x14ac:dyDescent="0.3">
      <c r="A1912" t="s">
        <v>4231</v>
      </c>
      <c r="B1912" t="s">
        <v>4232</v>
      </c>
      <c r="C1912" t="s">
        <v>13</v>
      </c>
      <c r="D1912" t="s">
        <v>4233</v>
      </c>
      <c r="E1912" t="s">
        <v>15</v>
      </c>
      <c r="J1912" s="1">
        <v>45510</v>
      </c>
      <c r="K1912">
        <v>574</v>
      </c>
      <c r="L1912" t="s">
        <v>3372</v>
      </c>
      <c r="M1912">
        <v>14</v>
      </c>
      <c r="N1912" t="str">
        <f>VLOOKUP(M1912,[1]LOJA!$A:$B,2,0)</f>
        <v>S IA</v>
      </c>
      <c r="O1912">
        <v>207</v>
      </c>
      <c r="P1912" t="str">
        <f>VLOOKUP(O1912,[1]OPERADORES!$A:$B,2,0)</f>
        <v>KETILE SABRINE</v>
      </c>
      <c r="Q1912">
        <v>4</v>
      </c>
      <c r="S1912" t="s">
        <v>4234</v>
      </c>
      <c r="T1912" s="1">
        <v>45510</v>
      </c>
      <c r="U1912">
        <v>-63.9</v>
      </c>
      <c r="V1912">
        <v>-63.9</v>
      </c>
    </row>
    <row r="1913" spans="1:22" x14ac:dyDescent="0.3">
      <c r="A1913" t="s">
        <v>4235</v>
      </c>
      <c r="B1913" t="s">
        <v>32</v>
      </c>
      <c r="C1913" t="s">
        <v>13</v>
      </c>
      <c r="D1913" t="s">
        <v>4236</v>
      </c>
      <c r="E1913" t="s">
        <v>15</v>
      </c>
      <c r="J1913" s="1">
        <v>45441</v>
      </c>
      <c r="K1913">
        <v>643</v>
      </c>
      <c r="L1913" t="s">
        <v>4237</v>
      </c>
      <c r="M1913">
        <v>8</v>
      </c>
      <c r="N1913" t="str">
        <f>VLOOKUP(M1913,[1]LOJA!$A:$B,2,0)</f>
        <v>LUZIÂNIA</v>
      </c>
      <c r="O1913">
        <v>192</v>
      </c>
      <c r="P1913" t="str">
        <f>VLOOKUP(O1913,[1]OPERADORES!$A:$B,2,0)</f>
        <v>CIDA</v>
      </c>
      <c r="Q1913">
        <v>4</v>
      </c>
      <c r="S1913" t="s">
        <v>4238</v>
      </c>
      <c r="T1913" s="1">
        <v>45439</v>
      </c>
      <c r="U1913">
        <v>-1.52</v>
      </c>
      <c r="V1913">
        <v>-1.52</v>
      </c>
    </row>
    <row r="1914" spans="1:22" x14ac:dyDescent="0.3">
      <c r="A1914" t="s">
        <v>4239</v>
      </c>
      <c r="B1914" t="s">
        <v>4240</v>
      </c>
      <c r="C1914" t="s">
        <v>755</v>
      </c>
      <c r="D1914" t="s">
        <v>4241</v>
      </c>
      <c r="E1914" t="s">
        <v>15</v>
      </c>
      <c r="J1914" s="1">
        <v>44595</v>
      </c>
      <c r="K1914">
        <v>1489</v>
      </c>
      <c r="L1914" t="s">
        <v>4242</v>
      </c>
      <c r="M1914">
        <v>14</v>
      </c>
      <c r="N1914" t="str">
        <f>VLOOKUP(M1914,[1]LOJA!$A:$B,2,0)</f>
        <v>S IA</v>
      </c>
      <c r="O1914">
        <v>20</v>
      </c>
      <c r="P1914" t="str">
        <f>VLOOKUP(O1914,[1]OPERADORES!$A:$B,2,0)</f>
        <v>MAYARA</v>
      </c>
      <c r="Q1914">
        <v>27</v>
      </c>
      <c r="R1914">
        <v>1000005336</v>
      </c>
      <c r="S1914" t="s">
        <v>4243</v>
      </c>
      <c r="T1914" s="1">
        <v>44565</v>
      </c>
      <c r="U1914">
        <v>112.87</v>
      </c>
      <c r="V1914">
        <v>112.87</v>
      </c>
    </row>
    <row r="1915" spans="1:22" x14ac:dyDescent="0.3">
      <c r="A1915" t="s">
        <v>4244</v>
      </c>
      <c r="B1915" t="s">
        <v>4245</v>
      </c>
      <c r="C1915" t="s">
        <v>848</v>
      </c>
      <c r="D1915" t="s">
        <v>6020</v>
      </c>
      <c r="E1915" t="s">
        <v>15</v>
      </c>
      <c r="J1915" s="1">
        <v>45973</v>
      </c>
      <c r="K1915">
        <v>111</v>
      </c>
      <c r="L1915" t="s">
        <v>4246</v>
      </c>
      <c r="M1915">
        <v>24</v>
      </c>
      <c r="N1915" t="str">
        <f>VLOOKUP(M1915,[1]LOJA!$A:$B,2,0)</f>
        <v>LUZIÂNIA</v>
      </c>
      <c r="O1915">
        <v>244</v>
      </c>
      <c r="P1915" t="str">
        <f>VLOOKUP(O1915,[1]OPERADORES!$A:$B,2,0)</f>
        <v>NATHALIA PEREIRA DA SILVA</v>
      </c>
      <c r="Q1915">
        <v>4</v>
      </c>
      <c r="S1915" t="s">
        <v>4247</v>
      </c>
      <c r="T1915" s="1">
        <v>45973</v>
      </c>
      <c r="U1915">
        <v>-0.52</v>
      </c>
      <c r="V1915">
        <v>-0.52</v>
      </c>
    </row>
    <row r="1916" spans="1:22" x14ac:dyDescent="0.3">
      <c r="A1916" t="s">
        <v>4244</v>
      </c>
      <c r="B1916" t="s">
        <v>4245</v>
      </c>
      <c r="C1916" t="s">
        <v>848</v>
      </c>
      <c r="D1916" t="s">
        <v>6020</v>
      </c>
      <c r="E1916" t="s">
        <v>15</v>
      </c>
      <c r="J1916" s="1">
        <v>46057</v>
      </c>
      <c r="K1916">
        <v>27</v>
      </c>
      <c r="L1916" t="s">
        <v>2298</v>
      </c>
      <c r="M1916">
        <v>24</v>
      </c>
      <c r="N1916" t="str">
        <f>VLOOKUP(M1916,[1]LOJA!$A:$B,2,0)</f>
        <v>LUZIÂNIA</v>
      </c>
      <c r="O1916">
        <v>244</v>
      </c>
      <c r="P1916" t="str">
        <f>VLOOKUP(O1916,[1]OPERADORES!$A:$B,2,0)</f>
        <v>NATHALIA PEREIRA DA SILVA</v>
      </c>
      <c r="Q1916">
        <v>4</v>
      </c>
      <c r="S1916" t="s">
        <v>4248</v>
      </c>
      <c r="T1916" s="1">
        <v>46057</v>
      </c>
      <c r="U1916">
        <v>-4</v>
      </c>
      <c r="V1916">
        <v>-4</v>
      </c>
    </row>
    <row r="1917" spans="1:22" x14ac:dyDescent="0.3">
      <c r="A1917" t="s">
        <v>4249</v>
      </c>
      <c r="B1917" t="s">
        <v>32</v>
      </c>
      <c r="C1917" t="s">
        <v>4250</v>
      </c>
      <c r="D1917" t="s">
        <v>6021</v>
      </c>
      <c r="E1917" t="s">
        <v>15</v>
      </c>
      <c r="J1917" s="1">
        <v>44576</v>
      </c>
      <c r="K1917">
        <v>1508</v>
      </c>
      <c r="L1917" t="s">
        <v>4251</v>
      </c>
      <c r="M1917">
        <v>15</v>
      </c>
      <c r="N1917" t="str">
        <f>VLOOKUP(M1917,[1]LOJA!$A:$B,2,0)</f>
        <v>UNAÍ</v>
      </c>
      <c r="O1917">
        <v>143</v>
      </c>
      <c r="P1917" t="str">
        <f>VLOOKUP(O1917,[1]OPERADORES!$A:$B,2,0)</f>
        <v>MARIA THAINARA L. DA SILVA</v>
      </c>
      <c r="Q1917">
        <v>26</v>
      </c>
      <c r="R1917">
        <v>1000005183</v>
      </c>
      <c r="S1917" t="s">
        <v>4252</v>
      </c>
      <c r="T1917" s="1">
        <v>44545</v>
      </c>
      <c r="U1917">
        <v>294.58999999999997</v>
      </c>
      <c r="V1917">
        <v>294.58999999999997</v>
      </c>
    </row>
    <row r="1918" spans="1:22" x14ac:dyDescent="0.3">
      <c r="A1918" t="s">
        <v>4249</v>
      </c>
      <c r="B1918" t="s">
        <v>32</v>
      </c>
      <c r="C1918" t="s">
        <v>4250</v>
      </c>
      <c r="D1918" t="s">
        <v>6021</v>
      </c>
      <c r="E1918" t="s">
        <v>15</v>
      </c>
      <c r="J1918" s="1">
        <v>45010</v>
      </c>
      <c r="K1918">
        <v>1074</v>
      </c>
      <c r="L1918" t="s">
        <v>4253</v>
      </c>
      <c r="M1918">
        <v>15</v>
      </c>
      <c r="N1918" t="str">
        <f>VLOOKUP(M1918,[1]LOJA!$A:$B,2,0)</f>
        <v>UNAÍ</v>
      </c>
      <c r="O1918">
        <v>183</v>
      </c>
      <c r="P1918" t="str">
        <f>VLOOKUP(O1918,[1]OPERADORES!$A:$B,2,0)</f>
        <v>NADINE DE OLIVEIRA MORAIS</v>
      </c>
      <c r="Q1918">
        <v>26</v>
      </c>
      <c r="R1918">
        <v>1000009138</v>
      </c>
      <c r="S1918" t="s">
        <v>87</v>
      </c>
      <c r="T1918" s="1">
        <v>44980</v>
      </c>
      <c r="U1918">
        <v>504</v>
      </c>
      <c r="V1918">
        <v>504</v>
      </c>
    </row>
    <row r="1919" spans="1:22" x14ac:dyDescent="0.3">
      <c r="A1919" t="s">
        <v>4249</v>
      </c>
      <c r="B1919" t="s">
        <v>32</v>
      </c>
      <c r="C1919" t="s">
        <v>4250</v>
      </c>
      <c r="D1919" t="s">
        <v>6021</v>
      </c>
      <c r="E1919" t="s">
        <v>15</v>
      </c>
      <c r="J1919" s="1">
        <v>45033</v>
      </c>
      <c r="K1919">
        <v>1051</v>
      </c>
      <c r="L1919" t="s">
        <v>4254</v>
      </c>
      <c r="M1919">
        <v>15</v>
      </c>
      <c r="N1919" t="str">
        <f>VLOOKUP(M1919,[1]LOJA!$A:$B,2,0)</f>
        <v>UNAÍ</v>
      </c>
      <c r="O1919">
        <v>183</v>
      </c>
      <c r="P1919" t="str">
        <f>VLOOKUP(O1919,[1]OPERADORES!$A:$B,2,0)</f>
        <v>NADINE DE OLIVEIRA MORAIS</v>
      </c>
      <c r="Q1919">
        <v>26</v>
      </c>
      <c r="R1919">
        <v>1000009438</v>
      </c>
      <c r="S1919" t="s">
        <v>87</v>
      </c>
      <c r="T1919" s="1">
        <v>45003</v>
      </c>
      <c r="U1919">
        <v>626</v>
      </c>
      <c r="V1919">
        <v>626</v>
      </c>
    </row>
    <row r="1920" spans="1:22" x14ac:dyDescent="0.3">
      <c r="A1920" t="s">
        <v>4249</v>
      </c>
      <c r="B1920" t="s">
        <v>32</v>
      </c>
      <c r="C1920" t="s">
        <v>4250</v>
      </c>
      <c r="D1920" t="s">
        <v>6021</v>
      </c>
      <c r="E1920" t="s">
        <v>15</v>
      </c>
      <c r="J1920" s="1">
        <v>45469</v>
      </c>
      <c r="K1920">
        <v>615</v>
      </c>
      <c r="L1920" t="s">
        <v>4255</v>
      </c>
      <c r="M1920">
        <v>20</v>
      </c>
      <c r="N1920" t="str">
        <f>VLOOKUP(M1920,[1]LOJA!$A:$B,2,0)</f>
        <v>DAUTO SERVIÇOS</v>
      </c>
      <c r="O1920">
        <v>183</v>
      </c>
      <c r="P1920" t="str">
        <f>VLOOKUP(O1920,[1]OPERADORES!$A:$B,2,0)</f>
        <v>NADINE DE OLIVEIRA MORAIS</v>
      </c>
      <c r="Q1920">
        <v>17</v>
      </c>
      <c r="R1920">
        <v>10542</v>
      </c>
      <c r="S1920" t="s">
        <v>87</v>
      </c>
      <c r="T1920" s="1">
        <v>45439</v>
      </c>
      <c r="U1920">
        <v>750</v>
      </c>
      <c r="V1920">
        <v>750</v>
      </c>
    </row>
    <row r="1921" spans="1:22" x14ac:dyDescent="0.3">
      <c r="A1921" t="s">
        <v>4249</v>
      </c>
      <c r="B1921" t="s">
        <v>32</v>
      </c>
      <c r="C1921" t="s">
        <v>4250</v>
      </c>
      <c r="D1921" t="s">
        <v>6021</v>
      </c>
      <c r="E1921" t="s">
        <v>15</v>
      </c>
      <c r="J1921" s="1">
        <v>45871</v>
      </c>
      <c r="K1921">
        <v>213</v>
      </c>
      <c r="L1921" t="s">
        <v>4256</v>
      </c>
      <c r="M1921">
        <v>20</v>
      </c>
      <c r="N1921" t="str">
        <f>VLOOKUP(M1921,[1]LOJA!$A:$B,2,0)</f>
        <v>DAUTO SERVIÇOS</v>
      </c>
      <c r="O1921">
        <v>232</v>
      </c>
      <c r="P1921" t="str">
        <f>VLOOKUP(O1921,[1]OPERADORES!$A:$B,2,0)</f>
        <v>JESSICA GUIMARÃES</v>
      </c>
      <c r="Q1921">
        <v>17</v>
      </c>
      <c r="R1921">
        <v>20921</v>
      </c>
      <c r="S1921" t="s">
        <v>87</v>
      </c>
      <c r="T1921" s="1">
        <v>45841</v>
      </c>
      <c r="U1921">
        <v>300</v>
      </c>
      <c r="V1921">
        <v>300</v>
      </c>
    </row>
    <row r="1922" spans="1:22" x14ac:dyDescent="0.3">
      <c r="A1922" t="s">
        <v>4257</v>
      </c>
      <c r="B1922" t="s">
        <v>4258</v>
      </c>
      <c r="C1922" t="s">
        <v>4259</v>
      </c>
      <c r="D1922" t="s">
        <v>6022</v>
      </c>
      <c r="E1922" t="s">
        <v>15</v>
      </c>
      <c r="J1922" s="1">
        <v>44514</v>
      </c>
      <c r="K1922">
        <v>1570</v>
      </c>
      <c r="L1922" t="s">
        <v>4260</v>
      </c>
      <c r="M1922">
        <v>15</v>
      </c>
      <c r="N1922" t="str">
        <f>VLOOKUP(M1922,[1]LOJA!$A:$B,2,0)</f>
        <v>UNAÍ</v>
      </c>
      <c r="O1922">
        <v>84</v>
      </c>
      <c r="P1922" t="str">
        <f>VLOOKUP(O1922,[1]OPERADORES!$A:$B,2,0)</f>
        <v>JEICY AZEVEDO</v>
      </c>
      <c r="Q1922">
        <v>26</v>
      </c>
      <c r="R1922">
        <v>1000004703</v>
      </c>
      <c r="S1922" t="s">
        <v>4261</v>
      </c>
      <c r="T1922" s="1">
        <v>44483</v>
      </c>
      <c r="U1922">
        <v>442</v>
      </c>
      <c r="V1922">
        <v>442</v>
      </c>
    </row>
    <row r="1923" spans="1:22" x14ac:dyDescent="0.3">
      <c r="A1923" t="s">
        <v>4257</v>
      </c>
      <c r="B1923" t="s">
        <v>4258</v>
      </c>
      <c r="C1923" t="s">
        <v>4259</v>
      </c>
      <c r="D1923" t="s">
        <v>6022</v>
      </c>
      <c r="E1923" t="s">
        <v>15</v>
      </c>
      <c r="J1923" s="1">
        <v>45010</v>
      </c>
      <c r="K1923">
        <v>1074</v>
      </c>
      <c r="L1923" t="s">
        <v>4262</v>
      </c>
      <c r="M1923">
        <v>15</v>
      </c>
      <c r="N1923" t="str">
        <f>VLOOKUP(M1923,[1]LOJA!$A:$B,2,0)</f>
        <v>UNAÍ</v>
      </c>
      <c r="O1923">
        <v>183</v>
      </c>
      <c r="P1923" t="str">
        <f>VLOOKUP(O1923,[1]OPERADORES!$A:$B,2,0)</f>
        <v>NADINE DE OLIVEIRA MORAIS</v>
      </c>
      <c r="Q1923">
        <v>26</v>
      </c>
      <c r="R1923">
        <v>1000009139</v>
      </c>
      <c r="S1923" t="s">
        <v>87</v>
      </c>
      <c r="T1923" s="1">
        <v>44980</v>
      </c>
      <c r="U1923">
        <v>170</v>
      </c>
      <c r="V1923">
        <v>170</v>
      </c>
    </row>
    <row r="1924" spans="1:22" x14ac:dyDescent="0.3">
      <c r="A1924" t="s">
        <v>4257</v>
      </c>
      <c r="B1924" t="s">
        <v>4258</v>
      </c>
      <c r="C1924" t="s">
        <v>4259</v>
      </c>
      <c r="D1924" t="s">
        <v>6022</v>
      </c>
      <c r="E1924" t="s">
        <v>15</v>
      </c>
      <c r="J1924" s="1">
        <v>45469</v>
      </c>
      <c r="K1924">
        <v>615</v>
      </c>
      <c r="L1924" t="s">
        <v>4263</v>
      </c>
      <c r="M1924">
        <v>20</v>
      </c>
      <c r="N1924" t="str">
        <f>VLOOKUP(M1924,[1]LOJA!$A:$B,2,0)</f>
        <v>DAUTO SERVIÇOS</v>
      </c>
      <c r="O1924">
        <v>183</v>
      </c>
      <c r="P1924" t="str">
        <f>VLOOKUP(O1924,[1]OPERADORES!$A:$B,2,0)</f>
        <v>NADINE DE OLIVEIRA MORAIS</v>
      </c>
      <c r="Q1924">
        <v>17</v>
      </c>
      <c r="R1924">
        <v>10559</v>
      </c>
      <c r="S1924" t="s">
        <v>87</v>
      </c>
      <c r="T1924" s="1">
        <v>45439</v>
      </c>
      <c r="U1924">
        <v>350</v>
      </c>
      <c r="V1924">
        <v>350</v>
      </c>
    </row>
    <row r="1925" spans="1:22" x14ac:dyDescent="0.3">
      <c r="A1925" t="s">
        <v>4257</v>
      </c>
      <c r="B1925" t="s">
        <v>4258</v>
      </c>
      <c r="C1925" t="s">
        <v>4259</v>
      </c>
      <c r="D1925" t="s">
        <v>6022</v>
      </c>
      <c r="E1925" t="s">
        <v>15</v>
      </c>
      <c r="J1925" s="1">
        <v>46079</v>
      </c>
      <c r="K1925">
        <v>5</v>
      </c>
      <c r="L1925" t="s">
        <v>6023</v>
      </c>
      <c r="M1925">
        <v>20</v>
      </c>
      <c r="N1925" t="str">
        <f>VLOOKUP(M1925,[1]LOJA!$A:$B,2,0)</f>
        <v>DAUTO SERVIÇOS</v>
      </c>
      <c r="O1925">
        <v>232</v>
      </c>
      <c r="P1925" t="str">
        <f>VLOOKUP(O1925,[1]OPERADORES!$A:$B,2,0)</f>
        <v>JESSICA GUIMARÃES</v>
      </c>
      <c r="Q1925">
        <v>17</v>
      </c>
      <c r="R1925">
        <v>25680</v>
      </c>
      <c r="S1925" t="s">
        <v>87</v>
      </c>
      <c r="T1925" s="1">
        <v>46049</v>
      </c>
      <c r="U1925" s="2">
        <v>3275.24</v>
      </c>
      <c r="V1925" s="2">
        <v>3275.24</v>
      </c>
    </row>
    <row r="1926" spans="1:22" x14ac:dyDescent="0.3">
      <c r="A1926" t="s">
        <v>4264</v>
      </c>
      <c r="B1926" t="s">
        <v>4265</v>
      </c>
      <c r="C1926" t="s">
        <v>4266</v>
      </c>
      <c r="D1926" t="s">
        <v>6024</v>
      </c>
      <c r="E1926" t="s">
        <v>15</v>
      </c>
      <c r="J1926" s="1">
        <v>44486</v>
      </c>
      <c r="K1926">
        <v>1598</v>
      </c>
      <c r="L1926" t="s">
        <v>4267</v>
      </c>
      <c r="M1926">
        <v>15</v>
      </c>
      <c r="N1926" t="str">
        <f>VLOOKUP(M1926,[1]LOJA!$A:$B,2,0)</f>
        <v>UNAÍ</v>
      </c>
      <c r="O1926">
        <v>84</v>
      </c>
      <c r="P1926" t="str">
        <f>VLOOKUP(O1926,[1]OPERADORES!$A:$B,2,0)</f>
        <v>JEICY AZEVEDO</v>
      </c>
      <c r="Q1926">
        <v>26</v>
      </c>
      <c r="R1926">
        <v>1000004510</v>
      </c>
      <c r="S1926" t="s">
        <v>4268</v>
      </c>
      <c r="T1926" s="1">
        <v>44456</v>
      </c>
      <c r="U1926">
        <v>963.4</v>
      </c>
      <c r="V1926">
        <v>963.4</v>
      </c>
    </row>
    <row r="1927" spans="1:22" x14ac:dyDescent="0.3">
      <c r="A1927" t="s">
        <v>4264</v>
      </c>
      <c r="B1927" t="s">
        <v>4265</v>
      </c>
      <c r="C1927" t="s">
        <v>4266</v>
      </c>
      <c r="D1927" t="s">
        <v>6024</v>
      </c>
      <c r="E1927" t="s">
        <v>15</v>
      </c>
      <c r="J1927" s="1">
        <v>44499</v>
      </c>
      <c r="K1927">
        <v>1585</v>
      </c>
      <c r="L1927" t="s">
        <v>4269</v>
      </c>
      <c r="M1927">
        <v>15</v>
      </c>
      <c r="N1927" t="str">
        <f>VLOOKUP(M1927,[1]LOJA!$A:$B,2,0)</f>
        <v>UNAÍ</v>
      </c>
      <c r="O1927">
        <v>143</v>
      </c>
      <c r="P1927" t="str">
        <f>VLOOKUP(O1927,[1]OPERADORES!$A:$B,2,0)</f>
        <v>MARIA THAINARA L. DA SILVA</v>
      </c>
      <c r="Q1927">
        <v>26</v>
      </c>
      <c r="R1927">
        <v>1000004561</v>
      </c>
      <c r="S1927" t="s">
        <v>4270</v>
      </c>
      <c r="T1927" s="1">
        <v>44469</v>
      </c>
      <c r="U1927">
        <v>110</v>
      </c>
      <c r="V1927">
        <v>110</v>
      </c>
    </row>
    <row r="1928" spans="1:22" x14ac:dyDescent="0.3">
      <c r="A1928" t="s">
        <v>4264</v>
      </c>
      <c r="B1928" t="s">
        <v>4265</v>
      </c>
      <c r="C1928" t="s">
        <v>4266</v>
      </c>
      <c r="D1928" t="s">
        <v>6024</v>
      </c>
      <c r="E1928" t="s">
        <v>15</v>
      </c>
      <c r="J1928" s="1">
        <v>44528</v>
      </c>
      <c r="K1928">
        <v>1556</v>
      </c>
      <c r="L1928" t="s">
        <v>4271</v>
      </c>
      <c r="M1928">
        <v>15</v>
      </c>
      <c r="N1928" t="str">
        <f>VLOOKUP(M1928,[1]LOJA!$A:$B,2,0)</f>
        <v>UNAÍ</v>
      </c>
      <c r="O1928">
        <v>143</v>
      </c>
      <c r="P1928" t="str">
        <f>VLOOKUP(O1928,[1]OPERADORES!$A:$B,2,0)</f>
        <v>MARIA THAINARA L. DA SILVA</v>
      </c>
      <c r="Q1928">
        <v>26</v>
      </c>
      <c r="R1928">
        <v>1000004741</v>
      </c>
      <c r="S1928" t="s">
        <v>4272</v>
      </c>
      <c r="T1928" s="1">
        <v>44497</v>
      </c>
      <c r="U1928" s="2">
        <v>5353.54</v>
      </c>
      <c r="V1928" s="2">
        <v>5353.54</v>
      </c>
    </row>
    <row r="1929" spans="1:22" x14ac:dyDescent="0.3">
      <c r="A1929" t="s">
        <v>4264</v>
      </c>
      <c r="B1929" t="s">
        <v>4265</v>
      </c>
      <c r="C1929" t="s">
        <v>4266</v>
      </c>
      <c r="D1929" t="s">
        <v>6024</v>
      </c>
      <c r="E1929" t="s">
        <v>15</v>
      </c>
      <c r="J1929" s="1">
        <v>44528</v>
      </c>
      <c r="K1929">
        <v>1556</v>
      </c>
      <c r="L1929" t="s">
        <v>4273</v>
      </c>
      <c r="M1929">
        <v>15</v>
      </c>
      <c r="N1929" t="str">
        <f>VLOOKUP(M1929,[1]LOJA!$A:$B,2,0)</f>
        <v>UNAÍ</v>
      </c>
      <c r="O1929">
        <v>143</v>
      </c>
      <c r="P1929" t="str">
        <f>VLOOKUP(O1929,[1]OPERADORES!$A:$B,2,0)</f>
        <v>MARIA THAINARA L. DA SILVA</v>
      </c>
      <c r="Q1929">
        <v>26</v>
      </c>
      <c r="R1929">
        <v>1000004743</v>
      </c>
      <c r="S1929" t="s">
        <v>4274</v>
      </c>
      <c r="T1929" s="1">
        <v>44497</v>
      </c>
      <c r="U1929" s="2">
        <v>1559.28</v>
      </c>
      <c r="V1929" s="2">
        <v>1559.28</v>
      </c>
    </row>
    <row r="1930" spans="1:22" x14ac:dyDescent="0.3">
      <c r="A1930" t="s">
        <v>4264</v>
      </c>
      <c r="B1930" t="s">
        <v>4265</v>
      </c>
      <c r="C1930" t="s">
        <v>4266</v>
      </c>
      <c r="D1930" t="s">
        <v>6024</v>
      </c>
      <c r="E1930" t="s">
        <v>15</v>
      </c>
      <c r="J1930" s="1">
        <v>44528</v>
      </c>
      <c r="K1930">
        <v>1556</v>
      </c>
      <c r="L1930" t="s">
        <v>4275</v>
      </c>
      <c r="M1930">
        <v>15</v>
      </c>
      <c r="N1930" t="str">
        <f>VLOOKUP(M1930,[1]LOJA!$A:$B,2,0)</f>
        <v>UNAÍ</v>
      </c>
      <c r="O1930">
        <v>143</v>
      </c>
      <c r="P1930" t="str">
        <f>VLOOKUP(O1930,[1]OPERADORES!$A:$B,2,0)</f>
        <v>MARIA THAINARA L. DA SILVA</v>
      </c>
      <c r="Q1930">
        <v>26</v>
      </c>
      <c r="R1930">
        <v>1000004744</v>
      </c>
      <c r="S1930" t="s">
        <v>4276</v>
      </c>
      <c r="T1930" s="1">
        <v>44497</v>
      </c>
      <c r="U1930" s="2">
        <v>2663.01</v>
      </c>
      <c r="V1930" s="2">
        <v>2663.01</v>
      </c>
    </row>
    <row r="1931" spans="1:22" x14ac:dyDescent="0.3">
      <c r="A1931" t="s">
        <v>4264</v>
      </c>
      <c r="B1931" t="s">
        <v>4265</v>
      </c>
      <c r="C1931" t="s">
        <v>4266</v>
      </c>
      <c r="D1931" t="s">
        <v>6024</v>
      </c>
      <c r="E1931" t="s">
        <v>15</v>
      </c>
      <c r="J1931" s="1">
        <v>44528</v>
      </c>
      <c r="K1931">
        <v>1556</v>
      </c>
      <c r="L1931" t="s">
        <v>4277</v>
      </c>
      <c r="M1931">
        <v>15</v>
      </c>
      <c r="N1931" t="str">
        <f>VLOOKUP(M1931,[1]LOJA!$A:$B,2,0)</f>
        <v>UNAÍ</v>
      </c>
      <c r="O1931">
        <v>143</v>
      </c>
      <c r="P1931" t="str">
        <f>VLOOKUP(O1931,[1]OPERADORES!$A:$B,2,0)</f>
        <v>MARIA THAINARA L. DA SILVA</v>
      </c>
      <c r="Q1931">
        <v>26</v>
      </c>
      <c r="R1931">
        <v>1000004745</v>
      </c>
      <c r="S1931" t="s">
        <v>4278</v>
      </c>
      <c r="T1931" s="1">
        <v>44497</v>
      </c>
      <c r="U1931" s="2">
        <v>2450.88</v>
      </c>
      <c r="V1931" s="2">
        <v>2450.88</v>
      </c>
    </row>
    <row r="1932" spans="1:22" x14ac:dyDescent="0.3">
      <c r="A1932" t="s">
        <v>4264</v>
      </c>
      <c r="B1932" t="s">
        <v>4265</v>
      </c>
      <c r="C1932" t="s">
        <v>4266</v>
      </c>
      <c r="D1932" t="s">
        <v>6024</v>
      </c>
      <c r="E1932" t="s">
        <v>15</v>
      </c>
      <c r="J1932" s="1">
        <v>44528</v>
      </c>
      <c r="K1932">
        <v>1556</v>
      </c>
      <c r="L1932" t="s">
        <v>4279</v>
      </c>
      <c r="M1932">
        <v>15</v>
      </c>
      <c r="N1932" t="str">
        <f>VLOOKUP(M1932,[1]LOJA!$A:$B,2,0)</f>
        <v>UNAÍ</v>
      </c>
      <c r="O1932">
        <v>143</v>
      </c>
      <c r="P1932" t="str">
        <f>VLOOKUP(O1932,[1]OPERADORES!$A:$B,2,0)</f>
        <v>MARIA THAINARA L. DA SILVA</v>
      </c>
      <c r="Q1932">
        <v>26</v>
      </c>
      <c r="R1932">
        <v>1000004746</v>
      </c>
      <c r="S1932" t="s">
        <v>4280</v>
      </c>
      <c r="T1932" s="1">
        <v>44497</v>
      </c>
      <c r="U1932">
        <v>952</v>
      </c>
      <c r="V1932">
        <v>952</v>
      </c>
    </row>
    <row r="1933" spans="1:22" x14ac:dyDescent="0.3">
      <c r="A1933" t="s">
        <v>4264</v>
      </c>
      <c r="B1933" t="s">
        <v>4265</v>
      </c>
      <c r="C1933" t="s">
        <v>4266</v>
      </c>
      <c r="D1933" t="s">
        <v>6024</v>
      </c>
      <c r="E1933" t="s">
        <v>15</v>
      </c>
      <c r="J1933" s="1">
        <v>44528</v>
      </c>
      <c r="K1933">
        <v>1556</v>
      </c>
      <c r="L1933" t="s">
        <v>4281</v>
      </c>
      <c r="M1933">
        <v>15</v>
      </c>
      <c r="N1933" t="str">
        <f>VLOOKUP(M1933,[1]LOJA!$A:$B,2,0)</f>
        <v>UNAÍ</v>
      </c>
      <c r="O1933">
        <v>143</v>
      </c>
      <c r="P1933" t="str">
        <f>VLOOKUP(O1933,[1]OPERADORES!$A:$B,2,0)</f>
        <v>MARIA THAINARA L. DA SILVA</v>
      </c>
      <c r="Q1933">
        <v>26</v>
      </c>
      <c r="R1933">
        <v>1000004747</v>
      </c>
      <c r="S1933" t="s">
        <v>4282</v>
      </c>
      <c r="T1933" s="1">
        <v>44497</v>
      </c>
      <c r="U1933" s="2">
        <v>2847.74</v>
      </c>
      <c r="V1933" s="2">
        <v>2847.74</v>
      </c>
    </row>
    <row r="1934" spans="1:22" x14ac:dyDescent="0.3">
      <c r="A1934" t="s">
        <v>4264</v>
      </c>
      <c r="B1934" t="s">
        <v>4265</v>
      </c>
      <c r="C1934" t="s">
        <v>4266</v>
      </c>
      <c r="D1934" t="s">
        <v>6024</v>
      </c>
      <c r="E1934" t="s">
        <v>15</v>
      </c>
      <c r="J1934" s="1">
        <v>44528</v>
      </c>
      <c r="K1934">
        <v>1556</v>
      </c>
      <c r="L1934" t="s">
        <v>4283</v>
      </c>
      <c r="M1934">
        <v>15</v>
      </c>
      <c r="N1934" t="str">
        <f>VLOOKUP(M1934,[1]LOJA!$A:$B,2,0)</f>
        <v>UNAÍ</v>
      </c>
      <c r="O1934">
        <v>143</v>
      </c>
      <c r="P1934" t="str">
        <f>VLOOKUP(O1934,[1]OPERADORES!$A:$B,2,0)</f>
        <v>MARIA THAINARA L. DA SILVA</v>
      </c>
      <c r="Q1934">
        <v>26</v>
      </c>
      <c r="R1934">
        <v>1000004748</v>
      </c>
      <c r="S1934" t="s">
        <v>4284</v>
      </c>
      <c r="T1934" s="1">
        <v>44497</v>
      </c>
      <c r="U1934" s="2">
        <v>3277.77</v>
      </c>
      <c r="V1934" s="2">
        <v>3277.77</v>
      </c>
    </row>
    <row r="1935" spans="1:22" x14ac:dyDescent="0.3">
      <c r="A1935" t="s">
        <v>4264</v>
      </c>
      <c r="B1935" t="s">
        <v>4265</v>
      </c>
      <c r="C1935" t="s">
        <v>4266</v>
      </c>
      <c r="D1935" t="s">
        <v>6024</v>
      </c>
      <c r="E1935" t="s">
        <v>15</v>
      </c>
      <c r="J1935" s="1">
        <v>44528</v>
      </c>
      <c r="K1935">
        <v>1556</v>
      </c>
      <c r="L1935" t="s">
        <v>4285</v>
      </c>
      <c r="M1935">
        <v>15</v>
      </c>
      <c r="N1935" t="str">
        <f>VLOOKUP(M1935,[1]LOJA!$A:$B,2,0)</f>
        <v>UNAÍ</v>
      </c>
      <c r="O1935">
        <v>143</v>
      </c>
      <c r="P1935" t="str">
        <f>VLOOKUP(O1935,[1]OPERADORES!$A:$B,2,0)</f>
        <v>MARIA THAINARA L. DA SILVA</v>
      </c>
      <c r="Q1935">
        <v>26</v>
      </c>
      <c r="R1935">
        <v>1000004749</v>
      </c>
      <c r="S1935" t="s">
        <v>4286</v>
      </c>
      <c r="T1935" s="1">
        <v>44497</v>
      </c>
      <c r="U1935">
        <v>69.92</v>
      </c>
      <c r="V1935">
        <v>69.92</v>
      </c>
    </row>
    <row r="1936" spans="1:22" x14ac:dyDescent="0.3">
      <c r="A1936" t="s">
        <v>4264</v>
      </c>
      <c r="B1936" t="s">
        <v>4265</v>
      </c>
      <c r="C1936" t="s">
        <v>4266</v>
      </c>
      <c r="D1936" t="s">
        <v>6024</v>
      </c>
      <c r="E1936" t="s">
        <v>15</v>
      </c>
      <c r="J1936" s="1">
        <v>44560</v>
      </c>
      <c r="K1936">
        <v>1524</v>
      </c>
      <c r="L1936" t="s">
        <v>4287</v>
      </c>
      <c r="M1936">
        <v>15</v>
      </c>
      <c r="N1936" t="str">
        <f>VLOOKUP(M1936,[1]LOJA!$A:$B,2,0)</f>
        <v>UNAÍ</v>
      </c>
      <c r="O1936">
        <v>143</v>
      </c>
      <c r="P1936" t="str">
        <f>VLOOKUP(O1936,[1]OPERADORES!$A:$B,2,0)</f>
        <v>MARIA THAINARA L. DA SILVA</v>
      </c>
      <c r="Q1936">
        <v>26</v>
      </c>
      <c r="R1936">
        <v>1000005003</v>
      </c>
      <c r="S1936" t="s">
        <v>4288</v>
      </c>
      <c r="T1936" s="1">
        <v>44530</v>
      </c>
      <c r="U1936" s="2">
        <v>1741.55</v>
      </c>
      <c r="V1936" s="2">
        <v>1741.55</v>
      </c>
    </row>
    <row r="1937" spans="1:22" x14ac:dyDescent="0.3">
      <c r="A1937" t="s">
        <v>4264</v>
      </c>
      <c r="B1937" t="s">
        <v>4265</v>
      </c>
      <c r="C1937" t="s">
        <v>4266</v>
      </c>
      <c r="D1937" t="s">
        <v>6024</v>
      </c>
      <c r="E1937" t="s">
        <v>15</v>
      </c>
      <c r="J1937" s="1">
        <v>45013</v>
      </c>
      <c r="K1937">
        <v>1071</v>
      </c>
      <c r="L1937" t="s">
        <v>4289</v>
      </c>
      <c r="M1937">
        <v>20</v>
      </c>
      <c r="N1937" t="str">
        <f>VLOOKUP(M1937,[1]LOJA!$A:$B,2,0)</f>
        <v>DAUTO SERVIÇOS</v>
      </c>
      <c r="O1937">
        <v>20</v>
      </c>
      <c r="P1937" t="str">
        <f>VLOOKUP(O1937,[1]OPERADORES!$A:$B,2,0)</f>
        <v>MAYARA</v>
      </c>
      <c r="Q1937">
        <v>17</v>
      </c>
      <c r="S1937" t="s">
        <v>4290</v>
      </c>
      <c r="T1937" s="1">
        <v>44985</v>
      </c>
      <c r="U1937" s="2">
        <v>1751.77</v>
      </c>
      <c r="V1937" s="2">
        <v>1751.77</v>
      </c>
    </row>
    <row r="1938" spans="1:22" x14ac:dyDescent="0.3">
      <c r="A1938" t="s">
        <v>4264</v>
      </c>
      <c r="B1938" t="s">
        <v>4265</v>
      </c>
      <c r="C1938" t="s">
        <v>4266</v>
      </c>
      <c r="D1938" t="s">
        <v>6024</v>
      </c>
      <c r="E1938" t="s">
        <v>15</v>
      </c>
      <c r="J1938" s="1">
        <v>45015</v>
      </c>
      <c r="K1938">
        <v>1069</v>
      </c>
      <c r="L1938" t="s">
        <v>4289</v>
      </c>
      <c r="M1938">
        <v>15</v>
      </c>
      <c r="N1938" t="str">
        <f>VLOOKUP(M1938,[1]LOJA!$A:$B,2,0)</f>
        <v>UNAÍ</v>
      </c>
      <c r="O1938">
        <v>183</v>
      </c>
      <c r="P1938" t="str">
        <f>VLOOKUP(O1938,[1]OPERADORES!$A:$B,2,0)</f>
        <v>NADINE DE OLIVEIRA MORAIS</v>
      </c>
      <c r="Q1938">
        <v>26</v>
      </c>
      <c r="R1938">
        <v>1000009180</v>
      </c>
      <c r="S1938" t="s">
        <v>87</v>
      </c>
      <c r="T1938" s="1">
        <v>44985</v>
      </c>
      <c r="U1938" s="2">
        <v>1751.77</v>
      </c>
      <c r="V1938" s="2">
        <v>1751.77</v>
      </c>
    </row>
    <row r="1939" spans="1:22" x14ac:dyDescent="0.3">
      <c r="A1939" t="s">
        <v>4264</v>
      </c>
      <c r="B1939" t="s">
        <v>4265</v>
      </c>
      <c r="C1939" t="s">
        <v>4266</v>
      </c>
      <c r="D1939" t="s">
        <v>6024</v>
      </c>
      <c r="E1939" t="s">
        <v>15</v>
      </c>
      <c r="J1939" s="1">
        <v>45156</v>
      </c>
      <c r="K1939">
        <v>928</v>
      </c>
      <c r="L1939" t="s">
        <v>4291</v>
      </c>
      <c r="M1939">
        <v>20</v>
      </c>
      <c r="N1939" t="str">
        <f>VLOOKUP(M1939,[1]LOJA!$A:$B,2,0)</f>
        <v>DAUTO SERVIÇOS</v>
      </c>
      <c r="O1939">
        <v>183</v>
      </c>
      <c r="P1939" t="str">
        <f>VLOOKUP(O1939,[1]OPERADORES!$A:$B,2,0)</f>
        <v>NADINE DE OLIVEIRA MORAIS</v>
      </c>
      <c r="Q1939">
        <v>17</v>
      </c>
      <c r="R1939">
        <v>2069</v>
      </c>
      <c r="S1939" t="s">
        <v>87</v>
      </c>
      <c r="T1939" s="1">
        <v>45126</v>
      </c>
      <c r="U1939" s="2">
        <v>1700</v>
      </c>
      <c r="V1939" s="2">
        <v>1700</v>
      </c>
    </row>
    <row r="1940" spans="1:22" x14ac:dyDescent="0.3">
      <c r="A1940" t="s">
        <v>4264</v>
      </c>
      <c r="B1940" t="s">
        <v>4265</v>
      </c>
      <c r="C1940" t="s">
        <v>4266</v>
      </c>
      <c r="D1940" t="s">
        <v>6024</v>
      </c>
      <c r="E1940" t="s">
        <v>15</v>
      </c>
      <c r="J1940" s="1">
        <v>45157</v>
      </c>
      <c r="K1940">
        <v>927</v>
      </c>
      <c r="L1940" t="s">
        <v>4292</v>
      </c>
      <c r="M1940">
        <v>20</v>
      </c>
      <c r="N1940" t="str">
        <f>VLOOKUP(M1940,[1]LOJA!$A:$B,2,0)</f>
        <v>DAUTO SERVIÇOS</v>
      </c>
      <c r="O1940">
        <v>183</v>
      </c>
      <c r="P1940" t="str">
        <f>VLOOKUP(O1940,[1]OPERADORES!$A:$B,2,0)</f>
        <v>NADINE DE OLIVEIRA MORAIS</v>
      </c>
      <c r="Q1940">
        <v>17</v>
      </c>
      <c r="R1940">
        <v>2259</v>
      </c>
      <c r="S1940" t="s">
        <v>87</v>
      </c>
      <c r="T1940" s="1">
        <v>45127</v>
      </c>
      <c r="U1940" s="2">
        <v>1284.18</v>
      </c>
      <c r="V1940" s="2">
        <v>1284.18</v>
      </c>
    </row>
    <row r="1941" spans="1:22" x14ac:dyDescent="0.3">
      <c r="A1941" t="s">
        <v>4264</v>
      </c>
      <c r="B1941" t="s">
        <v>4265</v>
      </c>
      <c r="C1941" t="s">
        <v>4266</v>
      </c>
      <c r="D1941" t="s">
        <v>6024</v>
      </c>
      <c r="E1941" t="s">
        <v>15</v>
      </c>
      <c r="J1941" s="1">
        <v>45484</v>
      </c>
      <c r="K1941">
        <v>600</v>
      </c>
      <c r="L1941" t="s">
        <v>4293</v>
      </c>
      <c r="M1941">
        <v>20</v>
      </c>
      <c r="N1941" t="str">
        <f>VLOOKUP(M1941,[1]LOJA!$A:$B,2,0)</f>
        <v>DAUTO SERVIÇOS</v>
      </c>
      <c r="O1941">
        <v>183</v>
      </c>
      <c r="P1941" t="str">
        <f>VLOOKUP(O1941,[1]OPERADORES!$A:$B,2,0)</f>
        <v>NADINE DE OLIVEIRA MORAIS</v>
      </c>
      <c r="Q1941">
        <v>17</v>
      </c>
      <c r="R1941">
        <v>10922</v>
      </c>
      <c r="S1941" t="s">
        <v>87</v>
      </c>
      <c r="T1941" s="1">
        <v>45454</v>
      </c>
      <c r="U1941" s="2">
        <v>2538.08</v>
      </c>
      <c r="V1941" s="2">
        <v>2538.08</v>
      </c>
    </row>
    <row r="1942" spans="1:22" x14ac:dyDescent="0.3">
      <c r="A1942" t="s">
        <v>4264</v>
      </c>
      <c r="B1942" t="s">
        <v>4265</v>
      </c>
      <c r="C1942" t="s">
        <v>4266</v>
      </c>
      <c r="D1942" t="s">
        <v>6024</v>
      </c>
      <c r="E1942" t="s">
        <v>15</v>
      </c>
      <c r="J1942" s="1">
        <v>45647</v>
      </c>
      <c r="K1942">
        <v>437</v>
      </c>
      <c r="L1942" t="s">
        <v>4294</v>
      </c>
      <c r="M1942">
        <v>20</v>
      </c>
      <c r="N1942" t="str">
        <f>VLOOKUP(M1942,[1]LOJA!$A:$B,2,0)</f>
        <v>DAUTO SERVIÇOS</v>
      </c>
      <c r="O1942">
        <v>232</v>
      </c>
      <c r="P1942" t="str">
        <f>VLOOKUP(O1942,[1]OPERADORES!$A:$B,2,0)</f>
        <v>JESSICA GUIMARÃES</v>
      </c>
      <c r="Q1942">
        <v>17</v>
      </c>
      <c r="R1942">
        <v>15327</v>
      </c>
      <c r="S1942" t="s">
        <v>87</v>
      </c>
      <c r="T1942" s="1">
        <v>45617</v>
      </c>
      <c r="U1942">
        <v>250</v>
      </c>
      <c r="V1942">
        <v>250</v>
      </c>
    </row>
    <row r="1943" spans="1:22" x14ac:dyDescent="0.3">
      <c r="A1943" t="s">
        <v>4264</v>
      </c>
      <c r="B1943" t="s">
        <v>4265</v>
      </c>
      <c r="C1943" t="s">
        <v>4266</v>
      </c>
      <c r="D1943" t="s">
        <v>6024</v>
      </c>
      <c r="E1943" t="s">
        <v>15</v>
      </c>
      <c r="J1943" s="1">
        <v>45647</v>
      </c>
      <c r="K1943">
        <v>437</v>
      </c>
      <c r="L1943" t="s">
        <v>4295</v>
      </c>
      <c r="M1943">
        <v>20</v>
      </c>
      <c r="N1943" t="str">
        <f>VLOOKUP(M1943,[1]LOJA!$A:$B,2,0)</f>
        <v>DAUTO SERVIÇOS</v>
      </c>
      <c r="O1943">
        <v>232</v>
      </c>
      <c r="P1943" t="str">
        <f>VLOOKUP(O1943,[1]OPERADORES!$A:$B,2,0)</f>
        <v>JESSICA GUIMARÃES</v>
      </c>
      <c r="Q1943">
        <v>17</v>
      </c>
      <c r="R1943">
        <v>15392</v>
      </c>
      <c r="S1943" t="s">
        <v>87</v>
      </c>
      <c r="T1943" s="1">
        <v>45617</v>
      </c>
      <c r="U1943">
        <v>74.260000000000005</v>
      </c>
      <c r="V1943">
        <v>74.260000000000005</v>
      </c>
    </row>
    <row r="1944" spans="1:22" x14ac:dyDescent="0.3">
      <c r="A1944" t="s">
        <v>4264</v>
      </c>
      <c r="B1944" t="s">
        <v>4265</v>
      </c>
      <c r="C1944" t="s">
        <v>4266</v>
      </c>
      <c r="D1944" t="s">
        <v>6024</v>
      </c>
      <c r="E1944" t="s">
        <v>15</v>
      </c>
      <c r="J1944" s="1">
        <v>45654</v>
      </c>
      <c r="K1944">
        <v>430</v>
      </c>
      <c r="L1944" t="s">
        <v>4296</v>
      </c>
      <c r="M1944">
        <v>20</v>
      </c>
      <c r="N1944" t="str">
        <f>VLOOKUP(M1944,[1]LOJA!$A:$B,2,0)</f>
        <v>DAUTO SERVIÇOS</v>
      </c>
      <c r="O1944">
        <v>232</v>
      </c>
      <c r="P1944" t="str">
        <f>VLOOKUP(O1944,[1]OPERADORES!$A:$B,2,0)</f>
        <v>JESSICA GUIMARÃES</v>
      </c>
      <c r="Q1944">
        <v>17</v>
      </c>
      <c r="R1944">
        <v>15582</v>
      </c>
      <c r="S1944" t="s">
        <v>87</v>
      </c>
      <c r="T1944" s="1">
        <v>45624</v>
      </c>
      <c r="U1944">
        <v>100</v>
      </c>
      <c r="V1944">
        <v>100</v>
      </c>
    </row>
    <row r="1945" spans="1:22" x14ac:dyDescent="0.3">
      <c r="A1945" t="s">
        <v>4264</v>
      </c>
      <c r="B1945" t="s">
        <v>4265</v>
      </c>
      <c r="C1945" t="s">
        <v>4266</v>
      </c>
      <c r="D1945" t="s">
        <v>6024</v>
      </c>
      <c r="E1945" t="s">
        <v>15</v>
      </c>
      <c r="J1945" s="1">
        <v>45700</v>
      </c>
      <c r="K1945">
        <v>384</v>
      </c>
      <c r="L1945" t="s">
        <v>4297</v>
      </c>
      <c r="M1945">
        <v>20</v>
      </c>
      <c r="N1945" t="str">
        <f>VLOOKUP(M1945,[1]LOJA!$A:$B,2,0)</f>
        <v>DAUTO SERVIÇOS</v>
      </c>
      <c r="O1945">
        <v>232</v>
      </c>
      <c r="P1945" t="str">
        <f>VLOOKUP(O1945,[1]OPERADORES!$A:$B,2,0)</f>
        <v>JESSICA GUIMARÃES</v>
      </c>
      <c r="Q1945">
        <v>17</v>
      </c>
      <c r="S1945" t="s">
        <v>4298</v>
      </c>
      <c r="T1945" s="1">
        <v>45698</v>
      </c>
      <c r="U1945" s="2">
        <v>-4141.25</v>
      </c>
      <c r="V1945" s="2">
        <v>-4141.25</v>
      </c>
    </row>
    <row r="1946" spans="1:22" x14ac:dyDescent="0.3">
      <c r="A1946" t="s">
        <v>4264</v>
      </c>
      <c r="B1946" t="s">
        <v>4265</v>
      </c>
      <c r="C1946" t="s">
        <v>4266</v>
      </c>
      <c r="D1946" t="s">
        <v>6024</v>
      </c>
      <c r="E1946" t="s">
        <v>15</v>
      </c>
      <c r="J1946" s="1">
        <v>45743</v>
      </c>
      <c r="K1946">
        <v>341</v>
      </c>
      <c r="L1946" t="s">
        <v>4299</v>
      </c>
      <c r="M1946">
        <v>20</v>
      </c>
      <c r="N1946" t="str">
        <f>VLOOKUP(M1946,[1]LOJA!$A:$B,2,0)</f>
        <v>DAUTO SERVIÇOS</v>
      </c>
      <c r="O1946">
        <v>232</v>
      </c>
      <c r="P1946" t="str">
        <f>VLOOKUP(O1946,[1]OPERADORES!$A:$B,2,0)</f>
        <v>JESSICA GUIMARÃES</v>
      </c>
      <c r="Q1946">
        <v>17</v>
      </c>
      <c r="R1946">
        <v>17653</v>
      </c>
      <c r="S1946" t="s">
        <v>87</v>
      </c>
      <c r="T1946" s="1">
        <v>45713</v>
      </c>
      <c r="U1946">
        <v>560</v>
      </c>
      <c r="V1946">
        <v>560</v>
      </c>
    </row>
    <row r="1947" spans="1:22" x14ac:dyDescent="0.3">
      <c r="A1947" t="s">
        <v>4264</v>
      </c>
      <c r="B1947" t="s">
        <v>4265</v>
      </c>
      <c r="C1947" t="s">
        <v>4266</v>
      </c>
      <c r="D1947" t="s">
        <v>6024</v>
      </c>
      <c r="E1947" t="s">
        <v>15</v>
      </c>
      <c r="J1947" s="1">
        <v>45747</v>
      </c>
      <c r="K1947">
        <v>337</v>
      </c>
      <c r="L1947" t="s">
        <v>581</v>
      </c>
      <c r="M1947">
        <v>20</v>
      </c>
      <c r="N1947" t="str">
        <f>VLOOKUP(M1947,[1]LOJA!$A:$B,2,0)</f>
        <v>DAUTO SERVIÇOS</v>
      </c>
      <c r="O1947">
        <v>232</v>
      </c>
      <c r="P1947" t="str">
        <f>VLOOKUP(O1947,[1]OPERADORES!$A:$B,2,0)</f>
        <v>JESSICA GUIMARÃES</v>
      </c>
      <c r="Q1947">
        <v>17</v>
      </c>
      <c r="S1947" t="s">
        <v>142</v>
      </c>
      <c r="T1947" s="1">
        <v>45729</v>
      </c>
      <c r="U1947">
        <v>-355.81</v>
      </c>
      <c r="V1947">
        <v>-355.81</v>
      </c>
    </row>
    <row r="1948" spans="1:22" x14ac:dyDescent="0.3">
      <c r="A1948" t="s">
        <v>4264</v>
      </c>
      <c r="B1948" t="s">
        <v>4265</v>
      </c>
      <c r="C1948" t="s">
        <v>4266</v>
      </c>
      <c r="D1948" t="s">
        <v>6024</v>
      </c>
      <c r="E1948" t="s">
        <v>15</v>
      </c>
      <c r="J1948" s="1">
        <v>45891</v>
      </c>
      <c r="K1948">
        <v>193</v>
      </c>
      <c r="L1948" t="s">
        <v>4300</v>
      </c>
      <c r="M1948">
        <v>20</v>
      </c>
      <c r="N1948" t="str">
        <f>VLOOKUP(M1948,[1]LOJA!$A:$B,2,0)</f>
        <v>DAUTO SERVIÇOS</v>
      </c>
      <c r="O1948">
        <v>232</v>
      </c>
      <c r="P1948" t="str">
        <f>VLOOKUP(O1948,[1]OPERADORES!$A:$B,2,0)</f>
        <v>JESSICA GUIMARÃES</v>
      </c>
      <c r="Q1948">
        <v>17</v>
      </c>
      <c r="R1948">
        <v>21234</v>
      </c>
      <c r="S1948" t="s">
        <v>87</v>
      </c>
      <c r="T1948" s="1">
        <v>45861</v>
      </c>
      <c r="U1948">
        <v>250.2</v>
      </c>
      <c r="V1948">
        <v>250.2</v>
      </c>
    </row>
    <row r="1949" spans="1:22" x14ac:dyDescent="0.3">
      <c r="A1949" t="s">
        <v>4264</v>
      </c>
      <c r="B1949" t="s">
        <v>4265</v>
      </c>
      <c r="C1949" t="s">
        <v>4266</v>
      </c>
      <c r="D1949" t="s">
        <v>6024</v>
      </c>
      <c r="E1949" t="s">
        <v>15</v>
      </c>
      <c r="J1949" s="1">
        <v>45891</v>
      </c>
      <c r="K1949">
        <v>193</v>
      </c>
      <c r="L1949" t="s">
        <v>4301</v>
      </c>
      <c r="M1949">
        <v>20</v>
      </c>
      <c r="N1949" t="str">
        <f>VLOOKUP(M1949,[1]LOJA!$A:$B,2,0)</f>
        <v>DAUTO SERVIÇOS</v>
      </c>
      <c r="O1949">
        <v>232</v>
      </c>
      <c r="P1949" t="str">
        <f>VLOOKUP(O1949,[1]OPERADORES!$A:$B,2,0)</f>
        <v>JESSICA GUIMARÃES</v>
      </c>
      <c r="Q1949">
        <v>17</v>
      </c>
      <c r="R1949">
        <v>21242</v>
      </c>
      <c r="S1949" t="s">
        <v>87</v>
      </c>
      <c r="T1949" s="1">
        <v>45861</v>
      </c>
      <c r="U1949">
        <v>350.1</v>
      </c>
      <c r="V1949">
        <v>350.1</v>
      </c>
    </row>
    <row r="1950" spans="1:22" x14ac:dyDescent="0.3">
      <c r="A1950" t="s">
        <v>4264</v>
      </c>
      <c r="B1950" t="s">
        <v>4265</v>
      </c>
      <c r="C1950" t="s">
        <v>4266</v>
      </c>
      <c r="D1950" t="s">
        <v>6024</v>
      </c>
      <c r="E1950" t="s">
        <v>15</v>
      </c>
      <c r="J1950" s="1">
        <v>45891</v>
      </c>
      <c r="K1950">
        <v>193</v>
      </c>
      <c r="L1950" t="s">
        <v>4302</v>
      </c>
      <c r="M1950">
        <v>20</v>
      </c>
      <c r="N1950" t="str">
        <f>VLOOKUP(M1950,[1]LOJA!$A:$B,2,0)</f>
        <v>DAUTO SERVIÇOS</v>
      </c>
      <c r="O1950">
        <v>232</v>
      </c>
      <c r="P1950" t="str">
        <f>VLOOKUP(O1950,[1]OPERADORES!$A:$B,2,0)</f>
        <v>JESSICA GUIMARÃES</v>
      </c>
      <c r="Q1950">
        <v>17</v>
      </c>
      <c r="R1950">
        <v>21275</v>
      </c>
      <c r="S1950" t="s">
        <v>87</v>
      </c>
      <c r="T1950" s="1">
        <v>45861</v>
      </c>
      <c r="U1950">
        <v>350.1</v>
      </c>
      <c r="V1950">
        <v>350.1</v>
      </c>
    </row>
    <row r="1951" spans="1:22" x14ac:dyDescent="0.3">
      <c r="A1951" t="s">
        <v>4264</v>
      </c>
      <c r="B1951" t="s">
        <v>4265</v>
      </c>
      <c r="C1951" t="s">
        <v>4266</v>
      </c>
      <c r="D1951" t="s">
        <v>6024</v>
      </c>
      <c r="E1951" t="s">
        <v>15</v>
      </c>
      <c r="J1951" s="1">
        <v>45897</v>
      </c>
      <c r="K1951">
        <v>187</v>
      </c>
      <c r="L1951" t="s">
        <v>4303</v>
      </c>
      <c r="M1951">
        <v>20</v>
      </c>
      <c r="N1951" t="str">
        <f>VLOOKUP(M1951,[1]LOJA!$A:$B,2,0)</f>
        <v>DAUTO SERVIÇOS</v>
      </c>
      <c r="O1951">
        <v>232</v>
      </c>
      <c r="P1951" t="str">
        <f>VLOOKUP(O1951,[1]OPERADORES!$A:$B,2,0)</f>
        <v>JESSICA GUIMARÃES</v>
      </c>
      <c r="Q1951">
        <v>17</v>
      </c>
      <c r="R1951">
        <v>21523</v>
      </c>
      <c r="S1951" t="s">
        <v>87</v>
      </c>
      <c r="T1951" s="1">
        <v>45867</v>
      </c>
      <c r="U1951">
        <v>20.25</v>
      </c>
      <c r="V1951">
        <v>20.25</v>
      </c>
    </row>
    <row r="1952" spans="1:22" x14ac:dyDescent="0.3">
      <c r="A1952" t="s">
        <v>4264</v>
      </c>
      <c r="B1952" t="s">
        <v>4265</v>
      </c>
      <c r="C1952" t="s">
        <v>4266</v>
      </c>
      <c r="D1952" t="s">
        <v>6024</v>
      </c>
      <c r="E1952" t="s">
        <v>15</v>
      </c>
      <c r="J1952" s="1">
        <v>45947</v>
      </c>
      <c r="K1952">
        <v>137</v>
      </c>
      <c r="L1952" t="s">
        <v>4304</v>
      </c>
      <c r="M1952">
        <v>15</v>
      </c>
      <c r="N1952" t="str">
        <f>VLOOKUP(M1952,[1]LOJA!$A:$B,2,0)</f>
        <v>UNAÍ</v>
      </c>
      <c r="O1952">
        <v>183</v>
      </c>
      <c r="P1952" t="str">
        <f>VLOOKUP(O1952,[1]OPERADORES!$A:$B,2,0)</f>
        <v>NADINE DE OLIVEIRA MORAIS</v>
      </c>
      <c r="Q1952">
        <v>12</v>
      </c>
      <c r="R1952">
        <v>1000018243</v>
      </c>
      <c r="S1952" t="s">
        <v>87</v>
      </c>
      <c r="T1952" s="1">
        <v>45917</v>
      </c>
      <c r="U1952">
        <v>440</v>
      </c>
      <c r="V1952">
        <v>440</v>
      </c>
    </row>
    <row r="1953" spans="1:22" x14ac:dyDescent="0.3">
      <c r="A1953" t="s">
        <v>4264</v>
      </c>
      <c r="B1953" t="s">
        <v>4265</v>
      </c>
      <c r="C1953" t="s">
        <v>4266</v>
      </c>
      <c r="D1953" t="s">
        <v>6024</v>
      </c>
      <c r="E1953" t="s">
        <v>15</v>
      </c>
      <c r="J1953" s="1">
        <v>45977</v>
      </c>
      <c r="K1953">
        <v>107</v>
      </c>
      <c r="L1953" t="s">
        <v>4305</v>
      </c>
      <c r="M1953">
        <v>20</v>
      </c>
      <c r="N1953" t="str">
        <f>VLOOKUP(M1953,[1]LOJA!$A:$B,2,0)</f>
        <v>DAUTO SERVIÇOS</v>
      </c>
      <c r="O1953">
        <v>183</v>
      </c>
      <c r="P1953" t="str">
        <f>VLOOKUP(O1953,[1]OPERADORES!$A:$B,2,0)</f>
        <v>NADINE DE OLIVEIRA MORAIS</v>
      </c>
      <c r="Q1953">
        <v>17</v>
      </c>
      <c r="R1953">
        <v>23586</v>
      </c>
      <c r="S1953" t="s">
        <v>87</v>
      </c>
      <c r="T1953" s="1">
        <v>45947</v>
      </c>
      <c r="U1953">
        <v>787.24</v>
      </c>
      <c r="V1953">
        <v>787.24</v>
      </c>
    </row>
    <row r="1954" spans="1:22" x14ac:dyDescent="0.3">
      <c r="A1954" t="s">
        <v>4264</v>
      </c>
      <c r="B1954" t="s">
        <v>4265</v>
      </c>
      <c r="C1954" t="s">
        <v>4266</v>
      </c>
      <c r="D1954" t="s">
        <v>6024</v>
      </c>
      <c r="E1954" t="s">
        <v>15</v>
      </c>
      <c r="J1954" s="1">
        <v>46081</v>
      </c>
      <c r="K1954">
        <v>3</v>
      </c>
      <c r="L1954" t="s">
        <v>6025</v>
      </c>
      <c r="M1954">
        <v>20</v>
      </c>
      <c r="N1954" t="str">
        <f>VLOOKUP(M1954,[1]LOJA!$A:$B,2,0)</f>
        <v>DAUTO SERVIÇOS</v>
      </c>
      <c r="O1954">
        <v>232</v>
      </c>
      <c r="P1954" t="str">
        <f>VLOOKUP(O1954,[1]OPERADORES!$A:$B,2,0)</f>
        <v>JESSICA GUIMARÃES</v>
      </c>
      <c r="Q1954">
        <v>17</v>
      </c>
      <c r="R1954">
        <v>25888</v>
      </c>
      <c r="S1954" t="s">
        <v>87</v>
      </c>
      <c r="T1954" s="1">
        <v>46051</v>
      </c>
      <c r="U1954" s="2">
        <v>1567.14</v>
      </c>
      <c r="V1954" s="2">
        <v>1567.14</v>
      </c>
    </row>
    <row r="1955" spans="1:22" x14ac:dyDescent="0.3">
      <c r="A1955" t="s">
        <v>4306</v>
      </c>
      <c r="B1955" t="s">
        <v>4307</v>
      </c>
      <c r="C1955" t="s">
        <v>4266</v>
      </c>
      <c r="D1955" t="s">
        <v>6026</v>
      </c>
      <c r="E1955" t="s">
        <v>15</v>
      </c>
      <c r="J1955" s="1">
        <v>44529</v>
      </c>
      <c r="K1955">
        <v>1555</v>
      </c>
      <c r="L1955" t="s">
        <v>4308</v>
      </c>
      <c r="M1955">
        <v>15</v>
      </c>
      <c r="N1955" t="str">
        <f>VLOOKUP(M1955,[1]LOJA!$A:$B,2,0)</f>
        <v>UNAÍ</v>
      </c>
      <c r="O1955">
        <v>143</v>
      </c>
      <c r="P1955" t="str">
        <f>VLOOKUP(O1955,[1]OPERADORES!$A:$B,2,0)</f>
        <v>MARIA THAINARA L. DA SILVA</v>
      </c>
      <c r="Q1955">
        <v>26</v>
      </c>
      <c r="R1955">
        <v>1000004756</v>
      </c>
      <c r="S1955" t="s">
        <v>4309</v>
      </c>
      <c r="T1955" s="1">
        <v>44498</v>
      </c>
      <c r="U1955" s="2">
        <v>1287.7</v>
      </c>
      <c r="V1955" s="2">
        <v>1287.7</v>
      </c>
    </row>
    <row r="1956" spans="1:22" x14ac:dyDescent="0.3">
      <c r="A1956" t="s">
        <v>4306</v>
      </c>
      <c r="B1956" t="s">
        <v>4307</v>
      </c>
      <c r="C1956" t="s">
        <v>4266</v>
      </c>
      <c r="D1956" t="s">
        <v>6026</v>
      </c>
      <c r="E1956" t="s">
        <v>15</v>
      </c>
      <c r="J1956" s="1">
        <v>44529</v>
      </c>
      <c r="K1956">
        <v>1555</v>
      </c>
      <c r="L1956" t="s">
        <v>4310</v>
      </c>
      <c r="M1956">
        <v>15</v>
      </c>
      <c r="N1956" t="str">
        <f>VLOOKUP(M1956,[1]LOJA!$A:$B,2,0)</f>
        <v>UNAÍ</v>
      </c>
      <c r="O1956">
        <v>143</v>
      </c>
      <c r="P1956" t="str">
        <f>VLOOKUP(O1956,[1]OPERADORES!$A:$B,2,0)</f>
        <v>MARIA THAINARA L. DA SILVA</v>
      </c>
      <c r="Q1956">
        <v>26</v>
      </c>
      <c r="R1956">
        <v>1000004761</v>
      </c>
      <c r="S1956" t="s">
        <v>4311</v>
      </c>
      <c r="T1956" s="1">
        <v>44498</v>
      </c>
      <c r="U1956">
        <v>271.63</v>
      </c>
      <c r="V1956">
        <v>271.63</v>
      </c>
    </row>
    <row r="1957" spans="1:22" x14ac:dyDescent="0.3">
      <c r="A1957" t="s">
        <v>4306</v>
      </c>
      <c r="B1957" t="s">
        <v>4307</v>
      </c>
      <c r="C1957" t="s">
        <v>4266</v>
      </c>
      <c r="D1957" t="s">
        <v>6026</v>
      </c>
      <c r="E1957" t="s">
        <v>15</v>
      </c>
      <c r="J1957" s="1">
        <v>44560</v>
      </c>
      <c r="K1957">
        <v>1524</v>
      </c>
      <c r="L1957" t="s">
        <v>4312</v>
      </c>
      <c r="M1957">
        <v>15</v>
      </c>
      <c r="N1957" t="str">
        <f>VLOOKUP(M1957,[1]LOJA!$A:$B,2,0)</f>
        <v>UNAÍ</v>
      </c>
      <c r="O1957">
        <v>143</v>
      </c>
      <c r="P1957" t="str">
        <f>VLOOKUP(O1957,[1]OPERADORES!$A:$B,2,0)</f>
        <v>MARIA THAINARA L. DA SILVA</v>
      </c>
      <c r="Q1957">
        <v>26</v>
      </c>
      <c r="R1957">
        <v>1000005007</v>
      </c>
      <c r="S1957" t="s">
        <v>4313</v>
      </c>
      <c r="T1957" s="1">
        <v>44530</v>
      </c>
      <c r="U1957">
        <v>414.5</v>
      </c>
      <c r="V1957">
        <v>414.5</v>
      </c>
    </row>
    <row r="1958" spans="1:22" x14ac:dyDescent="0.3">
      <c r="A1958" t="s">
        <v>4306</v>
      </c>
      <c r="B1958" t="s">
        <v>4307</v>
      </c>
      <c r="C1958" t="s">
        <v>4266</v>
      </c>
      <c r="D1958" t="s">
        <v>6026</v>
      </c>
      <c r="E1958" t="s">
        <v>15</v>
      </c>
      <c r="J1958" s="1">
        <v>44560</v>
      </c>
      <c r="K1958">
        <v>1524</v>
      </c>
      <c r="L1958" t="s">
        <v>4314</v>
      </c>
      <c r="M1958">
        <v>15</v>
      </c>
      <c r="N1958" t="str">
        <f>VLOOKUP(M1958,[1]LOJA!$A:$B,2,0)</f>
        <v>UNAÍ</v>
      </c>
      <c r="O1958">
        <v>143</v>
      </c>
      <c r="P1958" t="str">
        <f>VLOOKUP(O1958,[1]OPERADORES!$A:$B,2,0)</f>
        <v>MARIA THAINARA L. DA SILVA</v>
      </c>
      <c r="Q1958">
        <v>26</v>
      </c>
      <c r="R1958">
        <v>1000005008</v>
      </c>
      <c r="S1958" t="s">
        <v>4315</v>
      </c>
      <c r="T1958" s="1">
        <v>44530</v>
      </c>
      <c r="U1958">
        <v>708.17</v>
      </c>
      <c r="V1958">
        <v>708.17</v>
      </c>
    </row>
    <row r="1959" spans="1:22" x14ac:dyDescent="0.3">
      <c r="A1959" t="s">
        <v>4306</v>
      </c>
      <c r="B1959" t="s">
        <v>4307</v>
      </c>
      <c r="C1959" t="s">
        <v>4266</v>
      </c>
      <c r="D1959" t="s">
        <v>6026</v>
      </c>
      <c r="E1959" t="s">
        <v>15</v>
      </c>
      <c r="J1959" s="1">
        <v>44568</v>
      </c>
      <c r="K1959">
        <v>1516</v>
      </c>
      <c r="L1959" t="s">
        <v>4316</v>
      </c>
      <c r="M1959">
        <v>15</v>
      </c>
      <c r="N1959" t="str">
        <f>VLOOKUP(M1959,[1]LOJA!$A:$B,2,0)</f>
        <v>UNAÍ</v>
      </c>
      <c r="O1959">
        <v>143</v>
      </c>
      <c r="P1959" t="str">
        <f>VLOOKUP(O1959,[1]OPERADORES!$A:$B,2,0)</f>
        <v>MARIA THAINARA L. DA SILVA</v>
      </c>
      <c r="Q1959">
        <v>26</v>
      </c>
      <c r="R1959">
        <v>1000005157</v>
      </c>
      <c r="S1959" t="s">
        <v>4317</v>
      </c>
      <c r="T1959" s="1">
        <v>44537</v>
      </c>
      <c r="U1959" s="2">
        <v>1394.34</v>
      </c>
      <c r="V1959" s="2">
        <v>1394.34</v>
      </c>
    </row>
    <row r="1960" spans="1:22" x14ac:dyDescent="0.3">
      <c r="A1960" t="s">
        <v>4306</v>
      </c>
      <c r="B1960" t="s">
        <v>4307</v>
      </c>
      <c r="C1960" t="s">
        <v>4266</v>
      </c>
      <c r="D1960" t="s">
        <v>6026</v>
      </c>
      <c r="E1960" t="s">
        <v>15</v>
      </c>
      <c r="J1960" s="1">
        <v>44576</v>
      </c>
      <c r="K1960">
        <v>1508</v>
      </c>
      <c r="L1960" t="s">
        <v>4318</v>
      </c>
      <c r="M1960">
        <v>15</v>
      </c>
      <c r="N1960" t="str">
        <f>VLOOKUP(M1960,[1]LOJA!$A:$B,2,0)</f>
        <v>UNAÍ</v>
      </c>
      <c r="O1960">
        <v>143</v>
      </c>
      <c r="P1960" t="str">
        <f>VLOOKUP(O1960,[1]OPERADORES!$A:$B,2,0)</f>
        <v>MARIA THAINARA L. DA SILVA</v>
      </c>
      <c r="Q1960">
        <v>26</v>
      </c>
      <c r="R1960">
        <v>1000005180</v>
      </c>
      <c r="S1960" t="s">
        <v>4319</v>
      </c>
      <c r="T1960" s="1">
        <v>44545</v>
      </c>
      <c r="U1960">
        <v>708.24</v>
      </c>
      <c r="V1960">
        <v>708.24</v>
      </c>
    </row>
    <row r="1961" spans="1:22" x14ac:dyDescent="0.3">
      <c r="A1961" t="s">
        <v>4306</v>
      </c>
      <c r="B1961" t="s">
        <v>4307</v>
      </c>
      <c r="C1961" t="s">
        <v>4266</v>
      </c>
      <c r="D1961" t="s">
        <v>6026</v>
      </c>
      <c r="E1961" t="s">
        <v>15</v>
      </c>
      <c r="J1961" s="1">
        <v>44576</v>
      </c>
      <c r="K1961">
        <v>1508</v>
      </c>
      <c r="L1961" t="s">
        <v>4320</v>
      </c>
      <c r="M1961">
        <v>15</v>
      </c>
      <c r="N1961" t="str">
        <f>VLOOKUP(M1961,[1]LOJA!$A:$B,2,0)</f>
        <v>UNAÍ</v>
      </c>
      <c r="O1961">
        <v>143</v>
      </c>
      <c r="P1961" t="str">
        <f>VLOOKUP(O1961,[1]OPERADORES!$A:$B,2,0)</f>
        <v>MARIA THAINARA L. DA SILVA</v>
      </c>
      <c r="Q1961">
        <v>26</v>
      </c>
      <c r="R1961">
        <v>1000005179</v>
      </c>
      <c r="S1961" t="s">
        <v>4321</v>
      </c>
      <c r="T1961" s="1">
        <v>44545</v>
      </c>
      <c r="U1961">
        <v>367.46</v>
      </c>
      <c r="V1961">
        <v>367.46</v>
      </c>
    </row>
    <row r="1962" spans="1:22" x14ac:dyDescent="0.3">
      <c r="A1962" t="s">
        <v>4306</v>
      </c>
      <c r="B1962" t="s">
        <v>4307</v>
      </c>
      <c r="C1962" t="s">
        <v>4266</v>
      </c>
      <c r="D1962" t="s">
        <v>6026</v>
      </c>
      <c r="E1962" t="s">
        <v>15</v>
      </c>
      <c r="J1962" s="1">
        <v>44576</v>
      </c>
      <c r="K1962">
        <v>1508</v>
      </c>
      <c r="L1962" t="s">
        <v>4322</v>
      </c>
      <c r="M1962">
        <v>15</v>
      </c>
      <c r="N1962" t="str">
        <f>VLOOKUP(M1962,[1]LOJA!$A:$B,2,0)</f>
        <v>UNAÍ</v>
      </c>
      <c r="O1962">
        <v>143</v>
      </c>
      <c r="P1962" t="str">
        <f>VLOOKUP(O1962,[1]OPERADORES!$A:$B,2,0)</f>
        <v>MARIA THAINARA L. DA SILVA</v>
      </c>
      <c r="Q1962">
        <v>26</v>
      </c>
      <c r="R1962">
        <v>1000005182</v>
      </c>
      <c r="S1962" t="s">
        <v>4323</v>
      </c>
      <c r="T1962" s="1">
        <v>44545</v>
      </c>
      <c r="U1962" s="2">
        <v>2953.02</v>
      </c>
      <c r="V1962" s="2">
        <v>2953.02</v>
      </c>
    </row>
    <row r="1963" spans="1:22" x14ac:dyDescent="0.3">
      <c r="A1963" t="s">
        <v>4306</v>
      </c>
      <c r="B1963" t="s">
        <v>4307</v>
      </c>
      <c r="C1963" t="s">
        <v>4266</v>
      </c>
      <c r="D1963" t="s">
        <v>6026</v>
      </c>
      <c r="E1963" t="s">
        <v>15</v>
      </c>
      <c r="J1963" s="1">
        <v>44576</v>
      </c>
      <c r="K1963">
        <v>1508</v>
      </c>
      <c r="L1963" t="s">
        <v>4324</v>
      </c>
      <c r="M1963">
        <v>15</v>
      </c>
      <c r="N1963" t="str">
        <f>VLOOKUP(M1963,[1]LOJA!$A:$B,2,0)</f>
        <v>UNAÍ</v>
      </c>
      <c r="O1963">
        <v>143</v>
      </c>
      <c r="P1963" t="str">
        <f>VLOOKUP(O1963,[1]OPERADORES!$A:$B,2,0)</f>
        <v>MARIA THAINARA L. DA SILVA</v>
      </c>
      <c r="Q1963">
        <v>26</v>
      </c>
      <c r="R1963">
        <v>1000005181</v>
      </c>
      <c r="S1963" t="s">
        <v>4325</v>
      </c>
      <c r="T1963" s="1">
        <v>44545</v>
      </c>
      <c r="U1963">
        <v>798.68</v>
      </c>
      <c r="V1963">
        <v>798.68</v>
      </c>
    </row>
    <row r="1964" spans="1:22" x14ac:dyDescent="0.3">
      <c r="A1964" t="s">
        <v>4306</v>
      </c>
      <c r="B1964" t="s">
        <v>4307</v>
      </c>
      <c r="C1964" t="s">
        <v>4266</v>
      </c>
      <c r="D1964" t="s">
        <v>6026</v>
      </c>
      <c r="E1964" t="s">
        <v>15</v>
      </c>
      <c r="J1964" s="1">
        <v>44578</v>
      </c>
      <c r="K1964">
        <v>1506</v>
      </c>
      <c r="L1964" t="s">
        <v>4326</v>
      </c>
      <c r="M1964">
        <v>15</v>
      </c>
      <c r="N1964" t="str">
        <f>VLOOKUP(M1964,[1]LOJA!$A:$B,2,0)</f>
        <v>UNAÍ</v>
      </c>
      <c r="O1964">
        <v>143</v>
      </c>
      <c r="P1964" t="str">
        <f>VLOOKUP(O1964,[1]OPERADORES!$A:$B,2,0)</f>
        <v>MARIA THAINARA L. DA SILVA</v>
      </c>
      <c r="Q1964">
        <v>26</v>
      </c>
      <c r="R1964">
        <v>1000005186</v>
      </c>
      <c r="T1964" s="1">
        <v>44546</v>
      </c>
      <c r="U1964" s="2">
        <v>2651.32</v>
      </c>
      <c r="V1964" s="2">
        <v>2651.32</v>
      </c>
    </row>
    <row r="1965" spans="1:22" x14ac:dyDescent="0.3">
      <c r="A1965" t="s">
        <v>4306</v>
      </c>
      <c r="B1965" t="s">
        <v>4307</v>
      </c>
      <c r="C1965" t="s">
        <v>4266</v>
      </c>
      <c r="D1965" t="s">
        <v>6026</v>
      </c>
      <c r="E1965" t="s">
        <v>15</v>
      </c>
      <c r="J1965" s="1">
        <v>44579</v>
      </c>
      <c r="K1965">
        <v>1505</v>
      </c>
      <c r="L1965" t="s">
        <v>4327</v>
      </c>
      <c r="M1965">
        <v>15</v>
      </c>
      <c r="N1965" t="str">
        <f>VLOOKUP(M1965,[1]LOJA!$A:$B,2,0)</f>
        <v>UNAÍ</v>
      </c>
      <c r="O1965">
        <v>143</v>
      </c>
      <c r="P1965" t="str">
        <f>VLOOKUP(O1965,[1]OPERADORES!$A:$B,2,0)</f>
        <v>MARIA THAINARA L. DA SILVA</v>
      </c>
      <c r="Q1965">
        <v>26</v>
      </c>
      <c r="R1965">
        <v>1000005191</v>
      </c>
      <c r="S1965" t="s">
        <v>4328</v>
      </c>
      <c r="T1965" s="1">
        <v>44548</v>
      </c>
      <c r="U1965" s="2">
        <v>1365.13</v>
      </c>
      <c r="V1965" s="2">
        <v>1365.13</v>
      </c>
    </row>
    <row r="1966" spans="1:22" x14ac:dyDescent="0.3">
      <c r="A1966" t="s">
        <v>4306</v>
      </c>
      <c r="B1966" t="s">
        <v>4307</v>
      </c>
      <c r="C1966" t="s">
        <v>4266</v>
      </c>
      <c r="D1966" t="s">
        <v>6026</v>
      </c>
      <c r="E1966" t="s">
        <v>15</v>
      </c>
      <c r="J1966" s="1">
        <v>44579</v>
      </c>
      <c r="K1966">
        <v>1505</v>
      </c>
      <c r="L1966" t="s">
        <v>4329</v>
      </c>
      <c r="M1966">
        <v>15</v>
      </c>
      <c r="N1966" t="str">
        <f>VLOOKUP(M1966,[1]LOJA!$A:$B,2,0)</f>
        <v>UNAÍ</v>
      </c>
      <c r="O1966">
        <v>143</v>
      </c>
      <c r="P1966" t="str">
        <f>VLOOKUP(O1966,[1]OPERADORES!$A:$B,2,0)</f>
        <v>MARIA THAINARA L. DA SILVA</v>
      </c>
      <c r="Q1966">
        <v>26</v>
      </c>
      <c r="R1966">
        <v>1000005192</v>
      </c>
      <c r="S1966" t="s">
        <v>4330</v>
      </c>
      <c r="T1966" s="1">
        <v>44548</v>
      </c>
      <c r="U1966">
        <v>718.59</v>
      </c>
      <c r="V1966">
        <v>718.59</v>
      </c>
    </row>
    <row r="1967" spans="1:22" x14ac:dyDescent="0.3">
      <c r="A1967" t="s">
        <v>4306</v>
      </c>
      <c r="B1967" t="s">
        <v>4307</v>
      </c>
      <c r="C1967" t="s">
        <v>4266</v>
      </c>
      <c r="D1967" t="s">
        <v>6026</v>
      </c>
      <c r="E1967" t="s">
        <v>15</v>
      </c>
      <c r="J1967" s="1">
        <v>44579</v>
      </c>
      <c r="K1967">
        <v>1505</v>
      </c>
      <c r="L1967" t="s">
        <v>4331</v>
      </c>
      <c r="M1967">
        <v>15</v>
      </c>
      <c r="N1967" t="str">
        <f>VLOOKUP(M1967,[1]LOJA!$A:$B,2,0)</f>
        <v>UNAÍ</v>
      </c>
      <c r="O1967">
        <v>143</v>
      </c>
      <c r="P1967" t="str">
        <f>VLOOKUP(O1967,[1]OPERADORES!$A:$B,2,0)</f>
        <v>MARIA THAINARA L. DA SILVA</v>
      </c>
      <c r="Q1967">
        <v>26</v>
      </c>
      <c r="R1967">
        <v>1000005193</v>
      </c>
      <c r="S1967" t="s">
        <v>4332</v>
      </c>
      <c r="T1967" s="1">
        <v>44548</v>
      </c>
      <c r="U1967">
        <v>91.28</v>
      </c>
      <c r="V1967">
        <v>91.28</v>
      </c>
    </row>
    <row r="1968" spans="1:22" x14ac:dyDescent="0.3">
      <c r="A1968" t="s">
        <v>4306</v>
      </c>
      <c r="B1968" t="s">
        <v>4307</v>
      </c>
      <c r="C1968" t="s">
        <v>4266</v>
      </c>
      <c r="D1968" t="s">
        <v>6026</v>
      </c>
      <c r="E1968" t="s">
        <v>15</v>
      </c>
      <c r="J1968" s="1">
        <v>45252</v>
      </c>
      <c r="K1968">
        <v>832</v>
      </c>
      <c r="L1968" t="s">
        <v>4333</v>
      </c>
      <c r="M1968">
        <v>20</v>
      </c>
      <c r="N1968" t="str">
        <f>VLOOKUP(M1968,[1]LOJA!$A:$B,2,0)</f>
        <v>DAUTO SERVIÇOS</v>
      </c>
      <c r="O1968">
        <v>183</v>
      </c>
      <c r="P1968" t="str">
        <f>VLOOKUP(O1968,[1]OPERADORES!$A:$B,2,0)</f>
        <v>NADINE DE OLIVEIRA MORAIS</v>
      </c>
      <c r="Q1968">
        <v>17</v>
      </c>
      <c r="R1968">
        <v>5013</v>
      </c>
      <c r="S1968" t="s">
        <v>87</v>
      </c>
      <c r="T1968" s="1">
        <v>45222</v>
      </c>
      <c r="U1968" s="2">
        <v>1496.22</v>
      </c>
      <c r="V1968" s="2">
        <v>1496.22</v>
      </c>
    </row>
    <row r="1969" spans="1:22" x14ac:dyDescent="0.3">
      <c r="A1969" t="s">
        <v>4306</v>
      </c>
      <c r="B1969" t="s">
        <v>4307</v>
      </c>
      <c r="C1969" t="s">
        <v>4266</v>
      </c>
      <c r="D1969" t="s">
        <v>6026</v>
      </c>
      <c r="E1969" t="s">
        <v>15</v>
      </c>
      <c r="J1969" s="1">
        <v>45273</v>
      </c>
      <c r="K1969">
        <v>811</v>
      </c>
      <c r="L1969" t="s">
        <v>4334</v>
      </c>
      <c r="M1969">
        <v>20</v>
      </c>
      <c r="N1969" t="str">
        <f>VLOOKUP(M1969,[1]LOJA!$A:$B,2,0)</f>
        <v>DAUTO SERVIÇOS</v>
      </c>
      <c r="O1969">
        <v>183</v>
      </c>
      <c r="P1969" t="str">
        <f>VLOOKUP(O1969,[1]OPERADORES!$A:$B,2,0)</f>
        <v>NADINE DE OLIVEIRA MORAIS</v>
      </c>
      <c r="Q1969">
        <v>17</v>
      </c>
      <c r="R1969">
        <v>5302</v>
      </c>
      <c r="S1969" t="s">
        <v>87</v>
      </c>
      <c r="T1969" s="1">
        <v>45243</v>
      </c>
      <c r="U1969" s="2">
        <v>1532.66</v>
      </c>
      <c r="V1969" s="2">
        <v>1532.66</v>
      </c>
    </row>
    <row r="1970" spans="1:22" x14ac:dyDescent="0.3">
      <c r="A1970" t="s">
        <v>4306</v>
      </c>
      <c r="B1970" t="s">
        <v>4307</v>
      </c>
      <c r="C1970" t="s">
        <v>4266</v>
      </c>
      <c r="D1970" t="s">
        <v>6026</v>
      </c>
      <c r="E1970" t="s">
        <v>15</v>
      </c>
      <c r="J1970" s="1">
        <v>45318</v>
      </c>
      <c r="K1970">
        <v>766</v>
      </c>
      <c r="L1970" t="s">
        <v>4335</v>
      </c>
      <c r="M1970">
        <v>20</v>
      </c>
      <c r="N1970" t="str">
        <f>VLOOKUP(M1970,[1]LOJA!$A:$B,2,0)</f>
        <v>DAUTO SERVIÇOS</v>
      </c>
      <c r="O1970">
        <v>183</v>
      </c>
      <c r="P1970" t="str">
        <f>VLOOKUP(O1970,[1]OPERADORES!$A:$B,2,0)</f>
        <v>NADINE DE OLIVEIRA MORAIS</v>
      </c>
      <c r="Q1970">
        <v>17</v>
      </c>
      <c r="R1970">
        <v>6698</v>
      </c>
      <c r="S1970" t="s">
        <v>87</v>
      </c>
      <c r="T1970" s="1">
        <v>45288</v>
      </c>
      <c r="U1970">
        <v>620.12</v>
      </c>
      <c r="V1970">
        <v>620.12</v>
      </c>
    </row>
    <row r="1971" spans="1:22" x14ac:dyDescent="0.3">
      <c r="A1971" t="s">
        <v>4306</v>
      </c>
      <c r="B1971" t="s">
        <v>4307</v>
      </c>
      <c r="C1971" t="s">
        <v>4266</v>
      </c>
      <c r="D1971" t="s">
        <v>6026</v>
      </c>
      <c r="E1971" t="s">
        <v>15</v>
      </c>
      <c r="J1971" s="1">
        <v>45430</v>
      </c>
      <c r="K1971">
        <v>654</v>
      </c>
      <c r="L1971" t="s">
        <v>4336</v>
      </c>
      <c r="M1971">
        <v>20</v>
      </c>
      <c r="N1971" t="str">
        <f>VLOOKUP(M1971,[1]LOJA!$A:$B,2,0)</f>
        <v>DAUTO SERVIÇOS</v>
      </c>
      <c r="O1971">
        <v>183</v>
      </c>
      <c r="P1971" t="str">
        <f>VLOOKUP(O1971,[1]OPERADORES!$A:$B,2,0)</f>
        <v>NADINE DE OLIVEIRA MORAIS</v>
      </c>
      <c r="Q1971">
        <v>17</v>
      </c>
      <c r="R1971">
        <v>9353</v>
      </c>
      <c r="S1971" t="s">
        <v>87</v>
      </c>
      <c r="T1971" s="1">
        <v>45400</v>
      </c>
      <c r="U1971" s="2">
        <v>1264.3</v>
      </c>
      <c r="V1971" s="2">
        <v>1264.3</v>
      </c>
    </row>
    <row r="1972" spans="1:22" x14ac:dyDescent="0.3">
      <c r="A1972" t="s">
        <v>4306</v>
      </c>
      <c r="B1972" t="s">
        <v>4307</v>
      </c>
      <c r="C1972" t="s">
        <v>4266</v>
      </c>
      <c r="D1972" t="s">
        <v>6026</v>
      </c>
      <c r="E1972" t="s">
        <v>15</v>
      </c>
      <c r="J1972" s="1">
        <v>45438</v>
      </c>
      <c r="K1972">
        <v>646</v>
      </c>
      <c r="L1972" t="s">
        <v>4337</v>
      </c>
      <c r="M1972">
        <v>20</v>
      </c>
      <c r="N1972" t="str">
        <f>VLOOKUP(M1972,[1]LOJA!$A:$B,2,0)</f>
        <v>DAUTO SERVIÇOS</v>
      </c>
      <c r="O1972">
        <v>183</v>
      </c>
      <c r="P1972" t="str">
        <f>VLOOKUP(O1972,[1]OPERADORES!$A:$B,2,0)</f>
        <v>NADINE DE OLIVEIRA MORAIS</v>
      </c>
      <c r="Q1972">
        <v>17</v>
      </c>
      <c r="R1972">
        <v>9577</v>
      </c>
      <c r="S1972" t="s">
        <v>87</v>
      </c>
      <c r="T1972" s="1">
        <v>45408</v>
      </c>
      <c r="U1972" s="2">
        <v>1144.5</v>
      </c>
      <c r="V1972" s="2">
        <v>1144.5</v>
      </c>
    </row>
    <row r="1973" spans="1:22" x14ac:dyDescent="0.3">
      <c r="A1973" t="s">
        <v>4306</v>
      </c>
      <c r="B1973" t="s">
        <v>4307</v>
      </c>
      <c r="C1973" t="s">
        <v>4266</v>
      </c>
      <c r="D1973" t="s">
        <v>6026</v>
      </c>
      <c r="E1973" t="s">
        <v>15</v>
      </c>
      <c r="J1973" s="1">
        <v>45501</v>
      </c>
      <c r="K1973">
        <v>583</v>
      </c>
      <c r="L1973" t="s">
        <v>4338</v>
      </c>
      <c r="M1973">
        <v>20</v>
      </c>
      <c r="N1973" t="str">
        <f>VLOOKUP(M1973,[1]LOJA!$A:$B,2,0)</f>
        <v>DAUTO SERVIÇOS</v>
      </c>
      <c r="O1973">
        <v>183</v>
      </c>
      <c r="P1973" t="str">
        <f>VLOOKUP(O1973,[1]OPERADORES!$A:$B,2,0)</f>
        <v>NADINE DE OLIVEIRA MORAIS</v>
      </c>
      <c r="Q1973">
        <v>17</v>
      </c>
      <c r="R1973">
        <v>11516</v>
      </c>
      <c r="S1973" t="s">
        <v>87</v>
      </c>
      <c r="T1973" s="1">
        <v>45471</v>
      </c>
      <c r="U1973" s="2">
        <v>1345.15</v>
      </c>
      <c r="V1973" s="2">
        <v>1345.15</v>
      </c>
    </row>
    <row r="1974" spans="1:22" x14ac:dyDescent="0.3">
      <c r="A1974" t="s">
        <v>4306</v>
      </c>
      <c r="B1974" t="s">
        <v>4307</v>
      </c>
      <c r="C1974" t="s">
        <v>4266</v>
      </c>
      <c r="D1974" t="s">
        <v>6026</v>
      </c>
      <c r="E1974" t="s">
        <v>15</v>
      </c>
      <c r="J1974" s="1">
        <v>45654</v>
      </c>
      <c r="K1974">
        <v>430</v>
      </c>
      <c r="L1974" t="s">
        <v>4339</v>
      </c>
      <c r="M1974">
        <v>20</v>
      </c>
      <c r="N1974" t="str">
        <f>VLOOKUP(M1974,[1]LOJA!$A:$B,2,0)</f>
        <v>DAUTO SERVIÇOS</v>
      </c>
      <c r="O1974">
        <v>232</v>
      </c>
      <c r="P1974" t="str">
        <f>VLOOKUP(O1974,[1]OPERADORES!$A:$B,2,0)</f>
        <v>JESSICA GUIMARÃES</v>
      </c>
      <c r="Q1974">
        <v>17</v>
      </c>
      <c r="R1974">
        <v>15640</v>
      </c>
      <c r="S1974" t="s">
        <v>87</v>
      </c>
      <c r="T1974" s="1">
        <v>45624</v>
      </c>
      <c r="U1974" s="2">
        <v>1876.64</v>
      </c>
      <c r="V1974" s="2">
        <v>1876.64</v>
      </c>
    </row>
    <row r="1975" spans="1:22" x14ac:dyDescent="0.3">
      <c r="A1975" t="s">
        <v>4306</v>
      </c>
      <c r="B1975" t="s">
        <v>4307</v>
      </c>
      <c r="C1975" t="s">
        <v>4266</v>
      </c>
      <c r="D1975" t="s">
        <v>6026</v>
      </c>
      <c r="E1975" t="s">
        <v>15</v>
      </c>
      <c r="J1975" s="1">
        <v>45746</v>
      </c>
      <c r="K1975">
        <v>338</v>
      </c>
      <c r="L1975" t="s">
        <v>4340</v>
      </c>
      <c r="M1975">
        <v>20</v>
      </c>
      <c r="N1975" t="str">
        <f>VLOOKUP(M1975,[1]LOJA!$A:$B,2,0)</f>
        <v>DAUTO SERVIÇOS</v>
      </c>
      <c r="O1975">
        <v>232</v>
      </c>
      <c r="P1975" t="str">
        <f>VLOOKUP(O1975,[1]OPERADORES!$A:$B,2,0)</f>
        <v>JESSICA GUIMARÃES</v>
      </c>
      <c r="Q1975">
        <v>17</v>
      </c>
      <c r="R1975">
        <v>17828</v>
      </c>
      <c r="S1975" t="s">
        <v>87</v>
      </c>
      <c r="T1975" s="1">
        <v>45716</v>
      </c>
      <c r="U1975" s="2">
        <v>2073.64</v>
      </c>
      <c r="V1975" s="2">
        <v>2073.64</v>
      </c>
    </row>
    <row r="1976" spans="1:22" x14ac:dyDescent="0.3">
      <c r="A1976" t="s">
        <v>4306</v>
      </c>
      <c r="B1976" t="s">
        <v>4307</v>
      </c>
      <c r="C1976" t="s">
        <v>4266</v>
      </c>
      <c r="D1976" t="s">
        <v>6026</v>
      </c>
      <c r="E1976" t="s">
        <v>15</v>
      </c>
      <c r="J1976" s="1">
        <v>45746</v>
      </c>
      <c r="K1976">
        <v>338</v>
      </c>
      <c r="L1976" t="s">
        <v>4341</v>
      </c>
      <c r="M1976">
        <v>20</v>
      </c>
      <c r="N1976" t="str">
        <f>VLOOKUP(M1976,[1]LOJA!$A:$B,2,0)</f>
        <v>DAUTO SERVIÇOS</v>
      </c>
      <c r="O1976">
        <v>232</v>
      </c>
      <c r="P1976" t="str">
        <f>VLOOKUP(O1976,[1]OPERADORES!$A:$B,2,0)</f>
        <v>JESSICA GUIMARÃES</v>
      </c>
      <c r="Q1976">
        <v>17</v>
      </c>
      <c r="R1976">
        <v>17836</v>
      </c>
      <c r="S1976" t="s">
        <v>87</v>
      </c>
      <c r="T1976" s="1">
        <v>45716</v>
      </c>
      <c r="U1976" s="2">
        <v>1121.48</v>
      </c>
      <c r="V1976" s="2">
        <v>1121.48</v>
      </c>
    </row>
    <row r="1977" spans="1:22" x14ac:dyDescent="0.3">
      <c r="A1977" t="s">
        <v>4306</v>
      </c>
      <c r="B1977" t="s">
        <v>4307</v>
      </c>
      <c r="C1977" t="s">
        <v>4266</v>
      </c>
      <c r="D1977" t="s">
        <v>6026</v>
      </c>
      <c r="E1977" t="s">
        <v>15</v>
      </c>
      <c r="J1977" s="1">
        <v>45772</v>
      </c>
      <c r="K1977">
        <v>312</v>
      </c>
      <c r="L1977" t="s">
        <v>4342</v>
      </c>
      <c r="M1977">
        <v>20</v>
      </c>
      <c r="N1977" t="str">
        <f>VLOOKUP(M1977,[1]LOJA!$A:$B,2,0)</f>
        <v>DAUTO SERVIÇOS</v>
      </c>
      <c r="O1977">
        <v>232</v>
      </c>
      <c r="P1977" t="str">
        <f>VLOOKUP(O1977,[1]OPERADORES!$A:$B,2,0)</f>
        <v>JESSICA GUIMARÃES</v>
      </c>
      <c r="Q1977">
        <v>17</v>
      </c>
      <c r="R1977">
        <v>18479</v>
      </c>
      <c r="S1977" t="s">
        <v>87</v>
      </c>
      <c r="T1977" s="1">
        <v>45742</v>
      </c>
      <c r="U1977">
        <v>750</v>
      </c>
      <c r="V1977">
        <v>750</v>
      </c>
    </row>
    <row r="1978" spans="1:22" x14ac:dyDescent="0.3">
      <c r="A1978" t="s">
        <v>4306</v>
      </c>
      <c r="B1978" t="s">
        <v>4307</v>
      </c>
      <c r="C1978" t="s">
        <v>4266</v>
      </c>
      <c r="D1978" t="s">
        <v>6026</v>
      </c>
      <c r="E1978" t="s">
        <v>15</v>
      </c>
      <c r="J1978" s="1">
        <v>45978</v>
      </c>
      <c r="K1978">
        <v>106</v>
      </c>
      <c r="L1978" t="s">
        <v>4343</v>
      </c>
      <c r="M1978">
        <v>20</v>
      </c>
      <c r="N1978" t="str">
        <f>VLOOKUP(M1978,[1]LOJA!$A:$B,2,0)</f>
        <v>DAUTO SERVIÇOS</v>
      </c>
      <c r="O1978">
        <v>183</v>
      </c>
      <c r="P1978" t="str">
        <f>VLOOKUP(O1978,[1]OPERADORES!$A:$B,2,0)</f>
        <v>NADINE DE OLIVEIRA MORAIS</v>
      </c>
      <c r="Q1978">
        <v>17</v>
      </c>
      <c r="R1978">
        <v>23636</v>
      </c>
      <c r="S1978" t="s">
        <v>87</v>
      </c>
      <c r="T1978" s="1">
        <v>45948</v>
      </c>
      <c r="U1978" s="2">
        <v>1305</v>
      </c>
      <c r="V1978" s="2">
        <v>1305</v>
      </c>
    </row>
    <row r="1979" spans="1:22" x14ac:dyDescent="0.3">
      <c r="A1979" t="s">
        <v>4306</v>
      </c>
      <c r="B1979" t="s">
        <v>4307</v>
      </c>
      <c r="C1979" t="s">
        <v>4266</v>
      </c>
      <c r="D1979" t="s">
        <v>6026</v>
      </c>
      <c r="E1979" t="s">
        <v>15</v>
      </c>
      <c r="J1979" s="1">
        <v>45982</v>
      </c>
      <c r="K1979">
        <v>102</v>
      </c>
      <c r="L1979" t="s">
        <v>4344</v>
      </c>
      <c r="M1979">
        <v>20</v>
      </c>
      <c r="N1979" t="str">
        <f>VLOOKUP(M1979,[1]LOJA!$A:$B,2,0)</f>
        <v>DAUTO SERVIÇOS</v>
      </c>
      <c r="O1979">
        <v>183</v>
      </c>
      <c r="P1979" t="str">
        <f>VLOOKUP(O1979,[1]OPERADORES!$A:$B,2,0)</f>
        <v>NADINE DE OLIVEIRA MORAIS</v>
      </c>
      <c r="Q1979">
        <v>17</v>
      </c>
      <c r="R1979">
        <v>23776</v>
      </c>
      <c r="S1979" t="s">
        <v>87</v>
      </c>
      <c r="T1979" s="1">
        <v>45952</v>
      </c>
      <c r="U1979" s="2">
        <v>2314.4</v>
      </c>
      <c r="V1979" s="2">
        <v>2314.4</v>
      </c>
    </row>
    <row r="1980" spans="1:22" x14ac:dyDescent="0.3">
      <c r="A1980" t="s">
        <v>4306</v>
      </c>
      <c r="B1980" t="s">
        <v>4307</v>
      </c>
      <c r="C1980" t="s">
        <v>4266</v>
      </c>
      <c r="D1980" t="s">
        <v>6026</v>
      </c>
      <c r="E1980" t="s">
        <v>15</v>
      </c>
      <c r="J1980" s="1">
        <v>46073</v>
      </c>
      <c r="K1980">
        <v>11</v>
      </c>
      <c r="L1980" t="s">
        <v>6027</v>
      </c>
      <c r="M1980">
        <v>20</v>
      </c>
      <c r="N1980" t="str">
        <f>VLOOKUP(M1980,[1]LOJA!$A:$B,2,0)</f>
        <v>DAUTO SERVIÇOS</v>
      </c>
      <c r="O1980">
        <v>232</v>
      </c>
      <c r="P1980" t="str">
        <f>VLOOKUP(O1980,[1]OPERADORES!$A:$B,2,0)</f>
        <v>JESSICA GUIMARÃES</v>
      </c>
      <c r="Q1980">
        <v>17</v>
      </c>
      <c r="R1980">
        <v>25607</v>
      </c>
      <c r="S1980" t="s">
        <v>87</v>
      </c>
      <c r="T1980" s="1">
        <v>46043</v>
      </c>
      <c r="U1980" s="2">
        <v>1828.93</v>
      </c>
      <c r="V1980" s="2">
        <v>1828.93</v>
      </c>
    </row>
    <row r="1981" spans="1:22" x14ac:dyDescent="0.3">
      <c r="A1981" t="s">
        <v>4345</v>
      </c>
      <c r="B1981" t="s">
        <v>4346</v>
      </c>
      <c r="C1981" t="s">
        <v>13</v>
      </c>
      <c r="D1981" t="s">
        <v>6028</v>
      </c>
      <c r="E1981" t="s">
        <v>15</v>
      </c>
      <c r="J1981" s="1">
        <v>45915</v>
      </c>
      <c r="K1981">
        <v>169</v>
      </c>
      <c r="L1981" t="s">
        <v>4347</v>
      </c>
      <c r="M1981">
        <v>22</v>
      </c>
      <c r="N1981" t="str">
        <f>VLOOKUP(M1981,[1]LOJA!$A:$B,2,0)</f>
        <v>GUARÁ</v>
      </c>
      <c r="O1981">
        <v>238</v>
      </c>
      <c r="P1981" t="str">
        <f>VLOOKUP(O1981,[1]OPERADORES!$A:$B,2,0)</f>
        <v>BIANCA</v>
      </c>
      <c r="Q1981">
        <v>4</v>
      </c>
      <c r="S1981" t="s">
        <v>6029</v>
      </c>
      <c r="T1981" s="1">
        <v>45915</v>
      </c>
      <c r="U1981">
        <v>-715.59</v>
      </c>
      <c r="V1981">
        <v>-715.59</v>
      </c>
    </row>
    <row r="1982" spans="1:22" x14ac:dyDescent="0.3">
      <c r="A1982" t="s">
        <v>4348</v>
      </c>
      <c r="B1982" t="s">
        <v>4349</v>
      </c>
      <c r="C1982" t="s">
        <v>43</v>
      </c>
      <c r="D1982" t="s">
        <v>4350</v>
      </c>
      <c r="E1982" t="s">
        <v>15</v>
      </c>
      <c r="J1982" s="1">
        <v>44503</v>
      </c>
      <c r="K1982">
        <v>1581</v>
      </c>
      <c r="L1982" t="s">
        <v>4351</v>
      </c>
      <c r="M1982">
        <v>9</v>
      </c>
      <c r="N1982" t="str">
        <f>VLOOKUP(M1982,[1]LOJA!$A:$B,2,0)</f>
        <v>ÚNICA</v>
      </c>
      <c r="O1982">
        <v>84</v>
      </c>
      <c r="P1982" t="str">
        <f>VLOOKUP(O1982,[1]OPERADORES!$A:$B,2,0)</f>
        <v>JEICY AZEVEDO</v>
      </c>
      <c r="Q1982">
        <v>4</v>
      </c>
      <c r="S1982" t="s">
        <v>4352</v>
      </c>
      <c r="T1982" s="1">
        <v>44503</v>
      </c>
      <c r="U1982">
        <v>-7</v>
      </c>
      <c r="V1982">
        <v>-7</v>
      </c>
    </row>
    <row r="1983" spans="1:22" x14ac:dyDescent="0.3">
      <c r="A1983" t="s">
        <v>4353</v>
      </c>
      <c r="B1983" t="s">
        <v>4354</v>
      </c>
      <c r="C1983" t="s">
        <v>43</v>
      </c>
      <c r="D1983" t="s">
        <v>4355</v>
      </c>
      <c r="E1983" t="s">
        <v>15</v>
      </c>
      <c r="J1983" s="1">
        <v>44923</v>
      </c>
      <c r="K1983">
        <v>1161</v>
      </c>
      <c r="L1983" t="s">
        <v>4356</v>
      </c>
      <c r="M1983">
        <v>16</v>
      </c>
      <c r="N1983" t="str">
        <f>VLOOKUP(M1983,[1]LOJA!$A:$B,2,0)</f>
        <v>AG LINDAS</v>
      </c>
      <c r="O1983">
        <v>174</v>
      </c>
      <c r="P1983" t="str">
        <f>VLOOKUP(O1983,[1]OPERADORES!$A:$B,2,0)</f>
        <v>MIRIÃ LOBATO RODRIGUES</v>
      </c>
      <c r="Q1983">
        <v>4</v>
      </c>
      <c r="S1983" t="s">
        <v>4357</v>
      </c>
      <c r="T1983" s="1">
        <v>44923</v>
      </c>
      <c r="U1983">
        <v>-0.01</v>
      </c>
      <c r="V1983">
        <v>-0.01</v>
      </c>
    </row>
    <row r="1984" spans="1:22" x14ac:dyDescent="0.3">
      <c r="A1984" t="s">
        <v>4353</v>
      </c>
      <c r="B1984" t="s">
        <v>4354</v>
      </c>
      <c r="C1984" t="s">
        <v>43</v>
      </c>
      <c r="D1984" t="s">
        <v>4355</v>
      </c>
      <c r="E1984" t="s">
        <v>15</v>
      </c>
      <c r="J1984" s="1">
        <v>44983</v>
      </c>
      <c r="K1984">
        <v>1101</v>
      </c>
      <c r="L1984" t="s">
        <v>4358</v>
      </c>
      <c r="M1984">
        <v>16</v>
      </c>
      <c r="N1984" t="str">
        <f>VLOOKUP(M1984,[1]LOJA!$A:$B,2,0)</f>
        <v>AG LINDAS</v>
      </c>
      <c r="O1984">
        <v>20</v>
      </c>
      <c r="P1984" t="str">
        <f>VLOOKUP(O1984,[1]OPERADORES!$A:$B,2,0)</f>
        <v>MAYARA</v>
      </c>
      <c r="Q1984">
        <v>22</v>
      </c>
      <c r="R1984">
        <v>1000008601</v>
      </c>
      <c r="S1984" t="s">
        <v>4359</v>
      </c>
      <c r="T1984" s="1">
        <v>44923</v>
      </c>
      <c r="U1984">
        <v>250</v>
      </c>
      <c r="V1984">
        <v>250</v>
      </c>
    </row>
    <row r="1985" spans="1:22" x14ac:dyDescent="0.3">
      <c r="A1985" t="s">
        <v>4353</v>
      </c>
      <c r="B1985" t="s">
        <v>4354</v>
      </c>
      <c r="C1985" t="s">
        <v>43</v>
      </c>
      <c r="D1985" t="s">
        <v>4355</v>
      </c>
      <c r="E1985" t="s">
        <v>15</v>
      </c>
      <c r="J1985" s="1">
        <v>44987</v>
      </c>
      <c r="K1985">
        <v>1097</v>
      </c>
      <c r="L1985" t="s">
        <v>4360</v>
      </c>
      <c r="M1985">
        <v>16</v>
      </c>
      <c r="N1985" t="str">
        <f>VLOOKUP(M1985,[1]LOJA!$A:$B,2,0)</f>
        <v>AG LINDAS</v>
      </c>
      <c r="O1985">
        <v>126</v>
      </c>
      <c r="P1985" t="str">
        <f>VLOOKUP(O1985,[1]OPERADORES!$A:$B,2,0)</f>
        <v>CESAR OLIVIEIRA DE ARAUJO</v>
      </c>
      <c r="Q1985">
        <v>22</v>
      </c>
      <c r="R1985">
        <v>1000008925</v>
      </c>
      <c r="S1985" t="s">
        <v>972</v>
      </c>
      <c r="T1985" s="1">
        <v>44957</v>
      </c>
      <c r="U1985">
        <v>505.95</v>
      </c>
      <c r="V1985">
        <v>505.95</v>
      </c>
    </row>
    <row r="1986" spans="1:22" x14ac:dyDescent="0.3">
      <c r="A1986" t="s">
        <v>4353</v>
      </c>
      <c r="B1986" t="s">
        <v>4354</v>
      </c>
      <c r="C1986" t="s">
        <v>43</v>
      </c>
      <c r="D1986" t="s">
        <v>4355</v>
      </c>
      <c r="E1986" t="s">
        <v>15</v>
      </c>
      <c r="J1986" s="1">
        <v>44990</v>
      </c>
      <c r="K1986">
        <v>1094</v>
      </c>
      <c r="L1986" t="s">
        <v>4361</v>
      </c>
      <c r="M1986">
        <v>16</v>
      </c>
      <c r="N1986" t="str">
        <f>VLOOKUP(M1986,[1]LOJA!$A:$B,2,0)</f>
        <v>AG LINDAS</v>
      </c>
      <c r="O1986">
        <v>126</v>
      </c>
      <c r="P1986" t="str">
        <f>VLOOKUP(O1986,[1]OPERADORES!$A:$B,2,0)</f>
        <v>CESAR OLIVIEIRA DE ARAUJO</v>
      </c>
      <c r="Q1986">
        <v>22</v>
      </c>
      <c r="R1986">
        <v>1000008844</v>
      </c>
      <c r="S1986" t="s">
        <v>976</v>
      </c>
      <c r="T1986" s="1">
        <v>44945</v>
      </c>
      <c r="U1986">
        <v>342.99</v>
      </c>
      <c r="V1986">
        <v>342.99</v>
      </c>
    </row>
    <row r="1987" spans="1:22" x14ac:dyDescent="0.3">
      <c r="A1987" t="s">
        <v>4353</v>
      </c>
      <c r="B1987" t="s">
        <v>4354</v>
      </c>
      <c r="C1987" t="s">
        <v>43</v>
      </c>
      <c r="D1987" t="s">
        <v>4355</v>
      </c>
      <c r="E1987" t="s">
        <v>15</v>
      </c>
      <c r="J1987" s="1">
        <v>45002</v>
      </c>
      <c r="K1987">
        <v>1082</v>
      </c>
      <c r="L1987" t="s">
        <v>4362</v>
      </c>
      <c r="M1987">
        <v>16</v>
      </c>
      <c r="N1987" t="str">
        <f>VLOOKUP(M1987,[1]LOJA!$A:$B,2,0)</f>
        <v>AG LINDAS</v>
      </c>
      <c r="O1987">
        <v>126</v>
      </c>
      <c r="P1987" t="str">
        <f>VLOOKUP(O1987,[1]OPERADORES!$A:$B,2,0)</f>
        <v>CESAR OLIVIEIRA DE ARAUJO</v>
      </c>
      <c r="Q1987">
        <v>22</v>
      </c>
      <c r="R1987">
        <v>1000008926</v>
      </c>
      <c r="S1987" t="s">
        <v>976</v>
      </c>
      <c r="T1987" s="1">
        <v>44957</v>
      </c>
      <c r="U1987">
        <v>505.95</v>
      </c>
      <c r="V1987">
        <v>505.95</v>
      </c>
    </row>
    <row r="1988" spans="1:22" x14ac:dyDescent="0.3">
      <c r="A1988" t="s">
        <v>4353</v>
      </c>
      <c r="B1988" t="s">
        <v>4354</v>
      </c>
      <c r="C1988" t="s">
        <v>43</v>
      </c>
      <c r="D1988" t="s">
        <v>4355</v>
      </c>
      <c r="E1988" t="s">
        <v>15</v>
      </c>
      <c r="J1988" s="1">
        <v>45005</v>
      </c>
      <c r="K1988">
        <v>1079</v>
      </c>
      <c r="L1988" t="s">
        <v>4363</v>
      </c>
      <c r="M1988">
        <v>16</v>
      </c>
      <c r="N1988" t="str">
        <f>VLOOKUP(M1988,[1]LOJA!$A:$B,2,0)</f>
        <v>AG LINDAS</v>
      </c>
      <c r="O1988">
        <v>126</v>
      </c>
      <c r="P1988" t="str">
        <f>VLOOKUP(O1988,[1]OPERADORES!$A:$B,2,0)</f>
        <v>CESAR OLIVIEIRA DE ARAUJO</v>
      </c>
      <c r="Q1988">
        <v>22</v>
      </c>
      <c r="R1988">
        <v>1000008845</v>
      </c>
      <c r="S1988" t="s">
        <v>780</v>
      </c>
      <c r="T1988" s="1">
        <v>44945</v>
      </c>
      <c r="U1988">
        <v>342.98</v>
      </c>
      <c r="V1988">
        <v>342.98</v>
      </c>
    </row>
    <row r="1989" spans="1:22" x14ac:dyDescent="0.3">
      <c r="A1989" t="s">
        <v>4353</v>
      </c>
      <c r="B1989" t="s">
        <v>4354</v>
      </c>
      <c r="C1989" t="s">
        <v>43</v>
      </c>
      <c r="D1989" t="s">
        <v>4355</v>
      </c>
      <c r="E1989" t="s">
        <v>15</v>
      </c>
      <c r="J1989" s="1">
        <v>45017</v>
      </c>
      <c r="K1989">
        <v>1067</v>
      </c>
      <c r="L1989" t="s">
        <v>4364</v>
      </c>
      <c r="M1989">
        <v>16</v>
      </c>
      <c r="N1989" t="str">
        <f>VLOOKUP(M1989,[1]LOJA!$A:$B,2,0)</f>
        <v>AG LINDAS</v>
      </c>
      <c r="O1989">
        <v>126</v>
      </c>
      <c r="P1989" t="str">
        <f>VLOOKUP(O1989,[1]OPERADORES!$A:$B,2,0)</f>
        <v>CESAR OLIVIEIRA DE ARAUJO</v>
      </c>
      <c r="Q1989">
        <v>22</v>
      </c>
      <c r="R1989">
        <v>1000008927</v>
      </c>
      <c r="S1989" t="s">
        <v>780</v>
      </c>
      <c r="T1989" s="1">
        <v>44957</v>
      </c>
      <c r="U1989">
        <v>505.94</v>
      </c>
      <c r="V1989">
        <v>505.94</v>
      </c>
    </row>
    <row r="1990" spans="1:22" x14ac:dyDescent="0.3">
      <c r="A1990" t="s">
        <v>4365</v>
      </c>
      <c r="B1990" t="s">
        <v>4366</v>
      </c>
      <c r="C1990" t="s">
        <v>207</v>
      </c>
      <c r="D1990" t="s">
        <v>280</v>
      </c>
      <c r="E1990" t="s">
        <v>15</v>
      </c>
      <c r="J1990" s="1">
        <v>45289</v>
      </c>
      <c r="K1990">
        <v>795</v>
      </c>
      <c r="L1990" t="s">
        <v>4367</v>
      </c>
      <c r="M1990">
        <v>1</v>
      </c>
      <c r="N1990" t="str">
        <f>VLOOKUP(M1990,[1]LOJA!$A:$B,2,0)</f>
        <v>GUARÁ</v>
      </c>
      <c r="O1990">
        <v>206</v>
      </c>
      <c r="P1990" t="str">
        <f>VLOOKUP(O1990,[1]OPERADORES!$A:$B,2,0)</f>
        <v>LAURA LISBOA</v>
      </c>
      <c r="Q1990">
        <v>4</v>
      </c>
      <c r="S1990" t="s">
        <v>4368</v>
      </c>
      <c r="T1990" s="1">
        <v>45289</v>
      </c>
      <c r="U1990">
        <v>-1</v>
      </c>
      <c r="V1990">
        <v>-1</v>
      </c>
    </row>
    <row r="1991" spans="1:22" x14ac:dyDescent="0.3">
      <c r="A1991" t="s">
        <v>6030</v>
      </c>
      <c r="B1991" t="s">
        <v>24</v>
      </c>
      <c r="C1991" t="s">
        <v>13</v>
      </c>
      <c r="D1991" t="s">
        <v>6031</v>
      </c>
      <c r="E1991" t="s">
        <v>15</v>
      </c>
      <c r="J1991" s="1">
        <v>46084</v>
      </c>
      <c r="K1991">
        <v>0</v>
      </c>
      <c r="L1991" t="s">
        <v>6032</v>
      </c>
      <c r="M1991">
        <v>9</v>
      </c>
      <c r="N1991" t="str">
        <f>VLOOKUP(M1991,[1]LOJA!$A:$B,2,0)</f>
        <v>ÚNICA</v>
      </c>
      <c r="O1991">
        <v>236</v>
      </c>
      <c r="P1991" t="str">
        <f>VLOOKUP(O1991,[1]OPERADORES!$A:$B,2,0)</f>
        <v>DANIEL</v>
      </c>
      <c r="Q1991">
        <v>7</v>
      </c>
      <c r="S1991" t="s">
        <v>87</v>
      </c>
      <c r="T1991" s="1">
        <v>46083</v>
      </c>
      <c r="U1991">
        <v>34.6</v>
      </c>
      <c r="V1991">
        <v>34.6</v>
      </c>
    </row>
    <row r="1992" spans="1:22" x14ac:dyDescent="0.3">
      <c r="A1992" t="s">
        <v>4369</v>
      </c>
      <c r="B1992" t="s">
        <v>4370</v>
      </c>
      <c r="C1992" t="s">
        <v>13</v>
      </c>
      <c r="D1992" t="s">
        <v>4371</v>
      </c>
      <c r="E1992" t="s">
        <v>15</v>
      </c>
      <c r="J1992" s="1">
        <v>45087</v>
      </c>
      <c r="K1992">
        <v>997</v>
      </c>
      <c r="L1992" t="s">
        <v>4372</v>
      </c>
      <c r="M1992">
        <v>1</v>
      </c>
      <c r="N1992" t="str">
        <f>VLOOKUP(M1992,[1]LOJA!$A:$B,2,0)</f>
        <v>GUARÁ</v>
      </c>
      <c r="O1992">
        <v>93</v>
      </c>
      <c r="P1992" t="str">
        <f>VLOOKUP(O1992,[1]OPERADORES!$A:$B,2,0)</f>
        <v>PATRICIA</v>
      </c>
      <c r="Q1992">
        <v>4</v>
      </c>
      <c r="S1992" t="s">
        <v>4373</v>
      </c>
      <c r="T1992" s="1">
        <v>45087</v>
      </c>
      <c r="U1992">
        <v>-3.89</v>
      </c>
      <c r="V1992">
        <v>-3.89</v>
      </c>
    </row>
    <row r="1993" spans="1:22" x14ac:dyDescent="0.3">
      <c r="A1993" t="s">
        <v>4374</v>
      </c>
      <c r="B1993" t="s">
        <v>4375</v>
      </c>
      <c r="C1993" t="s">
        <v>691</v>
      </c>
      <c r="D1993" t="s">
        <v>137</v>
      </c>
      <c r="E1993" t="s">
        <v>15</v>
      </c>
      <c r="J1993" s="1">
        <v>45325</v>
      </c>
      <c r="K1993">
        <v>759</v>
      </c>
      <c r="L1993" t="s">
        <v>2457</v>
      </c>
      <c r="M1993">
        <v>14</v>
      </c>
      <c r="N1993" t="str">
        <f>VLOOKUP(M1993,[1]LOJA!$A:$B,2,0)</f>
        <v>S IA</v>
      </c>
      <c r="O1993">
        <v>207</v>
      </c>
      <c r="P1993" t="str">
        <f>VLOOKUP(O1993,[1]OPERADORES!$A:$B,2,0)</f>
        <v>KETILE SABRINE</v>
      </c>
      <c r="Q1993">
        <v>4</v>
      </c>
      <c r="S1993" t="s">
        <v>4376</v>
      </c>
      <c r="T1993" s="1">
        <v>45325</v>
      </c>
      <c r="U1993">
        <v>-0.1</v>
      </c>
      <c r="V1993">
        <v>-0.1</v>
      </c>
    </row>
    <row r="1994" spans="1:22" x14ac:dyDescent="0.3">
      <c r="A1994" t="s">
        <v>4377</v>
      </c>
      <c r="B1994" t="s">
        <v>32</v>
      </c>
      <c r="C1994" t="s">
        <v>700</v>
      </c>
      <c r="D1994" t="s">
        <v>6033</v>
      </c>
      <c r="E1994" t="s">
        <v>15</v>
      </c>
      <c r="J1994" s="1">
        <v>46076</v>
      </c>
      <c r="K1994">
        <v>8</v>
      </c>
      <c r="L1994" t="s">
        <v>6034</v>
      </c>
      <c r="M1994">
        <v>9</v>
      </c>
      <c r="N1994" t="str">
        <f>VLOOKUP(M1994,[1]LOJA!$A:$B,2,0)</f>
        <v>ÚNICA</v>
      </c>
      <c r="O1994">
        <v>230</v>
      </c>
      <c r="P1994" t="str">
        <f>VLOOKUP(O1994,[1]OPERADORES!$A:$B,2,0)</f>
        <v>SÔNIA</v>
      </c>
      <c r="Q1994">
        <v>23</v>
      </c>
      <c r="R1994">
        <v>204531</v>
      </c>
      <c r="S1994" t="s">
        <v>976</v>
      </c>
      <c r="T1994" s="1">
        <v>45986</v>
      </c>
      <c r="U1994">
        <v>779.13</v>
      </c>
      <c r="V1994">
        <v>779.13</v>
      </c>
    </row>
    <row r="1995" spans="1:22" x14ac:dyDescent="0.3">
      <c r="A1995" t="s">
        <v>4378</v>
      </c>
      <c r="B1995" t="s">
        <v>4379</v>
      </c>
      <c r="C1995" t="s">
        <v>13</v>
      </c>
      <c r="D1995" t="s">
        <v>1271</v>
      </c>
      <c r="E1995" t="s">
        <v>15</v>
      </c>
      <c r="J1995" s="1">
        <v>44985</v>
      </c>
      <c r="K1995">
        <v>1099</v>
      </c>
      <c r="L1995" t="s">
        <v>4380</v>
      </c>
      <c r="M1995">
        <v>1</v>
      </c>
      <c r="N1995" t="str">
        <f>VLOOKUP(M1995,[1]LOJA!$A:$B,2,0)</f>
        <v>GUARÁ</v>
      </c>
      <c r="O1995">
        <v>28</v>
      </c>
      <c r="P1995" t="str">
        <f>VLOOKUP(O1995,[1]OPERADORES!$A:$B,2,0)</f>
        <v>GABRIELA</v>
      </c>
      <c r="Q1995">
        <v>4</v>
      </c>
      <c r="S1995" t="s">
        <v>4381</v>
      </c>
      <c r="T1995" s="1">
        <v>44985</v>
      </c>
      <c r="U1995">
        <v>-0.18</v>
      </c>
      <c r="V1995">
        <v>-0.18</v>
      </c>
    </row>
    <row r="1996" spans="1:22" x14ac:dyDescent="0.3">
      <c r="A1996" t="s">
        <v>4382</v>
      </c>
      <c r="B1996" t="s">
        <v>32</v>
      </c>
      <c r="C1996" t="s">
        <v>319</v>
      </c>
      <c r="D1996" t="s">
        <v>6035</v>
      </c>
      <c r="E1996" t="s">
        <v>15</v>
      </c>
      <c r="J1996" s="1">
        <v>44585</v>
      </c>
      <c r="K1996">
        <v>1499</v>
      </c>
      <c r="L1996" t="s">
        <v>2909</v>
      </c>
      <c r="M1996">
        <v>8</v>
      </c>
      <c r="N1996" t="str">
        <f>VLOOKUP(M1996,[1]LOJA!$A:$B,2,0)</f>
        <v>LUZIÂNIA</v>
      </c>
      <c r="O1996">
        <v>84</v>
      </c>
      <c r="P1996" t="str">
        <f>VLOOKUP(O1996,[1]OPERADORES!$A:$B,2,0)</f>
        <v>JEICY AZEVEDO</v>
      </c>
      <c r="Q1996">
        <v>16</v>
      </c>
      <c r="S1996" t="s">
        <v>4383</v>
      </c>
      <c r="T1996" s="1">
        <v>44585</v>
      </c>
      <c r="U1996">
        <v>-344.9</v>
      </c>
      <c r="V1996">
        <v>-344.9</v>
      </c>
    </row>
    <row r="1997" spans="1:22" x14ac:dyDescent="0.3">
      <c r="A1997" t="s">
        <v>4384</v>
      </c>
      <c r="B1997" t="s">
        <v>4385</v>
      </c>
      <c r="C1997" t="s">
        <v>13</v>
      </c>
      <c r="D1997" t="s">
        <v>4386</v>
      </c>
      <c r="E1997" t="s">
        <v>15</v>
      </c>
      <c r="J1997" s="1">
        <v>44659</v>
      </c>
      <c r="K1997">
        <v>1425</v>
      </c>
      <c r="L1997" t="s">
        <v>4387</v>
      </c>
      <c r="M1997">
        <v>9</v>
      </c>
      <c r="N1997" t="str">
        <f>VLOOKUP(M1997,[1]LOJA!$A:$B,2,0)</f>
        <v>ÚNICA</v>
      </c>
      <c r="O1997">
        <v>143</v>
      </c>
      <c r="P1997" t="str">
        <f>VLOOKUP(O1997,[1]OPERADORES!$A:$B,2,0)</f>
        <v>MARIA THAINARA L. DA SILVA</v>
      </c>
      <c r="Q1997">
        <v>4</v>
      </c>
      <c r="S1997" t="s">
        <v>110</v>
      </c>
      <c r="T1997" s="1">
        <v>44659</v>
      </c>
      <c r="U1997">
        <v>-0.88</v>
      </c>
      <c r="V1997">
        <v>-0.88</v>
      </c>
    </row>
    <row r="1998" spans="1:22" x14ac:dyDescent="0.3">
      <c r="A1998" t="s">
        <v>4388</v>
      </c>
      <c r="B1998" t="s">
        <v>4389</v>
      </c>
      <c r="C1998" t="s">
        <v>691</v>
      </c>
      <c r="D1998" t="s">
        <v>4390</v>
      </c>
      <c r="E1998" t="s">
        <v>15</v>
      </c>
      <c r="J1998" s="1">
        <v>46055</v>
      </c>
      <c r="K1998">
        <v>29</v>
      </c>
      <c r="L1998" t="s">
        <v>4391</v>
      </c>
      <c r="M1998">
        <v>6</v>
      </c>
      <c r="N1998" t="str">
        <f>VLOOKUP(M1998,[1]LOJA!$A:$B,2,0)</f>
        <v>GAMA</v>
      </c>
      <c r="O1998">
        <v>246</v>
      </c>
      <c r="P1998" t="str">
        <f>VLOOKUP(O1998,[1]OPERADORES!$A:$B,2,0)</f>
        <v>VITORIA APARECIDA</v>
      </c>
      <c r="Q1998">
        <v>4</v>
      </c>
      <c r="S1998" t="s">
        <v>4392</v>
      </c>
      <c r="T1998" s="1">
        <v>46055</v>
      </c>
      <c r="U1998">
        <v>-1.75</v>
      </c>
      <c r="V1998">
        <v>-1.75</v>
      </c>
    </row>
    <row r="1999" spans="1:22" x14ac:dyDescent="0.3">
      <c r="A1999" t="s">
        <v>4393</v>
      </c>
      <c r="B1999" t="s">
        <v>4394</v>
      </c>
      <c r="C1999" t="s">
        <v>30</v>
      </c>
      <c r="D1999" t="s">
        <v>835</v>
      </c>
      <c r="E1999" t="s">
        <v>15</v>
      </c>
      <c r="J1999" s="1">
        <v>45087</v>
      </c>
      <c r="K1999">
        <v>997</v>
      </c>
      <c r="L1999" t="s">
        <v>4395</v>
      </c>
      <c r="M1999">
        <v>13</v>
      </c>
      <c r="N1999" t="str">
        <f>VLOOKUP(M1999,[1]LOJA!$A:$B,2,0)</f>
        <v>CEILÂNDIA</v>
      </c>
      <c r="O1999">
        <v>143</v>
      </c>
      <c r="P1999" t="str">
        <f>VLOOKUP(O1999,[1]OPERADORES!$A:$B,2,0)</f>
        <v>MARIA THAINARA L. DA SILVA</v>
      </c>
      <c r="Q1999">
        <v>27</v>
      </c>
      <c r="R1999">
        <v>1000009912</v>
      </c>
      <c r="S1999" t="s">
        <v>4396</v>
      </c>
      <c r="T1999" s="1">
        <v>45062</v>
      </c>
      <c r="U1999" s="2">
        <v>2218.5300000000002</v>
      </c>
      <c r="V1999" s="2">
        <v>2218.5300000000002</v>
      </c>
    </row>
    <row r="2000" spans="1:22" x14ac:dyDescent="0.3">
      <c r="A2000" t="s">
        <v>4393</v>
      </c>
      <c r="B2000" t="s">
        <v>4394</v>
      </c>
      <c r="C2000" t="s">
        <v>30</v>
      </c>
      <c r="D2000" t="s">
        <v>835</v>
      </c>
      <c r="E2000" t="s">
        <v>15</v>
      </c>
      <c r="J2000" s="1">
        <v>45089</v>
      </c>
      <c r="K2000">
        <v>995</v>
      </c>
      <c r="L2000" t="s">
        <v>4397</v>
      </c>
      <c r="M2000">
        <v>13</v>
      </c>
      <c r="N2000" t="str">
        <f>VLOOKUP(M2000,[1]LOJA!$A:$B,2,0)</f>
        <v>CEILÂNDIA</v>
      </c>
      <c r="O2000">
        <v>143</v>
      </c>
      <c r="P2000" t="str">
        <f>VLOOKUP(O2000,[1]OPERADORES!$A:$B,2,0)</f>
        <v>MARIA THAINARA L. DA SILVA</v>
      </c>
      <c r="Q2000">
        <v>12</v>
      </c>
      <c r="S2000" t="s">
        <v>4398</v>
      </c>
      <c r="T2000" s="1">
        <v>45083</v>
      </c>
      <c r="U2000" s="2">
        <v>1770.88</v>
      </c>
      <c r="V2000" s="2">
        <v>1770.88</v>
      </c>
    </row>
    <row r="2001" spans="1:22" x14ac:dyDescent="0.3">
      <c r="A2001" t="s">
        <v>4393</v>
      </c>
      <c r="B2001" t="s">
        <v>4394</v>
      </c>
      <c r="C2001" t="s">
        <v>30</v>
      </c>
      <c r="D2001" t="s">
        <v>835</v>
      </c>
      <c r="E2001" t="s">
        <v>15</v>
      </c>
      <c r="J2001" s="1">
        <v>45093</v>
      </c>
      <c r="K2001">
        <v>991</v>
      </c>
      <c r="L2001" t="s">
        <v>4399</v>
      </c>
      <c r="M2001">
        <v>13</v>
      </c>
      <c r="N2001" t="str">
        <f>VLOOKUP(M2001,[1]LOJA!$A:$B,2,0)</f>
        <v>CEILÂNDIA</v>
      </c>
      <c r="O2001">
        <v>143</v>
      </c>
      <c r="P2001" t="str">
        <f>VLOOKUP(O2001,[1]OPERADORES!$A:$B,2,0)</f>
        <v>MARIA THAINARA L. DA SILVA</v>
      </c>
      <c r="Q2001">
        <v>27</v>
      </c>
      <c r="R2001">
        <v>1000009910</v>
      </c>
      <c r="S2001" t="s">
        <v>4400</v>
      </c>
      <c r="T2001" s="1">
        <v>45062</v>
      </c>
      <c r="U2001">
        <v>796.43</v>
      </c>
      <c r="V2001">
        <v>796.43</v>
      </c>
    </row>
    <row r="2002" spans="1:22" x14ac:dyDescent="0.3">
      <c r="A2002" t="s">
        <v>6036</v>
      </c>
      <c r="B2002" t="s">
        <v>6037</v>
      </c>
      <c r="C2002" t="s">
        <v>43</v>
      </c>
      <c r="D2002" t="s">
        <v>6038</v>
      </c>
      <c r="E2002" t="s">
        <v>15</v>
      </c>
      <c r="J2002" s="1">
        <v>46068</v>
      </c>
      <c r="K2002">
        <v>16</v>
      </c>
      <c r="L2002" t="s">
        <v>6039</v>
      </c>
      <c r="M2002">
        <v>13</v>
      </c>
      <c r="N2002" t="str">
        <f>VLOOKUP(M2002,[1]LOJA!$A:$B,2,0)</f>
        <v>CEILÂNDIA</v>
      </c>
      <c r="O2002">
        <v>33</v>
      </c>
      <c r="P2002" t="str">
        <f>VLOOKUP(O2002,[1]OPERADORES!$A:$B,2,0)</f>
        <v>PAULINHO</v>
      </c>
      <c r="Q2002">
        <v>7</v>
      </c>
      <c r="S2002" t="s">
        <v>87</v>
      </c>
      <c r="T2002" s="1">
        <v>46056</v>
      </c>
      <c r="U2002">
        <v>255.2</v>
      </c>
      <c r="V2002">
        <v>255.2</v>
      </c>
    </row>
    <row r="2003" spans="1:22" x14ac:dyDescent="0.3">
      <c r="A2003" t="s">
        <v>6036</v>
      </c>
      <c r="B2003" t="s">
        <v>6037</v>
      </c>
      <c r="C2003" t="s">
        <v>43</v>
      </c>
      <c r="D2003" t="s">
        <v>6038</v>
      </c>
      <c r="E2003" t="s">
        <v>15</v>
      </c>
      <c r="J2003" s="1">
        <v>46068</v>
      </c>
      <c r="K2003">
        <v>16</v>
      </c>
      <c r="L2003" t="s">
        <v>6040</v>
      </c>
      <c r="M2003">
        <v>13</v>
      </c>
      <c r="N2003" t="str">
        <f>VLOOKUP(M2003,[1]LOJA!$A:$B,2,0)</f>
        <v>CEILÂNDIA</v>
      </c>
      <c r="O2003">
        <v>86</v>
      </c>
      <c r="P2003" t="str">
        <f>VLOOKUP(O2003,[1]OPERADORES!$A:$B,2,0)</f>
        <v>AMANDA</v>
      </c>
      <c r="Q2003">
        <v>7</v>
      </c>
      <c r="S2003" t="s">
        <v>87</v>
      </c>
      <c r="T2003" s="1">
        <v>46066</v>
      </c>
      <c r="U2003">
        <v>255.2</v>
      </c>
      <c r="V2003">
        <v>255.2</v>
      </c>
    </row>
    <row r="2004" spans="1:22" x14ac:dyDescent="0.3">
      <c r="A2004" t="s">
        <v>4401</v>
      </c>
      <c r="B2004" t="s">
        <v>4402</v>
      </c>
      <c r="C2004" t="s">
        <v>13</v>
      </c>
      <c r="D2004" t="s">
        <v>4403</v>
      </c>
      <c r="E2004" t="s">
        <v>15</v>
      </c>
      <c r="J2004" s="1">
        <v>45125</v>
      </c>
      <c r="K2004">
        <v>959</v>
      </c>
      <c r="L2004" t="s">
        <v>4404</v>
      </c>
      <c r="M2004">
        <v>14</v>
      </c>
      <c r="N2004" t="str">
        <f>VLOOKUP(M2004,[1]LOJA!$A:$B,2,0)</f>
        <v>S IA</v>
      </c>
      <c r="O2004">
        <v>16</v>
      </c>
      <c r="P2004" t="str">
        <f>VLOOKUP(O2004,[1]OPERADORES!$A:$B,2,0)</f>
        <v>AYSLAN</v>
      </c>
      <c r="Q2004">
        <v>4</v>
      </c>
      <c r="S2004" t="s">
        <v>87</v>
      </c>
      <c r="T2004" s="1">
        <v>45125</v>
      </c>
      <c r="U2004">
        <v>84.9</v>
      </c>
      <c r="V2004">
        <v>84.9</v>
      </c>
    </row>
    <row r="2005" spans="1:22" x14ac:dyDescent="0.3">
      <c r="A2005" t="s">
        <v>4405</v>
      </c>
      <c r="B2005" t="s">
        <v>4406</v>
      </c>
      <c r="C2005" t="s">
        <v>13</v>
      </c>
      <c r="D2005" t="s">
        <v>4407</v>
      </c>
      <c r="E2005" t="s">
        <v>15</v>
      </c>
      <c r="J2005" s="1">
        <v>45390</v>
      </c>
      <c r="K2005">
        <v>694</v>
      </c>
      <c r="L2005" t="s">
        <v>4408</v>
      </c>
      <c r="M2005">
        <v>4</v>
      </c>
      <c r="N2005" t="str">
        <f>VLOOKUP(M2005,[1]LOJA!$A:$B,2,0)</f>
        <v>ADE</v>
      </c>
      <c r="O2005">
        <v>132</v>
      </c>
      <c r="P2005" t="str">
        <f>VLOOKUP(O2005,[1]OPERADORES!$A:$B,2,0)</f>
        <v>PAMELA GONÇALVES ROSA</v>
      </c>
      <c r="Q2005">
        <v>4</v>
      </c>
      <c r="S2005" t="s">
        <v>4409</v>
      </c>
      <c r="T2005" s="1">
        <v>45390</v>
      </c>
      <c r="U2005">
        <v>-3</v>
      </c>
      <c r="V2005">
        <v>-3</v>
      </c>
    </row>
    <row r="2006" spans="1:22" x14ac:dyDescent="0.3">
      <c r="A2006" t="s">
        <v>4405</v>
      </c>
      <c r="B2006" t="s">
        <v>4406</v>
      </c>
      <c r="C2006" t="s">
        <v>13</v>
      </c>
      <c r="D2006" t="s">
        <v>4407</v>
      </c>
      <c r="E2006" t="s">
        <v>15</v>
      </c>
      <c r="J2006" s="1">
        <v>45518</v>
      </c>
      <c r="K2006">
        <v>566</v>
      </c>
      <c r="L2006" t="s">
        <v>4410</v>
      </c>
      <c r="M2006">
        <v>4</v>
      </c>
      <c r="N2006" t="str">
        <f>VLOOKUP(M2006,[1]LOJA!$A:$B,2,0)</f>
        <v>ADE</v>
      </c>
      <c r="O2006">
        <v>226</v>
      </c>
      <c r="P2006" t="str">
        <f>VLOOKUP(O2006,[1]OPERADORES!$A:$B,2,0)</f>
        <v>MARIA FÉLIX</v>
      </c>
      <c r="Q2006">
        <v>4</v>
      </c>
      <c r="S2006" t="s">
        <v>4411</v>
      </c>
      <c r="T2006" s="1">
        <v>45518</v>
      </c>
      <c r="U2006">
        <v>-7.0000000000000007E-2</v>
      </c>
      <c r="V2006">
        <v>-7.0000000000000007E-2</v>
      </c>
    </row>
    <row r="2007" spans="1:22" x14ac:dyDescent="0.3">
      <c r="A2007" t="s">
        <v>4412</v>
      </c>
      <c r="B2007" t="s">
        <v>32</v>
      </c>
      <c r="C2007" t="s">
        <v>30</v>
      </c>
      <c r="D2007" t="s">
        <v>6041</v>
      </c>
      <c r="E2007" t="s">
        <v>15</v>
      </c>
      <c r="J2007" s="1">
        <v>46081</v>
      </c>
      <c r="K2007">
        <v>3</v>
      </c>
      <c r="L2007" t="s">
        <v>6042</v>
      </c>
      <c r="M2007">
        <v>16</v>
      </c>
      <c r="N2007" t="str">
        <f>VLOOKUP(M2007,[1]LOJA!$A:$B,2,0)</f>
        <v>AG LINDAS</v>
      </c>
      <c r="O2007">
        <v>107</v>
      </c>
      <c r="P2007" t="str">
        <f>VLOOKUP(O2007,[1]OPERADORES!$A:$B,2,0)</f>
        <v>DAIANA PORTELA</v>
      </c>
      <c r="Q2007">
        <v>7</v>
      </c>
      <c r="S2007" t="s">
        <v>4413</v>
      </c>
      <c r="T2007" s="1">
        <v>46081</v>
      </c>
      <c r="U2007">
        <v>-134.4</v>
      </c>
      <c r="V2007">
        <v>-134.4</v>
      </c>
    </row>
    <row r="2008" spans="1:22" x14ac:dyDescent="0.3">
      <c r="A2008" t="s">
        <v>4414</v>
      </c>
      <c r="B2008" t="s">
        <v>232</v>
      </c>
      <c r="C2008" t="s">
        <v>13</v>
      </c>
      <c r="D2008" t="s">
        <v>243</v>
      </c>
      <c r="E2008" t="s">
        <v>15</v>
      </c>
      <c r="J2008" s="1">
        <v>44966</v>
      </c>
      <c r="K2008">
        <v>1118</v>
      </c>
      <c r="L2008" t="s">
        <v>4415</v>
      </c>
      <c r="M2008">
        <v>13</v>
      </c>
      <c r="N2008" t="str">
        <f>VLOOKUP(M2008,[1]LOJA!$A:$B,2,0)</f>
        <v>CEILÂNDIA</v>
      </c>
      <c r="O2008">
        <v>67</v>
      </c>
      <c r="P2008" t="str">
        <f>VLOOKUP(O2008,[1]OPERADORES!$A:$B,2,0)</f>
        <v>ERIKA</v>
      </c>
      <c r="Q2008">
        <v>10</v>
      </c>
      <c r="S2008" t="s">
        <v>4416</v>
      </c>
      <c r="T2008" s="1">
        <v>44966</v>
      </c>
      <c r="U2008">
        <v>-0.2</v>
      </c>
      <c r="V2008">
        <v>-0.2</v>
      </c>
    </row>
    <row r="2009" spans="1:22" x14ac:dyDescent="0.3">
      <c r="A2009" t="s">
        <v>4417</v>
      </c>
      <c r="B2009" t="s">
        <v>4418</v>
      </c>
      <c r="C2009" t="s">
        <v>13</v>
      </c>
      <c r="D2009" t="s">
        <v>243</v>
      </c>
      <c r="E2009" t="s">
        <v>15</v>
      </c>
      <c r="J2009" s="1">
        <v>45743</v>
      </c>
      <c r="K2009">
        <v>341</v>
      </c>
      <c r="L2009" t="s">
        <v>436</v>
      </c>
      <c r="M2009">
        <v>14</v>
      </c>
      <c r="N2009" t="str">
        <f>VLOOKUP(M2009,[1]LOJA!$A:$B,2,0)</f>
        <v>S IA</v>
      </c>
      <c r="O2009">
        <v>212</v>
      </c>
      <c r="P2009" t="str">
        <f>VLOOKUP(O2009,[1]OPERADORES!$A:$B,2,0)</f>
        <v>YASMIN</v>
      </c>
      <c r="Q2009">
        <v>4</v>
      </c>
      <c r="S2009" t="s">
        <v>4419</v>
      </c>
      <c r="T2009" s="1">
        <v>45743</v>
      </c>
      <c r="U2009">
        <v>-0.2</v>
      </c>
      <c r="V2009">
        <v>-0.2</v>
      </c>
    </row>
    <row r="2010" spans="1:22" x14ac:dyDescent="0.3">
      <c r="A2010" t="s">
        <v>4420</v>
      </c>
      <c r="B2010" t="s">
        <v>4421</v>
      </c>
      <c r="C2010" t="s">
        <v>13</v>
      </c>
      <c r="D2010" t="s">
        <v>890</v>
      </c>
      <c r="E2010" t="s">
        <v>15</v>
      </c>
      <c r="J2010" s="1">
        <v>45570</v>
      </c>
      <c r="K2010">
        <v>514</v>
      </c>
      <c r="L2010" t="s">
        <v>4422</v>
      </c>
      <c r="M2010">
        <v>8</v>
      </c>
      <c r="N2010" t="str">
        <f>VLOOKUP(M2010,[1]LOJA!$A:$B,2,0)</f>
        <v>LUZIÂNIA</v>
      </c>
      <c r="O2010">
        <v>170</v>
      </c>
      <c r="P2010" t="str">
        <f>VLOOKUP(O2010,[1]OPERADORES!$A:$B,2,0)</f>
        <v>MARIA LUISA</v>
      </c>
      <c r="Q2010">
        <v>4</v>
      </c>
      <c r="S2010" t="s">
        <v>4423</v>
      </c>
      <c r="T2010" s="1">
        <v>45568</v>
      </c>
      <c r="U2010">
        <v>-0.9</v>
      </c>
      <c r="V2010">
        <v>-0.9</v>
      </c>
    </row>
    <row r="2011" spans="1:22" x14ac:dyDescent="0.3">
      <c r="A2011" t="s">
        <v>4420</v>
      </c>
      <c r="B2011" t="s">
        <v>4421</v>
      </c>
      <c r="C2011" t="s">
        <v>13</v>
      </c>
      <c r="D2011" t="s">
        <v>890</v>
      </c>
      <c r="E2011" t="s">
        <v>15</v>
      </c>
      <c r="J2011" s="1">
        <v>45631</v>
      </c>
      <c r="K2011">
        <v>453</v>
      </c>
      <c r="L2011" t="s">
        <v>4424</v>
      </c>
      <c r="M2011">
        <v>8</v>
      </c>
      <c r="N2011" t="str">
        <f>VLOOKUP(M2011,[1]LOJA!$A:$B,2,0)</f>
        <v>LUZIÂNIA</v>
      </c>
      <c r="O2011">
        <v>170</v>
      </c>
      <c r="P2011" t="str">
        <f>VLOOKUP(O2011,[1]OPERADORES!$A:$B,2,0)</f>
        <v>MARIA LUISA</v>
      </c>
      <c r="Q2011">
        <v>4</v>
      </c>
      <c r="S2011" t="s">
        <v>4425</v>
      </c>
      <c r="T2011" s="1">
        <v>45631</v>
      </c>
      <c r="U2011">
        <v>-0.1</v>
      </c>
      <c r="V2011">
        <v>-0.1</v>
      </c>
    </row>
    <row r="2012" spans="1:22" x14ac:dyDescent="0.3">
      <c r="A2012" t="s">
        <v>4420</v>
      </c>
      <c r="B2012" t="s">
        <v>4421</v>
      </c>
      <c r="C2012" t="s">
        <v>13</v>
      </c>
      <c r="D2012" t="s">
        <v>890</v>
      </c>
      <c r="E2012" t="s">
        <v>15</v>
      </c>
      <c r="J2012" s="1">
        <v>45924</v>
      </c>
      <c r="K2012">
        <v>160</v>
      </c>
      <c r="L2012" t="s">
        <v>4426</v>
      </c>
      <c r="M2012">
        <v>24</v>
      </c>
      <c r="N2012" t="str">
        <f>VLOOKUP(M2012,[1]LOJA!$A:$B,2,0)</f>
        <v>LUZIÂNIA</v>
      </c>
      <c r="O2012">
        <v>244</v>
      </c>
      <c r="P2012" t="str">
        <f>VLOOKUP(O2012,[1]OPERADORES!$A:$B,2,0)</f>
        <v>NATHALIA PEREIRA DA SILVA</v>
      </c>
      <c r="Q2012">
        <v>4</v>
      </c>
      <c r="S2012" t="s">
        <v>4427</v>
      </c>
      <c r="T2012" s="1">
        <v>45924</v>
      </c>
      <c r="U2012">
        <v>-12</v>
      </c>
      <c r="V2012">
        <v>-12</v>
      </c>
    </row>
    <row r="2013" spans="1:22" x14ac:dyDescent="0.3">
      <c r="A2013" t="s">
        <v>4428</v>
      </c>
      <c r="B2013" t="s">
        <v>4429</v>
      </c>
      <c r="C2013" t="s">
        <v>13</v>
      </c>
      <c r="D2013" t="s">
        <v>4430</v>
      </c>
      <c r="E2013" t="s">
        <v>15</v>
      </c>
      <c r="J2013" s="1">
        <v>45064</v>
      </c>
      <c r="K2013">
        <v>1020</v>
      </c>
      <c r="L2013" t="s">
        <v>4431</v>
      </c>
      <c r="M2013">
        <v>16</v>
      </c>
      <c r="N2013" t="str">
        <f>VLOOKUP(M2013,[1]LOJA!$A:$B,2,0)</f>
        <v>AG LINDAS</v>
      </c>
      <c r="O2013">
        <v>126</v>
      </c>
      <c r="P2013" t="str">
        <f>VLOOKUP(O2013,[1]OPERADORES!$A:$B,2,0)</f>
        <v>CESAR OLIVIEIRA DE ARAUJO</v>
      </c>
      <c r="Q2013">
        <v>7</v>
      </c>
      <c r="S2013" t="s">
        <v>4432</v>
      </c>
      <c r="T2013" s="1">
        <v>45063</v>
      </c>
      <c r="U2013">
        <v>77.83</v>
      </c>
      <c r="V2013">
        <v>77.83</v>
      </c>
    </row>
    <row r="2014" spans="1:22" x14ac:dyDescent="0.3">
      <c r="A2014" t="s">
        <v>4428</v>
      </c>
      <c r="B2014" t="s">
        <v>4429</v>
      </c>
      <c r="C2014" t="s">
        <v>13</v>
      </c>
      <c r="D2014" t="s">
        <v>4430</v>
      </c>
      <c r="E2014" t="s">
        <v>15</v>
      </c>
      <c r="J2014" s="1">
        <v>45074</v>
      </c>
      <c r="K2014">
        <v>1010</v>
      </c>
      <c r="L2014" t="s">
        <v>4433</v>
      </c>
      <c r="M2014">
        <v>16</v>
      </c>
      <c r="N2014" t="str">
        <f>VLOOKUP(M2014,[1]LOJA!$A:$B,2,0)</f>
        <v>AG LINDAS</v>
      </c>
      <c r="O2014">
        <v>126</v>
      </c>
      <c r="P2014" t="str">
        <f>VLOOKUP(O2014,[1]OPERADORES!$A:$B,2,0)</f>
        <v>CESAR OLIVIEIRA DE ARAUJO</v>
      </c>
      <c r="Q2014">
        <v>7</v>
      </c>
      <c r="S2014" t="s">
        <v>87</v>
      </c>
      <c r="T2014" s="1">
        <v>45073</v>
      </c>
      <c r="U2014">
        <v>779.1</v>
      </c>
      <c r="V2014">
        <v>779.1</v>
      </c>
    </row>
    <row r="2015" spans="1:22" x14ac:dyDescent="0.3">
      <c r="A2015" t="s">
        <v>4434</v>
      </c>
      <c r="B2015" t="s">
        <v>4435</v>
      </c>
      <c r="C2015" t="s">
        <v>4436</v>
      </c>
      <c r="D2015" t="s">
        <v>4437</v>
      </c>
      <c r="E2015" t="s">
        <v>15</v>
      </c>
      <c r="J2015" s="1">
        <v>45238</v>
      </c>
      <c r="K2015">
        <v>846</v>
      </c>
      <c r="L2015" t="s">
        <v>4438</v>
      </c>
      <c r="M2015">
        <v>1</v>
      </c>
      <c r="N2015" t="str">
        <f>VLOOKUP(M2015,[1]LOJA!$A:$B,2,0)</f>
        <v>GUARÁ</v>
      </c>
      <c r="O2015">
        <v>93</v>
      </c>
      <c r="P2015" t="str">
        <f>VLOOKUP(O2015,[1]OPERADORES!$A:$B,2,0)</f>
        <v>PATRICIA</v>
      </c>
      <c r="Q2015">
        <v>4</v>
      </c>
      <c r="S2015" t="s">
        <v>4439</v>
      </c>
      <c r="T2015" s="1">
        <v>45238</v>
      </c>
      <c r="U2015">
        <v>-0.5</v>
      </c>
      <c r="V2015">
        <v>-0.5</v>
      </c>
    </row>
    <row r="2016" spans="1:22" x14ac:dyDescent="0.3">
      <c r="A2016" t="s">
        <v>4434</v>
      </c>
      <c r="B2016" t="s">
        <v>4435</v>
      </c>
      <c r="C2016" t="s">
        <v>4436</v>
      </c>
      <c r="D2016" t="s">
        <v>4437</v>
      </c>
      <c r="E2016" t="s">
        <v>15</v>
      </c>
      <c r="J2016" s="1">
        <v>45280</v>
      </c>
      <c r="K2016">
        <v>804</v>
      </c>
      <c r="L2016" t="s">
        <v>4440</v>
      </c>
      <c r="M2016">
        <v>1</v>
      </c>
      <c r="N2016" t="str">
        <f>VLOOKUP(M2016,[1]LOJA!$A:$B,2,0)</f>
        <v>GUARÁ</v>
      </c>
      <c r="O2016">
        <v>93</v>
      </c>
      <c r="P2016" t="str">
        <f>VLOOKUP(O2016,[1]OPERADORES!$A:$B,2,0)</f>
        <v>PATRICIA</v>
      </c>
      <c r="Q2016">
        <v>4</v>
      </c>
      <c r="S2016" t="s">
        <v>4441</v>
      </c>
      <c r="T2016" s="1">
        <v>45280</v>
      </c>
      <c r="U2016">
        <v>-6.38</v>
      </c>
      <c r="V2016">
        <v>-6.38</v>
      </c>
    </row>
    <row r="2017" spans="1:22" x14ac:dyDescent="0.3">
      <c r="A2017" t="s">
        <v>4442</v>
      </c>
      <c r="B2017" t="s">
        <v>4443</v>
      </c>
      <c r="C2017" t="s">
        <v>13</v>
      </c>
      <c r="D2017" t="s">
        <v>137</v>
      </c>
      <c r="E2017" t="s">
        <v>15</v>
      </c>
      <c r="J2017" s="1">
        <v>46049</v>
      </c>
      <c r="K2017">
        <v>35</v>
      </c>
      <c r="L2017" t="s">
        <v>4444</v>
      </c>
      <c r="M2017">
        <v>24</v>
      </c>
      <c r="N2017" t="str">
        <f>VLOOKUP(M2017,[1]LOJA!$A:$B,2,0)</f>
        <v>LUZIÂNIA</v>
      </c>
      <c r="O2017">
        <v>244</v>
      </c>
      <c r="P2017" t="str">
        <f>VLOOKUP(O2017,[1]OPERADORES!$A:$B,2,0)</f>
        <v>NATHALIA PEREIRA DA SILVA</v>
      </c>
      <c r="Q2017">
        <v>4</v>
      </c>
      <c r="S2017" t="s">
        <v>4445</v>
      </c>
      <c r="T2017" s="1">
        <v>46049</v>
      </c>
      <c r="U2017">
        <v>-0.1</v>
      </c>
      <c r="V2017">
        <v>-0.1</v>
      </c>
    </row>
    <row r="2018" spans="1:22" x14ac:dyDescent="0.3">
      <c r="A2018" t="s">
        <v>4446</v>
      </c>
      <c r="B2018" t="s">
        <v>4447</v>
      </c>
      <c r="C2018" t="s">
        <v>43</v>
      </c>
      <c r="D2018" t="s">
        <v>1626</v>
      </c>
      <c r="E2018" t="s">
        <v>15</v>
      </c>
      <c r="J2018" s="1">
        <v>45597</v>
      </c>
      <c r="K2018">
        <v>487</v>
      </c>
      <c r="L2018" t="s">
        <v>4422</v>
      </c>
      <c r="M2018">
        <v>12</v>
      </c>
      <c r="N2018" t="str">
        <f>VLOOKUP(M2018,[1]LOJA!$A:$B,2,0)</f>
        <v>SOFNORTE</v>
      </c>
      <c r="O2018">
        <v>209</v>
      </c>
      <c r="P2018" t="str">
        <f>VLOOKUP(O2018,[1]OPERADORES!$A:$B,2,0)</f>
        <v>MARIA WITHALINA CUNHA DE SOUZA</v>
      </c>
      <c r="Q2018">
        <v>4</v>
      </c>
      <c r="S2018" t="s">
        <v>4448</v>
      </c>
      <c r="T2018" s="1">
        <v>45597</v>
      </c>
      <c r="U2018">
        <v>-3</v>
      </c>
      <c r="V2018">
        <v>-3</v>
      </c>
    </row>
    <row r="2019" spans="1:22" x14ac:dyDescent="0.3">
      <c r="A2019" t="s">
        <v>4449</v>
      </c>
      <c r="B2019" t="s">
        <v>32</v>
      </c>
      <c r="C2019" t="s">
        <v>13</v>
      </c>
      <c r="D2019" t="s">
        <v>1355</v>
      </c>
      <c r="E2019" t="s">
        <v>15</v>
      </c>
      <c r="J2019" s="1">
        <v>46030</v>
      </c>
      <c r="K2019">
        <v>54</v>
      </c>
      <c r="L2019" t="s">
        <v>4450</v>
      </c>
      <c r="M2019">
        <v>24</v>
      </c>
      <c r="N2019" t="str">
        <f>VLOOKUP(M2019,[1]LOJA!$A:$B,2,0)</f>
        <v>LUZIÂNIA</v>
      </c>
      <c r="O2019">
        <v>242</v>
      </c>
      <c r="P2019" t="str">
        <f>VLOOKUP(O2019,[1]OPERADORES!$A:$B,2,0)</f>
        <v>CRISTIANO</v>
      </c>
      <c r="Q2019">
        <v>4</v>
      </c>
      <c r="S2019" t="s">
        <v>4451</v>
      </c>
      <c r="T2019" s="1">
        <v>46030</v>
      </c>
      <c r="U2019">
        <v>-107.8</v>
      </c>
      <c r="V2019">
        <v>-107.8</v>
      </c>
    </row>
    <row r="2020" spans="1:22" x14ac:dyDescent="0.3">
      <c r="A2020" t="s">
        <v>4452</v>
      </c>
      <c r="B2020" t="s">
        <v>32</v>
      </c>
      <c r="C2020" t="s">
        <v>293</v>
      </c>
      <c r="D2020" t="s">
        <v>4453</v>
      </c>
      <c r="E2020" t="s">
        <v>15</v>
      </c>
      <c r="J2020" s="1">
        <v>46005</v>
      </c>
      <c r="K2020">
        <v>79</v>
      </c>
      <c r="L2020" t="s">
        <v>4454</v>
      </c>
      <c r="M2020">
        <v>9</v>
      </c>
      <c r="N2020" t="str">
        <f>VLOOKUP(M2020,[1]LOJA!$A:$B,2,0)</f>
        <v>ÚNICA</v>
      </c>
      <c r="O2020">
        <v>174</v>
      </c>
      <c r="P2020" t="str">
        <f>VLOOKUP(O2020,[1]OPERADORES!$A:$B,2,0)</f>
        <v>MIRIÃ LOBATO RODRIGUES</v>
      </c>
      <c r="Q2020">
        <v>23</v>
      </c>
      <c r="R2020">
        <v>202451</v>
      </c>
      <c r="S2020" t="s">
        <v>87</v>
      </c>
      <c r="T2020" s="1">
        <v>45975</v>
      </c>
      <c r="U2020">
        <v>205.2</v>
      </c>
      <c r="V2020">
        <v>205.2</v>
      </c>
    </row>
    <row r="2021" spans="1:22" x14ac:dyDescent="0.3">
      <c r="A2021" t="s">
        <v>4455</v>
      </c>
      <c r="B2021" t="s">
        <v>4456</v>
      </c>
      <c r="C2021" t="s">
        <v>255</v>
      </c>
      <c r="D2021" t="s">
        <v>4457</v>
      </c>
      <c r="E2021" t="s">
        <v>15</v>
      </c>
      <c r="J2021" s="1">
        <v>46023</v>
      </c>
      <c r="K2021">
        <v>61</v>
      </c>
      <c r="L2021" t="s">
        <v>4458</v>
      </c>
      <c r="M2021">
        <v>14</v>
      </c>
      <c r="N2021" t="str">
        <f>VLOOKUP(M2021,[1]LOJA!$A:$B,2,0)</f>
        <v>S IA</v>
      </c>
      <c r="O2021">
        <v>212</v>
      </c>
      <c r="P2021" t="str">
        <f>VLOOKUP(O2021,[1]OPERADORES!$A:$B,2,0)</f>
        <v>YASMIN</v>
      </c>
      <c r="Q2021">
        <v>27</v>
      </c>
      <c r="R2021">
        <v>2000008884</v>
      </c>
      <c r="S2021" t="s">
        <v>87</v>
      </c>
      <c r="T2021" s="1">
        <v>45993</v>
      </c>
      <c r="U2021">
        <v>212</v>
      </c>
      <c r="V2021">
        <v>212</v>
      </c>
    </row>
    <row r="2022" spans="1:22" x14ac:dyDescent="0.3">
      <c r="A2022" t="s">
        <v>4459</v>
      </c>
      <c r="B2022" t="s">
        <v>4460</v>
      </c>
      <c r="C2022" t="s">
        <v>255</v>
      </c>
      <c r="D2022" t="s">
        <v>4461</v>
      </c>
      <c r="E2022" t="s">
        <v>15</v>
      </c>
      <c r="J2022" s="1">
        <v>45965</v>
      </c>
      <c r="K2022">
        <v>119</v>
      </c>
      <c r="L2022" t="s">
        <v>4462</v>
      </c>
      <c r="M2022">
        <v>24</v>
      </c>
      <c r="N2022" t="str">
        <f>VLOOKUP(M2022,[1]LOJA!$A:$B,2,0)</f>
        <v>LUZIÂNIA</v>
      </c>
      <c r="O2022">
        <v>244</v>
      </c>
      <c r="P2022" t="str">
        <f>VLOOKUP(O2022,[1]OPERADORES!$A:$B,2,0)</f>
        <v>NATHALIA PEREIRA DA SILVA</v>
      </c>
      <c r="Q2022">
        <v>4</v>
      </c>
      <c r="S2022" t="s">
        <v>4463</v>
      </c>
      <c r="T2022" s="1">
        <v>45959</v>
      </c>
      <c r="U2022">
        <v>-67.95</v>
      </c>
      <c r="V2022">
        <v>-67.95</v>
      </c>
    </row>
    <row r="2023" spans="1:22" x14ac:dyDescent="0.3">
      <c r="A2023" t="s">
        <v>4464</v>
      </c>
      <c r="B2023" t="s">
        <v>4465</v>
      </c>
      <c r="C2023" t="s">
        <v>13</v>
      </c>
      <c r="D2023" t="s">
        <v>137</v>
      </c>
      <c r="E2023" t="s">
        <v>15</v>
      </c>
      <c r="J2023" s="1">
        <v>45363</v>
      </c>
      <c r="K2023">
        <v>721</v>
      </c>
      <c r="L2023" t="s">
        <v>4466</v>
      </c>
      <c r="M2023">
        <v>13</v>
      </c>
      <c r="N2023" t="str">
        <f>VLOOKUP(M2023,[1]LOJA!$A:$B,2,0)</f>
        <v>CEILÂNDIA</v>
      </c>
      <c r="O2023">
        <v>86</v>
      </c>
      <c r="P2023" t="str">
        <f>VLOOKUP(O2023,[1]OPERADORES!$A:$B,2,0)</f>
        <v>AMANDA</v>
      </c>
      <c r="Q2023">
        <v>4</v>
      </c>
      <c r="S2023" t="s">
        <v>4467</v>
      </c>
      <c r="T2023" s="1">
        <v>45363</v>
      </c>
      <c r="U2023">
        <v>-0.1</v>
      </c>
      <c r="V2023">
        <v>-0.1</v>
      </c>
    </row>
    <row r="2024" spans="1:22" x14ac:dyDescent="0.3">
      <c r="A2024" t="s">
        <v>4468</v>
      </c>
      <c r="B2024" t="s">
        <v>4469</v>
      </c>
      <c r="C2024" t="s">
        <v>13</v>
      </c>
      <c r="D2024" t="s">
        <v>2548</v>
      </c>
      <c r="E2024" t="s">
        <v>15</v>
      </c>
      <c r="J2024" s="1">
        <v>45392</v>
      </c>
      <c r="K2024">
        <v>692</v>
      </c>
      <c r="L2024" t="s">
        <v>4470</v>
      </c>
      <c r="M2024">
        <v>16</v>
      </c>
      <c r="N2024" t="str">
        <f>VLOOKUP(M2024,[1]LOJA!$A:$B,2,0)</f>
        <v>AG LINDAS</v>
      </c>
      <c r="O2024">
        <v>107</v>
      </c>
      <c r="P2024" t="str">
        <f>VLOOKUP(O2024,[1]OPERADORES!$A:$B,2,0)</f>
        <v>DAIANA PORTELA</v>
      </c>
      <c r="Q2024">
        <v>7</v>
      </c>
      <c r="S2024" t="s">
        <v>4471</v>
      </c>
      <c r="T2024" s="1">
        <v>45392</v>
      </c>
      <c r="U2024">
        <v>-0.13</v>
      </c>
      <c r="V2024">
        <v>-0.13</v>
      </c>
    </row>
    <row r="2025" spans="1:22" x14ac:dyDescent="0.3">
      <c r="A2025" t="s">
        <v>4468</v>
      </c>
      <c r="B2025" t="s">
        <v>4469</v>
      </c>
      <c r="C2025" t="s">
        <v>13</v>
      </c>
      <c r="D2025" t="s">
        <v>2548</v>
      </c>
      <c r="E2025" t="s">
        <v>15</v>
      </c>
      <c r="J2025" s="1">
        <v>45400</v>
      </c>
      <c r="K2025">
        <v>684</v>
      </c>
      <c r="L2025" t="s">
        <v>4472</v>
      </c>
      <c r="M2025">
        <v>16</v>
      </c>
      <c r="N2025" t="str">
        <f>VLOOKUP(M2025,[1]LOJA!$A:$B,2,0)</f>
        <v>AG LINDAS</v>
      </c>
      <c r="O2025">
        <v>107</v>
      </c>
      <c r="P2025" t="str">
        <f>VLOOKUP(O2025,[1]OPERADORES!$A:$B,2,0)</f>
        <v>DAIANA PORTELA</v>
      </c>
      <c r="Q2025">
        <v>7</v>
      </c>
      <c r="S2025" t="s">
        <v>4471</v>
      </c>
      <c r="T2025" s="1">
        <v>45400</v>
      </c>
      <c r="U2025">
        <v>-0.01</v>
      </c>
      <c r="V2025">
        <v>-0.01</v>
      </c>
    </row>
    <row r="2026" spans="1:22" x14ac:dyDescent="0.3">
      <c r="A2026" t="s">
        <v>4468</v>
      </c>
      <c r="B2026" t="s">
        <v>4469</v>
      </c>
      <c r="C2026" t="s">
        <v>13</v>
      </c>
      <c r="D2026" t="s">
        <v>2548</v>
      </c>
      <c r="E2026" t="s">
        <v>15</v>
      </c>
      <c r="J2026" s="1">
        <v>45401</v>
      </c>
      <c r="K2026">
        <v>683</v>
      </c>
      <c r="L2026" t="s">
        <v>4473</v>
      </c>
      <c r="M2026">
        <v>16</v>
      </c>
      <c r="N2026" t="str">
        <f>VLOOKUP(M2026,[1]LOJA!$A:$B,2,0)</f>
        <v>AG LINDAS</v>
      </c>
      <c r="O2026">
        <v>107</v>
      </c>
      <c r="P2026" t="str">
        <f>VLOOKUP(O2026,[1]OPERADORES!$A:$B,2,0)</f>
        <v>DAIANA PORTELA</v>
      </c>
      <c r="Q2026">
        <v>7</v>
      </c>
      <c r="S2026" t="s">
        <v>4471</v>
      </c>
      <c r="T2026" s="1">
        <v>45401</v>
      </c>
      <c r="U2026">
        <v>-0.02</v>
      </c>
      <c r="V2026">
        <v>-0.02</v>
      </c>
    </row>
    <row r="2027" spans="1:22" x14ac:dyDescent="0.3">
      <c r="A2027" t="s">
        <v>4474</v>
      </c>
      <c r="B2027" t="s">
        <v>4475</v>
      </c>
      <c r="C2027" t="s">
        <v>324</v>
      </c>
      <c r="D2027" t="s">
        <v>4476</v>
      </c>
      <c r="E2027" t="s">
        <v>15</v>
      </c>
      <c r="J2027" s="1">
        <v>45826</v>
      </c>
      <c r="K2027">
        <v>258</v>
      </c>
      <c r="L2027" t="s">
        <v>4477</v>
      </c>
      <c r="M2027">
        <v>8</v>
      </c>
      <c r="N2027" t="str">
        <f>VLOOKUP(M2027,[1]LOJA!$A:$B,2,0)</f>
        <v>LUZIÂNIA</v>
      </c>
      <c r="O2027">
        <v>20</v>
      </c>
      <c r="P2027" t="str">
        <f>VLOOKUP(O2027,[1]OPERADORES!$A:$B,2,0)</f>
        <v>MAYARA</v>
      </c>
      <c r="Q2027">
        <v>22</v>
      </c>
      <c r="R2027">
        <v>1000016027</v>
      </c>
      <c r="S2027" t="s">
        <v>4478</v>
      </c>
      <c r="T2027" s="1">
        <v>45736</v>
      </c>
      <c r="U2027">
        <v>746</v>
      </c>
      <c r="V2027">
        <v>746</v>
      </c>
    </row>
    <row r="2028" spans="1:22" x14ac:dyDescent="0.3">
      <c r="A2028" t="s">
        <v>4474</v>
      </c>
      <c r="B2028" t="s">
        <v>4475</v>
      </c>
      <c r="C2028" t="s">
        <v>324</v>
      </c>
      <c r="D2028" t="s">
        <v>4476</v>
      </c>
      <c r="E2028" t="s">
        <v>15</v>
      </c>
      <c r="J2028" s="1">
        <v>45989</v>
      </c>
      <c r="K2028">
        <v>95</v>
      </c>
      <c r="L2028" t="s">
        <v>4479</v>
      </c>
      <c r="M2028">
        <v>24</v>
      </c>
      <c r="N2028" t="str">
        <f>VLOOKUP(M2028,[1]LOJA!$A:$B,2,0)</f>
        <v>LUZIÂNIA</v>
      </c>
      <c r="O2028">
        <v>244</v>
      </c>
      <c r="P2028" t="str">
        <f>VLOOKUP(O2028,[1]OPERADORES!$A:$B,2,0)</f>
        <v>NATHALIA PEREIRA DA SILVA</v>
      </c>
      <c r="Q2028">
        <v>4</v>
      </c>
      <c r="S2028" t="s">
        <v>4480</v>
      </c>
      <c r="T2028" s="1">
        <v>45989</v>
      </c>
      <c r="U2028">
        <v>-40</v>
      </c>
      <c r="V2028">
        <v>-40</v>
      </c>
    </row>
    <row r="2029" spans="1:22" x14ac:dyDescent="0.3">
      <c r="A2029" t="s">
        <v>4481</v>
      </c>
      <c r="B2029" t="s">
        <v>4482</v>
      </c>
      <c r="C2029" t="s">
        <v>13</v>
      </c>
      <c r="D2029" t="s">
        <v>4483</v>
      </c>
      <c r="E2029" t="s">
        <v>15</v>
      </c>
      <c r="J2029" s="1">
        <v>45694</v>
      </c>
      <c r="K2029">
        <v>390</v>
      </c>
      <c r="L2029" t="s">
        <v>4484</v>
      </c>
      <c r="M2029">
        <v>8</v>
      </c>
      <c r="N2029" t="str">
        <f>VLOOKUP(M2029,[1]LOJA!$A:$B,2,0)</f>
        <v>LUZIÂNIA</v>
      </c>
      <c r="O2029">
        <v>170</v>
      </c>
      <c r="P2029" t="str">
        <f>VLOOKUP(O2029,[1]OPERADORES!$A:$B,2,0)</f>
        <v>MARIA LUISA</v>
      </c>
      <c r="Q2029">
        <v>4</v>
      </c>
      <c r="S2029" t="s">
        <v>4485</v>
      </c>
      <c r="T2029" s="1">
        <v>45694</v>
      </c>
      <c r="U2029">
        <v>-0.1</v>
      </c>
      <c r="V2029">
        <v>-0.1</v>
      </c>
    </row>
    <row r="2030" spans="1:22" x14ac:dyDescent="0.3">
      <c r="A2030" t="s">
        <v>4481</v>
      </c>
      <c r="B2030" t="s">
        <v>4482</v>
      </c>
      <c r="C2030" t="s">
        <v>13</v>
      </c>
      <c r="D2030" t="s">
        <v>4483</v>
      </c>
      <c r="E2030" t="s">
        <v>15</v>
      </c>
      <c r="J2030" s="1">
        <v>45770</v>
      </c>
      <c r="K2030">
        <v>314</v>
      </c>
      <c r="L2030" t="s">
        <v>4486</v>
      </c>
      <c r="M2030">
        <v>8</v>
      </c>
      <c r="N2030" t="str">
        <f>VLOOKUP(M2030,[1]LOJA!$A:$B,2,0)</f>
        <v>LUZIÂNIA</v>
      </c>
      <c r="O2030">
        <v>170</v>
      </c>
      <c r="P2030" t="str">
        <f>VLOOKUP(O2030,[1]OPERADORES!$A:$B,2,0)</f>
        <v>MARIA LUISA</v>
      </c>
      <c r="Q2030">
        <v>4</v>
      </c>
      <c r="S2030" t="s">
        <v>4485</v>
      </c>
      <c r="T2030" s="1">
        <v>45770</v>
      </c>
      <c r="U2030">
        <v>-2</v>
      </c>
      <c r="V2030">
        <v>-2</v>
      </c>
    </row>
    <row r="2031" spans="1:22" x14ac:dyDescent="0.3">
      <c r="A2031" t="s">
        <v>4481</v>
      </c>
      <c r="B2031" t="s">
        <v>4482</v>
      </c>
      <c r="C2031" t="s">
        <v>13</v>
      </c>
      <c r="D2031" t="s">
        <v>4483</v>
      </c>
      <c r="E2031" t="s">
        <v>15</v>
      </c>
      <c r="J2031" s="1">
        <v>45839</v>
      </c>
      <c r="K2031">
        <v>245</v>
      </c>
      <c r="L2031" t="s">
        <v>4487</v>
      </c>
      <c r="M2031">
        <v>24</v>
      </c>
      <c r="N2031" t="str">
        <f>VLOOKUP(M2031,[1]LOJA!$A:$B,2,0)</f>
        <v>LUZIÂNIA</v>
      </c>
      <c r="O2031">
        <v>170</v>
      </c>
      <c r="P2031" t="str">
        <f>VLOOKUP(O2031,[1]OPERADORES!$A:$B,2,0)</f>
        <v>MARIA LUISA</v>
      </c>
      <c r="Q2031">
        <v>4</v>
      </c>
      <c r="S2031" t="s">
        <v>4485</v>
      </c>
      <c r="T2031" s="1">
        <v>45839</v>
      </c>
      <c r="U2031">
        <v>-0.1</v>
      </c>
      <c r="V2031">
        <v>-0.1</v>
      </c>
    </row>
    <row r="2032" spans="1:22" x14ac:dyDescent="0.3">
      <c r="A2032" t="s">
        <v>4488</v>
      </c>
      <c r="B2032" t="s">
        <v>4489</v>
      </c>
      <c r="C2032" t="s">
        <v>1238</v>
      </c>
      <c r="D2032" t="s">
        <v>4490</v>
      </c>
      <c r="E2032" t="s">
        <v>15</v>
      </c>
      <c r="J2032" s="1">
        <v>45597</v>
      </c>
      <c r="K2032">
        <v>487</v>
      </c>
      <c r="L2032" t="s">
        <v>4491</v>
      </c>
      <c r="M2032">
        <v>14</v>
      </c>
      <c r="N2032" t="str">
        <f>VLOOKUP(M2032,[1]LOJA!$A:$B,2,0)</f>
        <v>S IA</v>
      </c>
      <c r="O2032">
        <v>227</v>
      </c>
      <c r="P2032" t="str">
        <f>VLOOKUP(O2032,[1]OPERADORES!$A:$B,2,0)</f>
        <v>WHALISSON</v>
      </c>
      <c r="Q2032">
        <v>4</v>
      </c>
      <c r="S2032" t="s">
        <v>4492</v>
      </c>
      <c r="T2032" s="1">
        <v>45597</v>
      </c>
      <c r="U2032">
        <v>-50.58</v>
      </c>
      <c r="V2032">
        <v>-50.58</v>
      </c>
    </row>
    <row r="2033" spans="1:22" x14ac:dyDescent="0.3">
      <c r="A2033" t="s">
        <v>4488</v>
      </c>
      <c r="B2033" t="s">
        <v>4489</v>
      </c>
      <c r="C2033" t="s">
        <v>1238</v>
      </c>
      <c r="D2033" t="s">
        <v>4490</v>
      </c>
      <c r="E2033" t="s">
        <v>15</v>
      </c>
      <c r="J2033" s="1">
        <v>45988</v>
      </c>
      <c r="K2033">
        <v>96</v>
      </c>
      <c r="L2033" t="s">
        <v>4493</v>
      </c>
      <c r="M2033">
        <v>14</v>
      </c>
      <c r="N2033" t="str">
        <f>VLOOKUP(M2033,[1]LOJA!$A:$B,2,0)</f>
        <v>S IA</v>
      </c>
      <c r="O2033">
        <v>212</v>
      </c>
      <c r="P2033" t="str">
        <f>VLOOKUP(O2033,[1]OPERADORES!$A:$B,2,0)</f>
        <v>YASMIN</v>
      </c>
      <c r="Q2033">
        <v>7</v>
      </c>
      <c r="S2033" t="s">
        <v>87</v>
      </c>
      <c r="T2033" s="1">
        <v>45987</v>
      </c>
      <c r="U2033">
        <v>54.02</v>
      </c>
      <c r="V2033">
        <v>54.02</v>
      </c>
    </row>
    <row r="2034" spans="1:22" x14ac:dyDescent="0.3">
      <c r="A2034" t="s">
        <v>4494</v>
      </c>
      <c r="B2034" t="s">
        <v>4495</v>
      </c>
      <c r="C2034" t="s">
        <v>13</v>
      </c>
      <c r="D2034" t="s">
        <v>6043</v>
      </c>
      <c r="E2034" t="s">
        <v>15</v>
      </c>
      <c r="J2034" s="1">
        <v>46081</v>
      </c>
      <c r="K2034">
        <v>3</v>
      </c>
      <c r="L2034" t="s">
        <v>6044</v>
      </c>
      <c r="M2034">
        <v>22</v>
      </c>
      <c r="N2034" t="str">
        <f>VLOOKUP(M2034,[1]LOJA!$A:$B,2,0)</f>
        <v>GUARÁ</v>
      </c>
      <c r="O2034">
        <v>93</v>
      </c>
      <c r="P2034" t="str">
        <f>VLOOKUP(O2034,[1]OPERADORES!$A:$B,2,0)</f>
        <v>PATRICIA</v>
      </c>
      <c r="Q2034">
        <v>7</v>
      </c>
      <c r="S2034" t="s">
        <v>6045</v>
      </c>
      <c r="T2034" s="1">
        <v>46080</v>
      </c>
      <c r="U2034">
        <v>788.28</v>
      </c>
      <c r="V2034">
        <v>788.28</v>
      </c>
    </row>
    <row r="2035" spans="1:22" x14ac:dyDescent="0.3">
      <c r="A2035" t="s">
        <v>4496</v>
      </c>
      <c r="B2035" t="s">
        <v>4497</v>
      </c>
      <c r="C2035" t="s">
        <v>226</v>
      </c>
      <c r="D2035" t="s">
        <v>6046</v>
      </c>
      <c r="E2035" t="s">
        <v>15</v>
      </c>
      <c r="J2035" s="1">
        <v>46062</v>
      </c>
      <c r="K2035">
        <v>22</v>
      </c>
      <c r="L2035" t="s">
        <v>4498</v>
      </c>
      <c r="M2035">
        <v>9</v>
      </c>
      <c r="N2035" t="str">
        <f>VLOOKUP(M2035,[1]LOJA!$A:$B,2,0)</f>
        <v>ÚNICA</v>
      </c>
      <c r="O2035">
        <v>231</v>
      </c>
      <c r="P2035" t="str">
        <f>VLOOKUP(O2035,[1]OPERADORES!$A:$B,2,0)</f>
        <v>EDIJANE</v>
      </c>
      <c r="Q2035">
        <v>23</v>
      </c>
      <c r="R2035">
        <v>202857</v>
      </c>
      <c r="S2035" t="s">
        <v>55</v>
      </c>
      <c r="T2035" s="1">
        <v>45978</v>
      </c>
      <c r="U2035">
        <v>172.72</v>
      </c>
      <c r="V2035">
        <v>172.72</v>
      </c>
    </row>
    <row r="2036" spans="1:22" x14ac:dyDescent="0.3">
      <c r="A2036" t="s">
        <v>4496</v>
      </c>
      <c r="B2036" t="s">
        <v>4497</v>
      </c>
      <c r="C2036" t="s">
        <v>226</v>
      </c>
      <c r="D2036" t="s">
        <v>6046</v>
      </c>
      <c r="E2036" t="s">
        <v>15</v>
      </c>
      <c r="J2036" s="1">
        <v>46077</v>
      </c>
      <c r="K2036">
        <v>7</v>
      </c>
      <c r="L2036" t="s">
        <v>6047</v>
      </c>
      <c r="M2036">
        <v>9</v>
      </c>
      <c r="N2036" t="str">
        <f>VLOOKUP(M2036,[1]LOJA!$A:$B,2,0)</f>
        <v>ÚNICA</v>
      </c>
      <c r="O2036">
        <v>231</v>
      </c>
      <c r="P2036" t="str">
        <f>VLOOKUP(O2036,[1]OPERADORES!$A:$B,2,0)</f>
        <v>EDIJANE</v>
      </c>
      <c r="Q2036">
        <v>23</v>
      </c>
      <c r="R2036">
        <v>210306</v>
      </c>
      <c r="S2036" t="s">
        <v>53</v>
      </c>
      <c r="T2036" s="1">
        <v>46017</v>
      </c>
      <c r="U2036">
        <v>181.64</v>
      </c>
      <c r="V2036">
        <v>181.64</v>
      </c>
    </row>
    <row r="2037" spans="1:22" x14ac:dyDescent="0.3">
      <c r="A2037" t="s">
        <v>4496</v>
      </c>
      <c r="B2037" t="s">
        <v>4497</v>
      </c>
      <c r="C2037" t="s">
        <v>226</v>
      </c>
      <c r="D2037" t="s">
        <v>6046</v>
      </c>
      <c r="E2037" t="s">
        <v>15</v>
      </c>
      <c r="J2037" s="1">
        <v>46082</v>
      </c>
      <c r="K2037">
        <v>2</v>
      </c>
      <c r="L2037" t="s">
        <v>6048</v>
      </c>
      <c r="M2037">
        <v>9</v>
      </c>
      <c r="N2037" t="str">
        <f>VLOOKUP(M2037,[1]LOJA!$A:$B,2,0)</f>
        <v>ÚNICA</v>
      </c>
      <c r="O2037">
        <v>231</v>
      </c>
      <c r="P2037" t="str">
        <f>VLOOKUP(O2037,[1]OPERADORES!$A:$B,2,0)</f>
        <v>EDIJANE</v>
      </c>
      <c r="Q2037">
        <v>23</v>
      </c>
      <c r="R2037">
        <v>205603</v>
      </c>
      <c r="S2037" t="s">
        <v>55</v>
      </c>
      <c r="T2037" s="1">
        <v>45992</v>
      </c>
      <c r="U2037">
        <v>187.12</v>
      </c>
      <c r="V2037">
        <v>187.12</v>
      </c>
    </row>
    <row r="2038" spans="1:22" x14ac:dyDescent="0.3">
      <c r="A2038" t="s">
        <v>4499</v>
      </c>
      <c r="B2038" t="s">
        <v>4500</v>
      </c>
      <c r="C2038" t="s">
        <v>13</v>
      </c>
      <c r="D2038" t="s">
        <v>1714</v>
      </c>
      <c r="E2038" t="s">
        <v>15</v>
      </c>
      <c r="J2038" s="1">
        <v>45975</v>
      </c>
      <c r="K2038">
        <v>109</v>
      </c>
      <c r="L2038" t="s">
        <v>4501</v>
      </c>
      <c r="M2038">
        <v>24</v>
      </c>
      <c r="N2038" t="str">
        <f>VLOOKUP(M2038,[1]LOJA!$A:$B,2,0)</f>
        <v>LUZIÂNIA</v>
      </c>
      <c r="O2038">
        <v>244</v>
      </c>
      <c r="P2038" t="str">
        <f>VLOOKUP(O2038,[1]OPERADORES!$A:$B,2,0)</f>
        <v>NATHALIA PEREIRA DA SILVA</v>
      </c>
      <c r="Q2038">
        <v>4</v>
      </c>
      <c r="S2038" t="s">
        <v>4502</v>
      </c>
      <c r="T2038" s="1">
        <v>45975</v>
      </c>
      <c r="U2038">
        <v>-0.25</v>
      </c>
      <c r="V2038">
        <v>-0.25</v>
      </c>
    </row>
    <row r="2039" spans="1:22" x14ac:dyDescent="0.3">
      <c r="A2039" t="s">
        <v>4503</v>
      </c>
      <c r="B2039" t="s">
        <v>4504</v>
      </c>
      <c r="C2039" t="s">
        <v>1238</v>
      </c>
      <c r="D2039" t="s">
        <v>2849</v>
      </c>
      <c r="E2039" t="s">
        <v>15</v>
      </c>
      <c r="J2039" s="1">
        <v>45223</v>
      </c>
      <c r="K2039">
        <v>861</v>
      </c>
      <c r="L2039" t="s">
        <v>4505</v>
      </c>
      <c r="M2039">
        <v>1</v>
      </c>
      <c r="N2039" t="str">
        <f>VLOOKUP(M2039,[1]LOJA!$A:$B,2,0)</f>
        <v>GUARÁ</v>
      </c>
      <c r="O2039">
        <v>26</v>
      </c>
      <c r="P2039" t="str">
        <f>VLOOKUP(O2039,[1]OPERADORES!$A:$B,2,0)</f>
        <v>JANUARIO</v>
      </c>
      <c r="Q2039">
        <v>4</v>
      </c>
      <c r="S2039" t="s">
        <v>4506</v>
      </c>
      <c r="T2039" s="1">
        <v>45223</v>
      </c>
      <c r="U2039">
        <v>-0.46</v>
      </c>
      <c r="V2039">
        <v>-0.46</v>
      </c>
    </row>
    <row r="2040" spans="1:22" x14ac:dyDescent="0.3">
      <c r="A2040" t="s">
        <v>4507</v>
      </c>
      <c r="B2040" t="s">
        <v>4508</v>
      </c>
      <c r="C2040" t="s">
        <v>13</v>
      </c>
      <c r="D2040" t="s">
        <v>6049</v>
      </c>
      <c r="E2040" t="s">
        <v>15</v>
      </c>
      <c r="J2040" s="1">
        <v>46044</v>
      </c>
      <c r="K2040">
        <v>40</v>
      </c>
      <c r="L2040" t="s">
        <v>4509</v>
      </c>
      <c r="M2040">
        <v>24</v>
      </c>
      <c r="N2040" t="str">
        <f>VLOOKUP(M2040,[1]LOJA!$A:$B,2,0)</f>
        <v>LUZIÂNIA</v>
      </c>
      <c r="O2040">
        <v>244</v>
      </c>
      <c r="P2040" t="str">
        <f>VLOOKUP(O2040,[1]OPERADORES!$A:$B,2,0)</f>
        <v>NATHALIA PEREIRA DA SILVA</v>
      </c>
      <c r="Q2040">
        <v>4</v>
      </c>
      <c r="S2040" t="s">
        <v>4510</v>
      </c>
      <c r="T2040" s="1">
        <v>46044</v>
      </c>
      <c r="U2040">
        <v>-43.4</v>
      </c>
      <c r="V2040">
        <v>-43.4</v>
      </c>
    </row>
    <row r="2041" spans="1:22" x14ac:dyDescent="0.3">
      <c r="A2041" t="s">
        <v>4511</v>
      </c>
      <c r="B2041" t="s">
        <v>4512</v>
      </c>
      <c r="C2041" t="s">
        <v>4513</v>
      </c>
      <c r="D2041" t="s">
        <v>4514</v>
      </c>
      <c r="E2041" t="s">
        <v>15</v>
      </c>
      <c r="J2041" s="1">
        <v>45366</v>
      </c>
      <c r="K2041">
        <v>718</v>
      </c>
      <c r="L2041" t="s">
        <v>4515</v>
      </c>
      <c r="M2041">
        <v>8</v>
      </c>
      <c r="N2041" t="str">
        <f>VLOOKUP(M2041,[1]LOJA!$A:$B,2,0)</f>
        <v>LUZIÂNIA</v>
      </c>
      <c r="O2041">
        <v>192</v>
      </c>
      <c r="P2041" t="str">
        <f>VLOOKUP(O2041,[1]OPERADORES!$A:$B,2,0)</f>
        <v>CIDA</v>
      </c>
      <c r="Q2041">
        <v>22</v>
      </c>
      <c r="R2041">
        <v>1000011986</v>
      </c>
      <c r="S2041" t="s">
        <v>87</v>
      </c>
      <c r="T2041" s="1">
        <v>45349</v>
      </c>
      <c r="U2041">
        <v>269.89999999999998</v>
      </c>
      <c r="V2041">
        <v>269.89999999999998</v>
      </c>
    </row>
    <row r="2042" spans="1:22" x14ac:dyDescent="0.3">
      <c r="A2042" t="s">
        <v>4516</v>
      </c>
      <c r="B2042" t="s">
        <v>4517</v>
      </c>
      <c r="C2042" t="s">
        <v>677</v>
      </c>
      <c r="D2042" t="s">
        <v>4518</v>
      </c>
      <c r="E2042" t="s">
        <v>15</v>
      </c>
      <c r="J2042" s="1">
        <v>45206</v>
      </c>
      <c r="K2042">
        <v>878</v>
      </c>
      <c r="L2042" t="s">
        <v>4519</v>
      </c>
      <c r="M2042">
        <v>4</v>
      </c>
      <c r="N2042" t="str">
        <f>VLOOKUP(M2042,[1]LOJA!$A:$B,2,0)</f>
        <v>ADE</v>
      </c>
      <c r="O2042">
        <v>132</v>
      </c>
      <c r="P2042" t="str">
        <f>VLOOKUP(O2042,[1]OPERADORES!$A:$B,2,0)</f>
        <v>PAMELA GONÇALVES ROSA</v>
      </c>
      <c r="Q2042">
        <v>7</v>
      </c>
      <c r="S2042" t="s">
        <v>4520</v>
      </c>
      <c r="T2042" s="1">
        <v>45206</v>
      </c>
      <c r="U2042">
        <v>-22.03</v>
      </c>
      <c r="V2042">
        <v>-22.03</v>
      </c>
    </row>
    <row r="2043" spans="1:22" x14ac:dyDescent="0.3">
      <c r="A2043" t="s">
        <v>4521</v>
      </c>
      <c r="B2043" t="s">
        <v>4522</v>
      </c>
      <c r="C2043" t="s">
        <v>13</v>
      </c>
      <c r="D2043" t="s">
        <v>760</v>
      </c>
      <c r="E2043" t="s">
        <v>15</v>
      </c>
      <c r="J2043" s="1">
        <v>45309</v>
      </c>
      <c r="K2043">
        <v>775</v>
      </c>
      <c r="L2043" t="s">
        <v>4523</v>
      </c>
      <c r="M2043">
        <v>4</v>
      </c>
      <c r="N2043" t="str">
        <f>VLOOKUP(M2043,[1]LOJA!$A:$B,2,0)</f>
        <v>ADE</v>
      </c>
      <c r="O2043">
        <v>132</v>
      </c>
      <c r="P2043" t="str">
        <f>VLOOKUP(O2043,[1]OPERADORES!$A:$B,2,0)</f>
        <v>PAMELA GONÇALVES ROSA</v>
      </c>
      <c r="Q2043">
        <v>4</v>
      </c>
      <c r="S2043" t="s">
        <v>4524</v>
      </c>
      <c r="T2043" s="1">
        <v>45308</v>
      </c>
      <c r="U2043">
        <v>-0.02</v>
      </c>
      <c r="V2043">
        <v>-0.02</v>
      </c>
    </row>
    <row r="2044" spans="1:22" x14ac:dyDescent="0.3">
      <c r="A2044" t="s">
        <v>4525</v>
      </c>
      <c r="B2044" t="s">
        <v>4526</v>
      </c>
      <c r="C2044" t="s">
        <v>13</v>
      </c>
      <c r="D2044" t="s">
        <v>2475</v>
      </c>
      <c r="E2044" t="s">
        <v>15</v>
      </c>
      <c r="J2044" s="1">
        <v>45744</v>
      </c>
      <c r="K2044">
        <v>340</v>
      </c>
      <c r="L2044" t="s">
        <v>4527</v>
      </c>
      <c r="M2044">
        <v>4</v>
      </c>
      <c r="N2044" t="str">
        <f>VLOOKUP(M2044,[1]LOJA!$A:$B,2,0)</f>
        <v>ADE</v>
      </c>
      <c r="O2044">
        <v>226</v>
      </c>
      <c r="P2044" t="str">
        <f>VLOOKUP(O2044,[1]OPERADORES!$A:$B,2,0)</f>
        <v>MARIA FÉLIX</v>
      </c>
      <c r="Q2044">
        <v>4</v>
      </c>
      <c r="S2044" t="s">
        <v>6050</v>
      </c>
      <c r="T2044" s="1">
        <v>45744</v>
      </c>
      <c r="U2044">
        <v>-7.0000000000000007E-2</v>
      </c>
      <c r="V2044">
        <v>-7.0000000000000007E-2</v>
      </c>
    </row>
    <row r="2045" spans="1:22" x14ac:dyDescent="0.3">
      <c r="A2045" t="s">
        <v>4525</v>
      </c>
      <c r="B2045" t="s">
        <v>4526</v>
      </c>
      <c r="C2045" t="s">
        <v>13</v>
      </c>
      <c r="D2045" t="s">
        <v>2475</v>
      </c>
      <c r="E2045" t="s">
        <v>15</v>
      </c>
      <c r="J2045" s="1">
        <v>45919</v>
      </c>
      <c r="K2045">
        <v>165</v>
      </c>
      <c r="L2045" t="s">
        <v>4528</v>
      </c>
      <c r="M2045">
        <v>4</v>
      </c>
      <c r="N2045" t="str">
        <f>VLOOKUP(M2045,[1]LOJA!$A:$B,2,0)</f>
        <v>ADE</v>
      </c>
      <c r="O2045">
        <v>226</v>
      </c>
      <c r="P2045" t="str">
        <f>VLOOKUP(O2045,[1]OPERADORES!$A:$B,2,0)</f>
        <v>MARIA FÉLIX</v>
      </c>
      <c r="Q2045">
        <v>4</v>
      </c>
      <c r="S2045" t="s">
        <v>4529</v>
      </c>
      <c r="T2045" s="1">
        <v>45919</v>
      </c>
      <c r="U2045">
        <v>-0.6</v>
      </c>
      <c r="V2045">
        <v>-0.6</v>
      </c>
    </row>
    <row r="2046" spans="1:22" x14ac:dyDescent="0.3">
      <c r="A2046" t="s">
        <v>4530</v>
      </c>
      <c r="B2046" t="s">
        <v>32</v>
      </c>
      <c r="C2046" t="s">
        <v>13</v>
      </c>
      <c r="D2046" t="s">
        <v>4531</v>
      </c>
      <c r="E2046" t="s">
        <v>15</v>
      </c>
      <c r="J2046" s="1">
        <v>45045</v>
      </c>
      <c r="K2046">
        <v>1039</v>
      </c>
      <c r="L2046" t="s">
        <v>4532</v>
      </c>
      <c r="M2046">
        <v>14</v>
      </c>
      <c r="N2046" t="str">
        <f>VLOOKUP(M2046,[1]LOJA!$A:$B,2,0)</f>
        <v>S IA</v>
      </c>
      <c r="O2046">
        <v>144</v>
      </c>
      <c r="P2046" t="str">
        <f>VLOOKUP(O2046,[1]OPERADORES!$A:$B,2,0)</f>
        <v>CINTIA DA SILVA CARLOS</v>
      </c>
      <c r="Q2046">
        <v>4</v>
      </c>
      <c r="S2046" t="s">
        <v>4533</v>
      </c>
      <c r="T2046" s="1">
        <v>44973</v>
      </c>
      <c r="U2046">
        <v>-30.08</v>
      </c>
      <c r="V2046">
        <v>-30.08</v>
      </c>
    </row>
    <row r="2047" spans="1:22" x14ac:dyDescent="0.3">
      <c r="A2047" t="s">
        <v>6051</v>
      </c>
      <c r="B2047" t="s">
        <v>32</v>
      </c>
      <c r="C2047" t="s">
        <v>848</v>
      </c>
      <c r="D2047" t="s">
        <v>6052</v>
      </c>
      <c r="E2047" t="s">
        <v>15</v>
      </c>
      <c r="J2047" s="1">
        <v>46073</v>
      </c>
      <c r="K2047">
        <v>11</v>
      </c>
      <c r="L2047" t="s">
        <v>6053</v>
      </c>
      <c r="M2047">
        <v>13</v>
      </c>
      <c r="N2047" t="str">
        <f>VLOOKUP(M2047,[1]LOJA!$A:$B,2,0)</f>
        <v>CEILÂNDIA</v>
      </c>
      <c r="O2047">
        <v>20</v>
      </c>
      <c r="P2047" t="str">
        <f>VLOOKUP(O2047,[1]OPERADORES!$A:$B,2,0)</f>
        <v>MAYARA</v>
      </c>
      <c r="Q2047">
        <v>12</v>
      </c>
      <c r="S2047" t="s">
        <v>6054</v>
      </c>
      <c r="T2047" s="1">
        <v>46057</v>
      </c>
      <c r="U2047">
        <v>652.13</v>
      </c>
      <c r="V2047">
        <v>652.13</v>
      </c>
    </row>
    <row r="2048" spans="1:22" x14ac:dyDescent="0.3">
      <c r="A2048" t="s">
        <v>4534</v>
      </c>
      <c r="B2048" t="s">
        <v>4535</v>
      </c>
      <c r="C2048" t="s">
        <v>1725</v>
      </c>
      <c r="D2048" t="s">
        <v>6055</v>
      </c>
      <c r="E2048" t="s">
        <v>15</v>
      </c>
      <c r="J2048" s="1">
        <v>45449</v>
      </c>
      <c r="K2048">
        <v>635</v>
      </c>
      <c r="L2048" t="s">
        <v>4536</v>
      </c>
      <c r="M2048">
        <v>8</v>
      </c>
      <c r="N2048" t="str">
        <f>VLOOKUP(M2048,[1]LOJA!$A:$B,2,0)</f>
        <v>LUZIÂNIA</v>
      </c>
      <c r="O2048">
        <v>20</v>
      </c>
      <c r="P2048" t="str">
        <f>VLOOKUP(O2048,[1]OPERADORES!$A:$B,2,0)</f>
        <v>MAYARA</v>
      </c>
      <c r="Q2048">
        <v>22</v>
      </c>
      <c r="R2048">
        <v>1000011799</v>
      </c>
      <c r="S2048" t="s">
        <v>4537</v>
      </c>
      <c r="T2048" s="1">
        <v>45327</v>
      </c>
      <c r="U2048" s="2">
        <v>4974.43</v>
      </c>
      <c r="V2048" s="2">
        <v>4974.43</v>
      </c>
    </row>
    <row r="2049" spans="1:22" x14ac:dyDescent="0.3">
      <c r="A2049" t="s">
        <v>4534</v>
      </c>
      <c r="B2049" t="s">
        <v>4535</v>
      </c>
      <c r="C2049" t="s">
        <v>1725</v>
      </c>
      <c r="D2049" t="s">
        <v>6055</v>
      </c>
      <c r="E2049" t="s">
        <v>15</v>
      </c>
      <c r="J2049" s="1">
        <v>45451</v>
      </c>
      <c r="K2049">
        <v>633</v>
      </c>
      <c r="L2049" t="s">
        <v>4538</v>
      </c>
      <c r="M2049">
        <v>8</v>
      </c>
      <c r="N2049" t="str">
        <f>VLOOKUP(M2049,[1]LOJA!$A:$B,2,0)</f>
        <v>LUZIÂNIA</v>
      </c>
      <c r="O2049">
        <v>20</v>
      </c>
      <c r="P2049" t="str">
        <f>VLOOKUP(O2049,[1]OPERADORES!$A:$B,2,0)</f>
        <v>MAYARA</v>
      </c>
      <c r="Q2049">
        <v>22</v>
      </c>
      <c r="R2049">
        <v>1000012371</v>
      </c>
      <c r="S2049" t="s">
        <v>4539</v>
      </c>
      <c r="T2049" s="1">
        <v>45386</v>
      </c>
      <c r="U2049" s="2">
        <v>2827</v>
      </c>
      <c r="V2049" s="2">
        <v>2827</v>
      </c>
    </row>
    <row r="2050" spans="1:22" x14ac:dyDescent="0.3">
      <c r="A2050" t="s">
        <v>4534</v>
      </c>
      <c r="B2050" t="s">
        <v>4535</v>
      </c>
      <c r="C2050" t="s">
        <v>1725</v>
      </c>
      <c r="D2050" t="s">
        <v>6055</v>
      </c>
      <c r="E2050" t="s">
        <v>15</v>
      </c>
      <c r="J2050" s="1">
        <v>45451</v>
      </c>
      <c r="K2050">
        <v>633</v>
      </c>
      <c r="L2050" t="s">
        <v>4540</v>
      </c>
      <c r="M2050">
        <v>8</v>
      </c>
      <c r="N2050" t="str">
        <f>VLOOKUP(M2050,[1]LOJA!$A:$B,2,0)</f>
        <v>LUZIÂNIA</v>
      </c>
      <c r="O2050">
        <v>20</v>
      </c>
      <c r="P2050" t="str">
        <f>VLOOKUP(O2050,[1]OPERADORES!$A:$B,2,0)</f>
        <v>MAYARA</v>
      </c>
      <c r="Q2050">
        <v>22</v>
      </c>
      <c r="R2050">
        <v>1000012374</v>
      </c>
      <c r="S2050" t="s">
        <v>4541</v>
      </c>
      <c r="T2050" s="1">
        <v>45386</v>
      </c>
      <c r="U2050" s="2">
        <v>1673.75</v>
      </c>
      <c r="V2050" s="2">
        <v>1673.75</v>
      </c>
    </row>
    <row r="2051" spans="1:22" x14ac:dyDescent="0.3">
      <c r="A2051" t="s">
        <v>4534</v>
      </c>
      <c r="B2051" t="s">
        <v>4535</v>
      </c>
      <c r="C2051" t="s">
        <v>1725</v>
      </c>
      <c r="D2051" t="s">
        <v>6055</v>
      </c>
      <c r="E2051" t="s">
        <v>15</v>
      </c>
      <c r="J2051" s="1">
        <v>45458</v>
      </c>
      <c r="K2051">
        <v>626</v>
      </c>
      <c r="L2051" t="s">
        <v>4542</v>
      </c>
      <c r="M2051">
        <v>8</v>
      </c>
      <c r="N2051" t="str">
        <f>VLOOKUP(M2051,[1]LOJA!$A:$B,2,0)</f>
        <v>LUZIÂNIA</v>
      </c>
      <c r="O2051">
        <v>20</v>
      </c>
      <c r="P2051" t="str">
        <f>VLOOKUP(O2051,[1]OPERADORES!$A:$B,2,0)</f>
        <v>MAYARA</v>
      </c>
      <c r="Q2051">
        <v>22</v>
      </c>
      <c r="R2051">
        <v>1000011326</v>
      </c>
      <c r="S2051" t="s">
        <v>4543</v>
      </c>
      <c r="T2051" s="1">
        <v>45267</v>
      </c>
      <c r="U2051" s="2">
        <v>4663</v>
      </c>
      <c r="V2051" s="2">
        <v>4663</v>
      </c>
    </row>
    <row r="2052" spans="1:22" x14ac:dyDescent="0.3">
      <c r="A2052" t="s">
        <v>4534</v>
      </c>
      <c r="B2052" t="s">
        <v>4535</v>
      </c>
      <c r="C2052" t="s">
        <v>1725</v>
      </c>
      <c r="D2052" t="s">
        <v>6055</v>
      </c>
      <c r="E2052" t="s">
        <v>15</v>
      </c>
      <c r="J2052" s="1">
        <v>45477</v>
      </c>
      <c r="K2052">
        <v>607</v>
      </c>
      <c r="L2052" t="s">
        <v>4544</v>
      </c>
      <c r="M2052">
        <v>8</v>
      </c>
      <c r="N2052" t="str">
        <f>VLOOKUP(M2052,[1]LOJA!$A:$B,2,0)</f>
        <v>LUZIÂNIA</v>
      </c>
      <c r="O2052">
        <v>20</v>
      </c>
      <c r="P2052" t="str">
        <f>VLOOKUP(O2052,[1]OPERADORES!$A:$B,2,0)</f>
        <v>MAYARA</v>
      </c>
      <c r="Q2052">
        <v>22</v>
      </c>
      <c r="R2052">
        <v>1000011544</v>
      </c>
      <c r="S2052" t="s">
        <v>4545</v>
      </c>
      <c r="T2052" s="1">
        <v>45295</v>
      </c>
      <c r="U2052" s="2">
        <v>4636</v>
      </c>
      <c r="V2052" s="2">
        <v>4636</v>
      </c>
    </row>
    <row r="2053" spans="1:22" x14ac:dyDescent="0.3">
      <c r="A2053" t="s">
        <v>4534</v>
      </c>
      <c r="B2053" t="s">
        <v>4535</v>
      </c>
      <c r="C2053" t="s">
        <v>1725</v>
      </c>
      <c r="D2053" t="s">
        <v>6055</v>
      </c>
      <c r="E2053" t="s">
        <v>15</v>
      </c>
      <c r="J2053" s="1">
        <v>45478</v>
      </c>
      <c r="K2053">
        <v>606</v>
      </c>
      <c r="L2053" t="s">
        <v>4546</v>
      </c>
      <c r="M2053">
        <v>8</v>
      </c>
      <c r="N2053" t="str">
        <f>VLOOKUP(M2053,[1]LOJA!$A:$B,2,0)</f>
        <v>LUZIÂNIA</v>
      </c>
      <c r="O2053">
        <v>20</v>
      </c>
      <c r="P2053" t="str">
        <f>VLOOKUP(O2053,[1]OPERADORES!$A:$B,2,0)</f>
        <v>MAYARA</v>
      </c>
      <c r="Q2053">
        <v>22</v>
      </c>
      <c r="R2053">
        <v>1000012101</v>
      </c>
      <c r="S2053" t="s">
        <v>4547</v>
      </c>
      <c r="T2053" s="1">
        <v>45357</v>
      </c>
      <c r="U2053" s="2">
        <v>5493</v>
      </c>
      <c r="V2053" s="2">
        <v>5493</v>
      </c>
    </row>
    <row r="2054" spans="1:22" x14ac:dyDescent="0.3">
      <c r="A2054" t="s">
        <v>4534</v>
      </c>
      <c r="B2054" t="s">
        <v>4535</v>
      </c>
      <c r="C2054" t="s">
        <v>1725</v>
      </c>
      <c r="D2054" t="s">
        <v>6055</v>
      </c>
      <c r="E2054" t="s">
        <v>15</v>
      </c>
      <c r="J2054" s="1">
        <v>45478</v>
      </c>
      <c r="K2054">
        <v>606</v>
      </c>
      <c r="L2054" t="s">
        <v>4548</v>
      </c>
      <c r="M2054">
        <v>8</v>
      </c>
      <c r="N2054" t="str">
        <f>VLOOKUP(M2054,[1]LOJA!$A:$B,2,0)</f>
        <v>LUZIÂNIA</v>
      </c>
      <c r="O2054">
        <v>20</v>
      </c>
      <c r="P2054" t="str">
        <f>VLOOKUP(O2054,[1]OPERADORES!$A:$B,2,0)</f>
        <v>MAYARA</v>
      </c>
      <c r="Q2054">
        <v>22</v>
      </c>
      <c r="R2054">
        <v>1000012723</v>
      </c>
      <c r="S2054" t="s">
        <v>4549</v>
      </c>
      <c r="T2054" s="1">
        <v>45418</v>
      </c>
      <c r="U2054" s="2">
        <v>3909</v>
      </c>
      <c r="V2054" s="2">
        <v>3909</v>
      </c>
    </row>
    <row r="2055" spans="1:22" x14ac:dyDescent="0.3">
      <c r="A2055" t="s">
        <v>4534</v>
      </c>
      <c r="B2055" t="s">
        <v>4535</v>
      </c>
      <c r="C2055" t="s">
        <v>1725</v>
      </c>
      <c r="D2055" t="s">
        <v>6055</v>
      </c>
      <c r="E2055" t="s">
        <v>15</v>
      </c>
      <c r="J2055" s="1">
        <v>45479</v>
      </c>
      <c r="K2055">
        <v>605</v>
      </c>
      <c r="L2055" t="s">
        <v>4550</v>
      </c>
      <c r="M2055">
        <v>8</v>
      </c>
      <c r="N2055" t="str">
        <f>VLOOKUP(M2055,[1]LOJA!$A:$B,2,0)</f>
        <v>LUZIÂNIA</v>
      </c>
      <c r="O2055">
        <v>20</v>
      </c>
      <c r="P2055" t="str">
        <f>VLOOKUP(O2055,[1]OPERADORES!$A:$B,2,0)</f>
        <v>MAYARA</v>
      </c>
      <c r="Q2055">
        <v>22</v>
      </c>
      <c r="R2055">
        <v>1000011800</v>
      </c>
      <c r="S2055" t="s">
        <v>4551</v>
      </c>
      <c r="T2055" s="1">
        <v>45327</v>
      </c>
      <c r="U2055" s="2">
        <v>5455</v>
      </c>
      <c r="V2055" s="2">
        <v>5455</v>
      </c>
    </row>
    <row r="2056" spans="1:22" x14ac:dyDescent="0.3">
      <c r="A2056" t="s">
        <v>4534</v>
      </c>
      <c r="B2056" t="s">
        <v>4535</v>
      </c>
      <c r="C2056" t="s">
        <v>1725</v>
      </c>
      <c r="D2056" t="s">
        <v>6055</v>
      </c>
      <c r="E2056" t="s">
        <v>15</v>
      </c>
      <c r="J2056" s="1">
        <v>45481</v>
      </c>
      <c r="K2056">
        <v>603</v>
      </c>
      <c r="L2056" t="s">
        <v>4552</v>
      </c>
      <c r="M2056">
        <v>8</v>
      </c>
      <c r="N2056" t="str">
        <f>VLOOKUP(M2056,[1]LOJA!$A:$B,2,0)</f>
        <v>LUZIÂNIA</v>
      </c>
      <c r="O2056">
        <v>20</v>
      </c>
      <c r="P2056" t="str">
        <f>VLOOKUP(O2056,[1]OPERADORES!$A:$B,2,0)</f>
        <v>MAYARA</v>
      </c>
      <c r="Q2056">
        <v>22</v>
      </c>
      <c r="R2056">
        <v>1000012372</v>
      </c>
      <c r="S2056" t="s">
        <v>4553</v>
      </c>
      <c r="T2056" s="1">
        <v>45386</v>
      </c>
      <c r="U2056" s="2">
        <v>2827</v>
      </c>
      <c r="V2056" s="2">
        <v>2827</v>
      </c>
    </row>
    <row r="2057" spans="1:22" x14ac:dyDescent="0.3">
      <c r="A2057" t="s">
        <v>4534</v>
      </c>
      <c r="B2057" t="s">
        <v>4535</v>
      </c>
      <c r="C2057" t="s">
        <v>1725</v>
      </c>
      <c r="D2057" t="s">
        <v>6055</v>
      </c>
      <c r="E2057" t="s">
        <v>15</v>
      </c>
      <c r="J2057" s="1">
        <v>45481</v>
      </c>
      <c r="K2057">
        <v>603</v>
      </c>
      <c r="L2057" t="s">
        <v>4554</v>
      </c>
      <c r="M2057">
        <v>8</v>
      </c>
      <c r="N2057" t="str">
        <f>VLOOKUP(M2057,[1]LOJA!$A:$B,2,0)</f>
        <v>LUZIÂNIA</v>
      </c>
      <c r="O2057">
        <v>20</v>
      </c>
      <c r="P2057" t="str">
        <f>VLOOKUP(O2057,[1]OPERADORES!$A:$B,2,0)</f>
        <v>MAYARA</v>
      </c>
      <c r="Q2057">
        <v>22</v>
      </c>
      <c r="R2057">
        <v>1000012375</v>
      </c>
      <c r="S2057" t="s">
        <v>4555</v>
      </c>
      <c r="T2057" s="1">
        <v>45386</v>
      </c>
      <c r="U2057" s="2">
        <v>1673</v>
      </c>
      <c r="V2057" s="2">
        <v>1673</v>
      </c>
    </row>
    <row r="2058" spans="1:22" x14ac:dyDescent="0.3">
      <c r="A2058" t="s">
        <v>4534</v>
      </c>
      <c r="B2058" t="s">
        <v>4535</v>
      </c>
      <c r="C2058" t="s">
        <v>1725</v>
      </c>
      <c r="D2058" t="s">
        <v>6055</v>
      </c>
      <c r="E2058" t="s">
        <v>15</v>
      </c>
      <c r="J2058" s="1">
        <v>45508</v>
      </c>
      <c r="K2058">
        <v>576</v>
      </c>
      <c r="L2058" t="s">
        <v>4556</v>
      </c>
      <c r="M2058">
        <v>8</v>
      </c>
      <c r="N2058" t="str">
        <f>VLOOKUP(M2058,[1]LOJA!$A:$B,2,0)</f>
        <v>LUZIÂNIA</v>
      </c>
      <c r="O2058">
        <v>20</v>
      </c>
      <c r="P2058" t="str">
        <f>VLOOKUP(O2058,[1]OPERADORES!$A:$B,2,0)</f>
        <v>MAYARA</v>
      </c>
      <c r="Q2058">
        <v>22</v>
      </c>
      <c r="R2058">
        <v>1000012724</v>
      </c>
      <c r="S2058" t="s">
        <v>4557</v>
      </c>
      <c r="T2058" s="1">
        <v>45418</v>
      </c>
      <c r="U2058" s="2">
        <v>3909</v>
      </c>
      <c r="V2058" s="2">
        <v>3909</v>
      </c>
    </row>
    <row r="2059" spans="1:22" x14ac:dyDescent="0.3">
      <c r="A2059" t="s">
        <v>4534</v>
      </c>
      <c r="B2059" t="s">
        <v>4535</v>
      </c>
      <c r="C2059" t="s">
        <v>1725</v>
      </c>
      <c r="D2059" t="s">
        <v>6055</v>
      </c>
      <c r="E2059" t="s">
        <v>15</v>
      </c>
      <c r="J2059" s="1">
        <v>45509</v>
      </c>
      <c r="K2059">
        <v>575</v>
      </c>
      <c r="L2059" t="s">
        <v>4558</v>
      </c>
      <c r="M2059">
        <v>8</v>
      </c>
      <c r="N2059" t="str">
        <f>VLOOKUP(M2059,[1]LOJA!$A:$B,2,0)</f>
        <v>LUZIÂNIA</v>
      </c>
      <c r="O2059">
        <v>20</v>
      </c>
      <c r="P2059" t="str">
        <f>VLOOKUP(O2059,[1]OPERADORES!$A:$B,2,0)</f>
        <v>MAYARA</v>
      </c>
      <c r="Q2059">
        <v>22</v>
      </c>
      <c r="R2059">
        <v>1000012102</v>
      </c>
      <c r="S2059" t="s">
        <v>4559</v>
      </c>
      <c r="T2059" s="1">
        <v>45357</v>
      </c>
      <c r="U2059" s="2">
        <v>5493</v>
      </c>
      <c r="V2059" s="2">
        <v>5493</v>
      </c>
    </row>
    <row r="2060" spans="1:22" x14ac:dyDescent="0.3">
      <c r="A2060" t="s">
        <v>4534</v>
      </c>
      <c r="B2060" t="s">
        <v>4535</v>
      </c>
      <c r="C2060" t="s">
        <v>1725</v>
      </c>
      <c r="D2060" t="s">
        <v>6055</v>
      </c>
      <c r="E2060" t="s">
        <v>15</v>
      </c>
      <c r="J2060" s="1">
        <v>45512</v>
      </c>
      <c r="K2060">
        <v>572</v>
      </c>
      <c r="L2060" t="s">
        <v>4560</v>
      </c>
      <c r="M2060">
        <v>8</v>
      </c>
      <c r="N2060" t="str">
        <f>VLOOKUP(M2060,[1]LOJA!$A:$B,2,0)</f>
        <v>LUZIÂNIA</v>
      </c>
      <c r="O2060">
        <v>20</v>
      </c>
      <c r="P2060" t="str">
        <f>VLOOKUP(O2060,[1]OPERADORES!$A:$B,2,0)</f>
        <v>MAYARA</v>
      </c>
      <c r="Q2060">
        <v>22</v>
      </c>
      <c r="R2060">
        <v>1000012373</v>
      </c>
      <c r="S2060" t="s">
        <v>4561</v>
      </c>
      <c r="T2060" s="1">
        <v>45386</v>
      </c>
      <c r="U2060" s="2">
        <v>2827</v>
      </c>
      <c r="V2060" s="2">
        <v>2827</v>
      </c>
    </row>
    <row r="2061" spans="1:22" x14ac:dyDescent="0.3">
      <c r="A2061" t="s">
        <v>4534</v>
      </c>
      <c r="B2061" t="s">
        <v>4535</v>
      </c>
      <c r="C2061" t="s">
        <v>1725</v>
      </c>
      <c r="D2061" t="s">
        <v>6055</v>
      </c>
      <c r="E2061" t="s">
        <v>15</v>
      </c>
      <c r="J2061" s="1">
        <v>45512</v>
      </c>
      <c r="K2061">
        <v>572</v>
      </c>
      <c r="L2061" t="s">
        <v>4562</v>
      </c>
      <c r="M2061">
        <v>8</v>
      </c>
      <c r="N2061" t="str">
        <f>VLOOKUP(M2061,[1]LOJA!$A:$B,2,0)</f>
        <v>LUZIÂNIA</v>
      </c>
      <c r="O2061">
        <v>20</v>
      </c>
      <c r="P2061" t="str">
        <f>VLOOKUP(O2061,[1]OPERADORES!$A:$B,2,0)</f>
        <v>MAYARA</v>
      </c>
      <c r="Q2061">
        <v>22</v>
      </c>
      <c r="R2061">
        <v>1000012376</v>
      </c>
      <c r="S2061" t="s">
        <v>4563</v>
      </c>
      <c r="T2061" s="1">
        <v>45386</v>
      </c>
      <c r="U2061" s="2">
        <v>1673</v>
      </c>
      <c r="V2061" s="2">
        <v>1673</v>
      </c>
    </row>
    <row r="2062" spans="1:22" x14ac:dyDescent="0.3">
      <c r="A2062" t="s">
        <v>4534</v>
      </c>
      <c r="B2062" t="s">
        <v>4535</v>
      </c>
      <c r="C2062" t="s">
        <v>1725</v>
      </c>
      <c r="D2062" t="s">
        <v>6055</v>
      </c>
      <c r="E2062" t="s">
        <v>15</v>
      </c>
      <c r="J2062" s="1">
        <v>45538</v>
      </c>
      <c r="K2062">
        <v>546</v>
      </c>
      <c r="L2062" t="s">
        <v>4564</v>
      </c>
      <c r="M2062">
        <v>8</v>
      </c>
      <c r="N2062" t="str">
        <f>VLOOKUP(M2062,[1]LOJA!$A:$B,2,0)</f>
        <v>LUZIÂNIA</v>
      </c>
      <c r="O2062">
        <v>20</v>
      </c>
      <c r="P2062" t="str">
        <f>VLOOKUP(O2062,[1]OPERADORES!$A:$B,2,0)</f>
        <v>MAYARA</v>
      </c>
      <c r="Q2062">
        <v>22</v>
      </c>
      <c r="R2062">
        <v>1000012725</v>
      </c>
      <c r="S2062" t="s">
        <v>4565</v>
      </c>
      <c r="T2062" s="1">
        <v>45418</v>
      </c>
      <c r="U2062" s="2">
        <v>3909</v>
      </c>
      <c r="V2062" s="2">
        <v>3909</v>
      </c>
    </row>
    <row r="2063" spans="1:22" x14ac:dyDescent="0.3">
      <c r="A2063" t="s">
        <v>4534</v>
      </c>
      <c r="B2063" t="s">
        <v>4535</v>
      </c>
      <c r="C2063" t="s">
        <v>1725</v>
      </c>
      <c r="D2063" t="s">
        <v>6055</v>
      </c>
      <c r="E2063" t="s">
        <v>15</v>
      </c>
      <c r="J2063" s="1">
        <v>45543</v>
      </c>
      <c r="K2063">
        <v>541</v>
      </c>
      <c r="L2063" t="s">
        <v>4566</v>
      </c>
      <c r="M2063">
        <v>8</v>
      </c>
      <c r="N2063" t="str">
        <f>VLOOKUP(M2063,[1]LOJA!$A:$B,2,0)</f>
        <v>LUZIÂNIA</v>
      </c>
      <c r="O2063">
        <v>20</v>
      </c>
      <c r="P2063" t="str">
        <f>VLOOKUP(O2063,[1]OPERADORES!$A:$B,2,0)</f>
        <v>MAYARA</v>
      </c>
      <c r="Q2063">
        <v>22</v>
      </c>
      <c r="R2063">
        <v>1000012377</v>
      </c>
      <c r="S2063" t="s">
        <v>4567</v>
      </c>
      <c r="T2063" s="1">
        <v>45386</v>
      </c>
      <c r="U2063" s="2">
        <v>1673</v>
      </c>
      <c r="V2063" s="2">
        <v>1673</v>
      </c>
    </row>
    <row r="2064" spans="1:22" x14ac:dyDescent="0.3">
      <c r="A2064" t="s">
        <v>4534</v>
      </c>
      <c r="B2064" t="s">
        <v>4535</v>
      </c>
      <c r="C2064" t="s">
        <v>1725</v>
      </c>
      <c r="D2064" t="s">
        <v>6055</v>
      </c>
      <c r="E2064" t="s">
        <v>15</v>
      </c>
      <c r="J2064" s="1">
        <v>45573</v>
      </c>
      <c r="K2064">
        <v>511</v>
      </c>
      <c r="L2064" t="s">
        <v>4568</v>
      </c>
      <c r="M2064">
        <v>8</v>
      </c>
      <c r="N2064" t="str">
        <f>VLOOKUP(M2064,[1]LOJA!$A:$B,2,0)</f>
        <v>LUZIÂNIA</v>
      </c>
      <c r="O2064">
        <v>20</v>
      </c>
      <c r="P2064" t="str">
        <f>VLOOKUP(O2064,[1]OPERADORES!$A:$B,2,0)</f>
        <v>MAYARA</v>
      </c>
      <c r="Q2064">
        <v>22</v>
      </c>
      <c r="R2064">
        <v>1000012378</v>
      </c>
      <c r="S2064" t="s">
        <v>4569</v>
      </c>
      <c r="T2064" s="1">
        <v>45386</v>
      </c>
      <c r="U2064" s="2">
        <v>1673</v>
      </c>
      <c r="V2064" s="2">
        <v>1673</v>
      </c>
    </row>
    <row r="2065" spans="1:22" x14ac:dyDescent="0.3">
      <c r="A2065" t="s">
        <v>4534</v>
      </c>
      <c r="B2065" t="s">
        <v>4535</v>
      </c>
      <c r="C2065" t="s">
        <v>1725</v>
      </c>
      <c r="D2065" t="s">
        <v>6055</v>
      </c>
      <c r="E2065" t="s">
        <v>15</v>
      </c>
      <c r="J2065" s="1">
        <v>45824</v>
      </c>
      <c r="K2065">
        <v>260</v>
      </c>
      <c r="L2065" t="s">
        <v>4570</v>
      </c>
      <c r="M2065">
        <v>8</v>
      </c>
      <c r="N2065" t="str">
        <f>VLOOKUP(M2065,[1]LOJA!$A:$B,2,0)</f>
        <v>LUZIÂNIA</v>
      </c>
      <c r="O2065">
        <v>20</v>
      </c>
      <c r="P2065" t="str">
        <f>VLOOKUP(O2065,[1]OPERADORES!$A:$B,2,0)</f>
        <v>MAYARA</v>
      </c>
      <c r="Q2065">
        <v>22</v>
      </c>
      <c r="S2065" t="s">
        <v>4571</v>
      </c>
      <c r="T2065" s="1">
        <v>45813</v>
      </c>
      <c r="U2065" s="2">
        <v>8000</v>
      </c>
      <c r="V2065" s="2">
        <v>8000</v>
      </c>
    </row>
    <row r="2066" spans="1:22" x14ac:dyDescent="0.3">
      <c r="A2066" t="s">
        <v>4534</v>
      </c>
      <c r="B2066" t="s">
        <v>4535</v>
      </c>
      <c r="C2066" t="s">
        <v>1725</v>
      </c>
      <c r="D2066" t="s">
        <v>6055</v>
      </c>
      <c r="E2066" t="s">
        <v>15</v>
      </c>
      <c r="J2066" s="1">
        <v>46050</v>
      </c>
      <c r="K2066">
        <v>34</v>
      </c>
      <c r="L2066" t="s">
        <v>4572</v>
      </c>
      <c r="M2066">
        <v>24</v>
      </c>
      <c r="N2066" t="str">
        <f>VLOOKUP(M2066,[1]LOJA!$A:$B,2,0)</f>
        <v>LUZIÂNIA</v>
      </c>
      <c r="O2066">
        <v>150</v>
      </c>
      <c r="P2066" t="str">
        <f>VLOOKUP(O2066,[1]OPERADORES!$A:$B,2,0)</f>
        <v>LUZIBERTO GOMES DA SILVA</v>
      </c>
      <c r="Q2066">
        <v>7</v>
      </c>
      <c r="S2066" t="s">
        <v>87</v>
      </c>
      <c r="T2066" s="1">
        <v>46049</v>
      </c>
      <c r="U2066">
        <v>563</v>
      </c>
      <c r="V2066">
        <v>563</v>
      </c>
    </row>
    <row r="2067" spans="1:22" x14ac:dyDescent="0.3">
      <c r="A2067" t="s">
        <v>4534</v>
      </c>
      <c r="B2067" t="s">
        <v>4535</v>
      </c>
      <c r="C2067" t="s">
        <v>1725</v>
      </c>
      <c r="D2067" t="s">
        <v>6055</v>
      </c>
      <c r="E2067" t="s">
        <v>15</v>
      </c>
      <c r="J2067" s="1">
        <v>46051</v>
      </c>
      <c r="K2067">
        <v>33</v>
      </c>
      <c r="L2067" t="s">
        <v>4573</v>
      </c>
      <c r="M2067">
        <v>24</v>
      </c>
      <c r="N2067" t="str">
        <f>VLOOKUP(M2067,[1]LOJA!$A:$B,2,0)</f>
        <v>LUZIÂNIA</v>
      </c>
      <c r="O2067">
        <v>150</v>
      </c>
      <c r="P2067" t="str">
        <f>VLOOKUP(O2067,[1]OPERADORES!$A:$B,2,0)</f>
        <v>LUZIBERTO GOMES DA SILVA</v>
      </c>
      <c r="Q2067">
        <v>7</v>
      </c>
      <c r="S2067" t="s">
        <v>87</v>
      </c>
      <c r="T2067" s="1">
        <v>46050</v>
      </c>
      <c r="U2067" s="2">
        <v>1212.5999999999999</v>
      </c>
      <c r="V2067" s="2">
        <v>1212.5999999999999</v>
      </c>
    </row>
    <row r="2068" spans="1:22" x14ac:dyDescent="0.3">
      <c r="A2068" t="s">
        <v>4534</v>
      </c>
      <c r="B2068" t="s">
        <v>4535</v>
      </c>
      <c r="C2068" t="s">
        <v>1725</v>
      </c>
      <c r="D2068" t="s">
        <v>6055</v>
      </c>
      <c r="E2068" t="s">
        <v>15</v>
      </c>
      <c r="J2068" s="1">
        <v>46052</v>
      </c>
      <c r="K2068">
        <v>32</v>
      </c>
      <c r="L2068" t="s">
        <v>4574</v>
      </c>
      <c r="M2068">
        <v>24</v>
      </c>
      <c r="N2068" t="str">
        <f>VLOOKUP(M2068,[1]LOJA!$A:$B,2,0)</f>
        <v>LUZIÂNIA</v>
      </c>
      <c r="O2068">
        <v>150</v>
      </c>
      <c r="P2068" t="str">
        <f>VLOOKUP(O2068,[1]OPERADORES!$A:$B,2,0)</f>
        <v>LUZIBERTO GOMES DA SILVA</v>
      </c>
      <c r="Q2068">
        <v>7</v>
      </c>
      <c r="S2068" t="s">
        <v>87</v>
      </c>
      <c r="T2068" s="1">
        <v>46051</v>
      </c>
      <c r="U2068" s="2">
        <v>1274.78</v>
      </c>
      <c r="V2068" s="2">
        <v>1274.78</v>
      </c>
    </row>
    <row r="2069" spans="1:22" x14ac:dyDescent="0.3">
      <c r="A2069" t="s">
        <v>4534</v>
      </c>
      <c r="B2069" t="s">
        <v>4535</v>
      </c>
      <c r="C2069" t="s">
        <v>1725</v>
      </c>
      <c r="D2069" t="s">
        <v>6055</v>
      </c>
      <c r="E2069" t="s">
        <v>15</v>
      </c>
      <c r="J2069" s="1">
        <v>46056</v>
      </c>
      <c r="K2069">
        <v>28</v>
      </c>
      <c r="L2069" t="s">
        <v>4575</v>
      </c>
      <c r="M2069">
        <v>24</v>
      </c>
      <c r="N2069" t="str">
        <f>VLOOKUP(M2069,[1]LOJA!$A:$B,2,0)</f>
        <v>LUZIÂNIA</v>
      </c>
      <c r="O2069">
        <v>150</v>
      </c>
      <c r="P2069" t="str">
        <f>VLOOKUP(O2069,[1]OPERADORES!$A:$B,2,0)</f>
        <v>LUZIBERTO GOMES DA SILVA</v>
      </c>
      <c r="Q2069">
        <v>7</v>
      </c>
      <c r="S2069" t="s">
        <v>87</v>
      </c>
      <c r="T2069" s="1">
        <v>46055</v>
      </c>
      <c r="U2069">
        <v>638.20000000000005</v>
      </c>
      <c r="V2069">
        <v>638.20000000000005</v>
      </c>
    </row>
    <row r="2070" spans="1:22" x14ac:dyDescent="0.3">
      <c r="A2070" t="s">
        <v>4534</v>
      </c>
      <c r="B2070" t="s">
        <v>4535</v>
      </c>
      <c r="C2070" t="s">
        <v>1725</v>
      </c>
      <c r="D2070" t="s">
        <v>6055</v>
      </c>
      <c r="E2070" t="s">
        <v>15</v>
      </c>
      <c r="J2070" s="1">
        <v>46056</v>
      </c>
      <c r="K2070">
        <v>28</v>
      </c>
      <c r="L2070" t="s">
        <v>4576</v>
      </c>
      <c r="M2070">
        <v>24</v>
      </c>
      <c r="N2070" t="str">
        <f>VLOOKUP(M2070,[1]LOJA!$A:$B,2,0)</f>
        <v>LUZIÂNIA</v>
      </c>
      <c r="O2070">
        <v>150</v>
      </c>
      <c r="P2070" t="str">
        <f>VLOOKUP(O2070,[1]OPERADORES!$A:$B,2,0)</f>
        <v>LUZIBERTO GOMES DA SILVA</v>
      </c>
      <c r="Q2070">
        <v>7</v>
      </c>
      <c r="S2070" t="s">
        <v>87</v>
      </c>
      <c r="T2070" s="1">
        <v>46055</v>
      </c>
      <c r="U2070">
        <v>539.1</v>
      </c>
      <c r="V2070">
        <v>539.1</v>
      </c>
    </row>
    <row r="2071" spans="1:22" x14ac:dyDescent="0.3">
      <c r="A2071" t="s">
        <v>4534</v>
      </c>
      <c r="B2071" t="s">
        <v>4535</v>
      </c>
      <c r="C2071" t="s">
        <v>1725</v>
      </c>
      <c r="D2071" t="s">
        <v>6055</v>
      </c>
      <c r="E2071" t="s">
        <v>15</v>
      </c>
      <c r="J2071" s="1">
        <v>46057</v>
      </c>
      <c r="K2071">
        <v>27</v>
      </c>
      <c r="L2071" t="s">
        <v>4577</v>
      </c>
      <c r="M2071">
        <v>24</v>
      </c>
      <c r="N2071" t="str">
        <f>VLOOKUP(M2071,[1]LOJA!$A:$B,2,0)</f>
        <v>LUZIÂNIA</v>
      </c>
      <c r="O2071">
        <v>150</v>
      </c>
      <c r="P2071" t="str">
        <f>VLOOKUP(O2071,[1]OPERADORES!$A:$B,2,0)</f>
        <v>LUZIBERTO GOMES DA SILVA</v>
      </c>
      <c r="Q2071">
        <v>7</v>
      </c>
      <c r="S2071" t="s">
        <v>87</v>
      </c>
      <c r="T2071" s="1">
        <v>46056</v>
      </c>
      <c r="U2071">
        <v>59.9</v>
      </c>
      <c r="V2071">
        <v>59.9</v>
      </c>
    </row>
    <row r="2072" spans="1:22" x14ac:dyDescent="0.3">
      <c r="A2072" t="s">
        <v>4534</v>
      </c>
      <c r="B2072" t="s">
        <v>4535</v>
      </c>
      <c r="C2072" t="s">
        <v>1725</v>
      </c>
      <c r="D2072" t="s">
        <v>6055</v>
      </c>
      <c r="E2072" t="s">
        <v>15</v>
      </c>
      <c r="J2072" s="1">
        <v>46057</v>
      </c>
      <c r="K2072">
        <v>27</v>
      </c>
      <c r="L2072" t="s">
        <v>4578</v>
      </c>
      <c r="M2072">
        <v>24</v>
      </c>
      <c r="N2072" t="str">
        <f>VLOOKUP(M2072,[1]LOJA!$A:$B,2,0)</f>
        <v>LUZIÂNIA</v>
      </c>
      <c r="O2072">
        <v>150</v>
      </c>
      <c r="P2072" t="str">
        <f>VLOOKUP(O2072,[1]OPERADORES!$A:$B,2,0)</f>
        <v>LUZIBERTO GOMES DA SILVA</v>
      </c>
      <c r="Q2072">
        <v>7</v>
      </c>
      <c r="S2072" t="s">
        <v>87</v>
      </c>
      <c r="T2072" s="1">
        <v>46056</v>
      </c>
      <c r="U2072">
        <v>103</v>
      </c>
      <c r="V2072">
        <v>103</v>
      </c>
    </row>
    <row r="2073" spans="1:22" x14ac:dyDescent="0.3">
      <c r="A2073" t="s">
        <v>4534</v>
      </c>
      <c r="B2073" t="s">
        <v>4535</v>
      </c>
      <c r="C2073" t="s">
        <v>1725</v>
      </c>
      <c r="D2073" t="s">
        <v>6055</v>
      </c>
      <c r="E2073" t="s">
        <v>15</v>
      </c>
      <c r="J2073" s="1">
        <v>46057</v>
      </c>
      <c r="K2073">
        <v>27</v>
      </c>
      <c r="L2073" t="s">
        <v>4579</v>
      </c>
      <c r="M2073">
        <v>24</v>
      </c>
      <c r="N2073" t="str">
        <f>VLOOKUP(M2073,[1]LOJA!$A:$B,2,0)</f>
        <v>LUZIÂNIA</v>
      </c>
      <c r="O2073">
        <v>192</v>
      </c>
      <c r="P2073" t="str">
        <f>VLOOKUP(O2073,[1]OPERADORES!$A:$B,2,0)</f>
        <v>CIDA</v>
      </c>
      <c r="Q2073">
        <v>7</v>
      </c>
      <c r="S2073" t="s">
        <v>87</v>
      </c>
      <c r="T2073" s="1">
        <v>46056</v>
      </c>
      <c r="U2073">
        <v>749.87</v>
      </c>
      <c r="V2073">
        <v>749.87</v>
      </c>
    </row>
    <row r="2074" spans="1:22" x14ac:dyDescent="0.3">
      <c r="A2074" t="s">
        <v>4534</v>
      </c>
      <c r="B2074" t="s">
        <v>4535</v>
      </c>
      <c r="C2074" t="s">
        <v>1725</v>
      </c>
      <c r="D2074" t="s">
        <v>6055</v>
      </c>
      <c r="E2074" t="s">
        <v>15</v>
      </c>
      <c r="J2074" s="1">
        <v>46058</v>
      </c>
      <c r="K2074">
        <v>26</v>
      </c>
      <c r="L2074" t="s">
        <v>4580</v>
      </c>
      <c r="M2074">
        <v>24</v>
      </c>
      <c r="N2074" t="str">
        <f>VLOOKUP(M2074,[1]LOJA!$A:$B,2,0)</f>
        <v>LUZIÂNIA</v>
      </c>
      <c r="O2074">
        <v>150</v>
      </c>
      <c r="P2074" t="str">
        <f>VLOOKUP(O2074,[1]OPERADORES!$A:$B,2,0)</f>
        <v>LUZIBERTO GOMES DA SILVA</v>
      </c>
      <c r="Q2074">
        <v>7</v>
      </c>
      <c r="S2074" t="s">
        <v>87</v>
      </c>
      <c r="T2074" s="1">
        <v>46057</v>
      </c>
      <c r="U2074">
        <v>562.33000000000004</v>
      </c>
      <c r="V2074">
        <v>562.33000000000004</v>
      </c>
    </row>
    <row r="2075" spans="1:22" x14ac:dyDescent="0.3">
      <c r="A2075" t="s">
        <v>4534</v>
      </c>
      <c r="B2075" t="s">
        <v>4535</v>
      </c>
      <c r="C2075" t="s">
        <v>1725</v>
      </c>
      <c r="D2075" t="s">
        <v>6055</v>
      </c>
      <c r="E2075" t="s">
        <v>15</v>
      </c>
      <c r="J2075" s="1">
        <v>46058</v>
      </c>
      <c r="K2075">
        <v>26</v>
      </c>
      <c r="L2075" t="s">
        <v>4581</v>
      </c>
      <c r="M2075">
        <v>24</v>
      </c>
      <c r="N2075" t="str">
        <f>VLOOKUP(M2075,[1]LOJA!$A:$B,2,0)</f>
        <v>LUZIÂNIA</v>
      </c>
      <c r="O2075">
        <v>150</v>
      </c>
      <c r="P2075" t="str">
        <f>VLOOKUP(O2075,[1]OPERADORES!$A:$B,2,0)</f>
        <v>LUZIBERTO GOMES DA SILVA</v>
      </c>
      <c r="Q2075">
        <v>7</v>
      </c>
      <c r="S2075" t="s">
        <v>87</v>
      </c>
      <c r="T2075" s="1">
        <v>46057</v>
      </c>
      <c r="U2075">
        <v>169.9</v>
      </c>
      <c r="V2075">
        <v>169.9</v>
      </c>
    </row>
    <row r="2076" spans="1:22" x14ac:dyDescent="0.3">
      <c r="A2076" t="s">
        <v>4534</v>
      </c>
      <c r="B2076" t="s">
        <v>4535</v>
      </c>
      <c r="C2076" t="s">
        <v>1725</v>
      </c>
      <c r="D2076" t="s">
        <v>6055</v>
      </c>
      <c r="E2076" t="s">
        <v>15</v>
      </c>
      <c r="J2076" s="1">
        <v>46059</v>
      </c>
      <c r="K2076">
        <v>25</v>
      </c>
      <c r="L2076" t="s">
        <v>4582</v>
      </c>
      <c r="M2076">
        <v>24</v>
      </c>
      <c r="N2076" t="str">
        <f>VLOOKUP(M2076,[1]LOJA!$A:$B,2,0)</f>
        <v>LUZIÂNIA</v>
      </c>
      <c r="O2076">
        <v>150</v>
      </c>
      <c r="P2076" t="str">
        <f>VLOOKUP(O2076,[1]OPERADORES!$A:$B,2,0)</f>
        <v>LUZIBERTO GOMES DA SILVA</v>
      </c>
      <c r="Q2076">
        <v>7</v>
      </c>
      <c r="S2076" t="s">
        <v>87</v>
      </c>
      <c r="T2076" s="1">
        <v>46058</v>
      </c>
      <c r="U2076">
        <v>235.8</v>
      </c>
      <c r="V2076">
        <v>235.8</v>
      </c>
    </row>
    <row r="2077" spans="1:22" x14ac:dyDescent="0.3">
      <c r="A2077" t="s">
        <v>4534</v>
      </c>
      <c r="B2077" t="s">
        <v>4535</v>
      </c>
      <c r="C2077" t="s">
        <v>1725</v>
      </c>
      <c r="D2077" t="s">
        <v>6055</v>
      </c>
      <c r="E2077" t="s">
        <v>15</v>
      </c>
      <c r="J2077" s="1">
        <v>46059</v>
      </c>
      <c r="K2077">
        <v>25</v>
      </c>
      <c r="L2077" t="s">
        <v>4583</v>
      </c>
      <c r="M2077">
        <v>24</v>
      </c>
      <c r="N2077" t="str">
        <f>VLOOKUP(M2077,[1]LOJA!$A:$B,2,0)</f>
        <v>LUZIÂNIA</v>
      </c>
      <c r="O2077">
        <v>150</v>
      </c>
      <c r="P2077" t="str">
        <f>VLOOKUP(O2077,[1]OPERADORES!$A:$B,2,0)</f>
        <v>LUZIBERTO GOMES DA SILVA</v>
      </c>
      <c r="Q2077">
        <v>7</v>
      </c>
      <c r="S2077" t="s">
        <v>87</v>
      </c>
      <c r="T2077" s="1">
        <v>46058</v>
      </c>
      <c r="U2077">
        <v>172.2</v>
      </c>
      <c r="V2077">
        <v>172.2</v>
      </c>
    </row>
    <row r="2078" spans="1:22" x14ac:dyDescent="0.3">
      <c r="A2078" t="s">
        <v>4534</v>
      </c>
      <c r="B2078" t="s">
        <v>4535</v>
      </c>
      <c r="C2078" t="s">
        <v>1725</v>
      </c>
      <c r="D2078" t="s">
        <v>6055</v>
      </c>
      <c r="E2078" t="s">
        <v>15</v>
      </c>
      <c r="J2078" s="1">
        <v>46059</v>
      </c>
      <c r="K2078">
        <v>25</v>
      </c>
      <c r="L2078" t="s">
        <v>4584</v>
      </c>
      <c r="M2078">
        <v>24</v>
      </c>
      <c r="N2078" t="str">
        <f>VLOOKUP(M2078,[1]LOJA!$A:$B,2,0)</f>
        <v>LUZIÂNIA</v>
      </c>
      <c r="O2078">
        <v>150</v>
      </c>
      <c r="P2078" t="str">
        <f>VLOOKUP(O2078,[1]OPERADORES!$A:$B,2,0)</f>
        <v>LUZIBERTO GOMES DA SILVA</v>
      </c>
      <c r="Q2078">
        <v>7</v>
      </c>
      <c r="S2078" t="s">
        <v>87</v>
      </c>
      <c r="T2078" s="1">
        <v>46058</v>
      </c>
      <c r="U2078">
        <v>294</v>
      </c>
      <c r="V2078">
        <v>294</v>
      </c>
    </row>
    <row r="2079" spans="1:22" x14ac:dyDescent="0.3">
      <c r="A2079" t="s">
        <v>4534</v>
      </c>
      <c r="B2079" t="s">
        <v>4535</v>
      </c>
      <c r="C2079" t="s">
        <v>1725</v>
      </c>
      <c r="D2079" t="s">
        <v>6055</v>
      </c>
      <c r="E2079" t="s">
        <v>15</v>
      </c>
      <c r="J2079" s="1">
        <v>46060</v>
      </c>
      <c r="K2079">
        <v>24</v>
      </c>
      <c r="L2079" t="s">
        <v>4585</v>
      </c>
      <c r="M2079">
        <v>24</v>
      </c>
      <c r="N2079" t="str">
        <f>VLOOKUP(M2079,[1]LOJA!$A:$B,2,0)</f>
        <v>LUZIÂNIA</v>
      </c>
      <c r="O2079">
        <v>150</v>
      </c>
      <c r="P2079" t="str">
        <f>VLOOKUP(O2079,[1]OPERADORES!$A:$B,2,0)</f>
        <v>LUZIBERTO GOMES DA SILVA</v>
      </c>
      <c r="Q2079">
        <v>7</v>
      </c>
      <c r="S2079" t="s">
        <v>87</v>
      </c>
      <c r="T2079" s="1">
        <v>46059</v>
      </c>
      <c r="U2079">
        <v>233</v>
      </c>
      <c r="V2079">
        <v>233</v>
      </c>
    </row>
    <row r="2080" spans="1:22" x14ac:dyDescent="0.3">
      <c r="A2080" t="s">
        <v>4534</v>
      </c>
      <c r="B2080" t="s">
        <v>4535</v>
      </c>
      <c r="C2080" t="s">
        <v>1725</v>
      </c>
      <c r="D2080" t="s">
        <v>6055</v>
      </c>
      <c r="E2080" t="s">
        <v>15</v>
      </c>
      <c r="J2080" s="1">
        <v>46060</v>
      </c>
      <c r="K2080">
        <v>24</v>
      </c>
      <c r="L2080" t="s">
        <v>4586</v>
      </c>
      <c r="M2080">
        <v>24</v>
      </c>
      <c r="N2080" t="str">
        <f>VLOOKUP(M2080,[1]LOJA!$A:$B,2,0)</f>
        <v>LUZIÂNIA</v>
      </c>
      <c r="O2080">
        <v>150</v>
      </c>
      <c r="P2080" t="str">
        <f>VLOOKUP(O2080,[1]OPERADORES!$A:$B,2,0)</f>
        <v>LUZIBERTO GOMES DA SILVA</v>
      </c>
      <c r="Q2080">
        <v>7</v>
      </c>
      <c r="S2080" t="s">
        <v>87</v>
      </c>
      <c r="T2080" s="1">
        <v>46059</v>
      </c>
      <c r="U2080">
        <v>283.20999999999998</v>
      </c>
      <c r="V2080">
        <v>283.20999999999998</v>
      </c>
    </row>
    <row r="2081" spans="1:22" x14ac:dyDescent="0.3">
      <c r="A2081" t="s">
        <v>4534</v>
      </c>
      <c r="B2081" t="s">
        <v>4535</v>
      </c>
      <c r="C2081" t="s">
        <v>1725</v>
      </c>
      <c r="D2081" t="s">
        <v>6055</v>
      </c>
      <c r="E2081" t="s">
        <v>15</v>
      </c>
      <c r="J2081" s="1">
        <v>46063</v>
      </c>
      <c r="K2081">
        <v>21</v>
      </c>
      <c r="L2081" t="s">
        <v>4587</v>
      </c>
      <c r="M2081">
        <v>24</v>
      </c>
      <c r="N2081" t="str">
        <f>VLOOKUP(M2081,[1]LOJA!$A:$B,2,0)</f>
        <v>LUZIÂNIA</v>
      </c>
      <c r="O2081">
        <v>150</v>
      </c>
      <c r="P2081" t="str">
        <f>VLOOKUP(O2081,[1]OPERADORES!$A:$B,2,0)</f>
        <v>LUZIBERTO GOMES DA SILVA</v>
      </c>
      <c r="Q2081">
        <v>7</v>
      </c>
      <c r="S2081" t="s">
        <v>87</v>
      </c>
      <c r="T2081" s="1">
        <v>46062</v>
      </c>
      <c r="U2081">
        <v>168.9</v>
      </c>
      <c r="V2081">
        <v>168.9</v>
      </c>
    </row>
    <row r="2082" spans="1:22" x14ac:dyDescent="0.3">
      <c r="A2082" t="s">
        <v>4534</v>
      </c>
      <c r="B2082" t="s">
        <v>4535</v>
      </c>
      <c r="C2082" t="s">
        <v>1725</v>
      </c>
      <c r="D2082" t="s">
        <v>6055</v>
      </c>
      <c r="E2082" t="s">
        <v>15</v>
      </c>
      <c r="J2082" s="1">
        <v>46064</v>
      </c>
      <c r="K2082">
        <v>20</v>
      </c>
      <c r="L2082" t="s">
        <v>4588</v>
      </c>
      <c r="M2082">
        <v>24</v>
      </c>
      <c r="N2082" t="str">
        <f>VLOOKUP(M2082,[1]LOJA!$A:$B,2,0)</f>
        <v>LUZIÂNIA</v>
      </c>
      <c r="O2082">
        <v>150</v>
      </c>
      <c r="P2082" t="str">
        <f>VLOOKUP(O2082,[1]OPERADORES!$A:$B,2,0)</f>
        <v>LUZIBERTO GOMES DA SILVA</v>
      </c>
      <c r="Q2082">
        <v>7</v>
      </c>
      <c r="S2082" t="s">
        <v>87</v>
      </c>
      <c r="T2082" s="1">
        <v>46063</v>
      </c>
      <c r="U2082" s="2">
        <v>1042.17</v>
      </c>
      <c r="V2082" s="2">
        <v>1042.17</v>
      </c>
    </row>
    <row r="2083" spans="1:22" x14ac:dyDescent="0.3">
      <c r="A2083" t="s">
        <v>4534</v>
      </c>
      <c r="B2083" t="s">
        <v>4535</v>
      </c>
      <c r="C2083" t="s">
        <v>1725</v>
      </c>
      <c r="D2083" t="s">
        <v>6055</v>
      </c>
      <c r="E2083" t="s">
        <v>15</v>
      </c>
      <c r="J2083" s="1">
        <v>46065</v>
      </c>
      <c r="K2083">
        <v>19</v>
      </c>
      <c r="L2083" t="s">
        <v>6056</v>
      </c>
      <c r="M2083">
        <v>24</v>
      </c>
      <c r="N2083" t="str">
        <f>VLOOKUP(M2083,[1]LOJA!$A:$B,2,0)</f>
        <v>LUZIÂNIA</v>
      </c>
      <c r="O2083">
        <v>150</v>
      </c>
      <c r="P2083" t="str">
        <f>VLOOKUP(O2083,[1]OPERADORES!$A:$B,2,0)</f>
        <v>LUZIBERTO GOMES DA SILVA</v>
      </c>
      <c r="Q2083">
        <v>7</v>
      </c>
      <c r="S2083" t="s">
        <v>87</v>
      </c>
      <c r="T2083" s="1">
        <v>46064</v>
      </c>
      <c r="U2083">
        <v>198.73</v>
      </c>
      <c r="V2083">
        <v>198.73</v>
      </c>
    </row>
    <row r="2084" spans="1:22" x14ac:dyDescent="0.3">
      <c r="A2084" t="s">
        <v>4534</v>
      </c>
      <c r="B2084" t="s">
        <v>4535</v>
      </c>
      <c r="C2084" t="s">
        <v>1725</v>
      </c>
      <c r="D2084" t="s">
        <v>6055</v>
      </c>
      <c r="E2084" t="s">
        <v>15</v>
      </c>
      <c r="J2084" s="1">
        <v>46065</v>
      </c>
      <c r="K2084">
        <v>19</v>
      </c>
      <c r="L2084" t="s">
        <v>6057</v>
      </c>
      <c r="M2084">
        <v>24</v>
      </c>
      <c r="N2084" t="str">
        <f>VLOOKUP(M2084,[1]LOJA!$A:$B,2,0)</f>
        <v>LUZIÂNIA</v>
      </c>
      <c r="O2084">
        <v>150</v>
      </c>
      <c r="P2084" t="str">
        <f>VLOOKUP(O2084,[1]OPERADORES!$A:$B,2,0)</f>
        <v>LUZIBERTO GOMES DA SILVA</v>
      </c>
      <c r="Q2084">
        <v>7</v>
      </c>
      <c r="S2084" t="s">
        <v>87</v>
      </c>
      <c r="T2084" s="1">
        <v>46064</v>
      </c>
      <c r="U2084">
        <v>63.7</v>
      </c>
      <c r="V2084">
        <v>63.7</v>
      </c>
    </row>
    <row r="2085" spans="1:22" x14ac:dyDescent="0.3">
      <c r="A2085" t="s">
        <v>4534</v>
      </c>
      <c r="B2085" t="s">
        <v>4535</v>
      </c>
      <c r="C2085" t="s">
        <v>1725</v>
      </c>
      <c r="D2085" t="s">
        <v>6055</v>
      </c>
      <c r="E2085" t="s">
        <v>15</v>
      </c>
      <c r="J2085" s="1">
        <v>46066</v>
      </c>
      <c r="K2085">
        <v>18</v>
      </c>
      <c r="L2085" t="s">
        <v>6058</v>
      </c>
      <c r="M2085">
        <v>24</v>
      </c>
      <c r="N2085" t="str">
        <f>VLOOKUP(M2085,[1]LOJA!$A:$B,2,0)</f>
        <v>LUZIÂNIA</v>
      </c>
      <c r="O2085">
        <v>150</v>
      </c>
      <c r="P2085" t="str">
        <f>VLOOKUP(O2085,[1]OPERADORES!$A:$B,2,0)</f>
        <v>LUZIBERTO GOMES DA SILVA</v>
      </c>
      <c r="Q2085">
        <v>7</v>
      </c>
      <c r="S2085" t="s">
        <v>87</v>
      </c>
      <c r="T2085" s="1">
        <v>46065</v>
      </c>
      <c r="U2085">
        <v>120</v>
      </c>
      <c r="V2085">
        <v>120</v>
      </c>
    </row>
    <row r="2086" spans="1:22" x14ac:dyDescent="0.3">
      <c r="A2086" t="s">
        <v>4534</v>
      </c>
      <c r="B2086" t="s">
        <v>4535</v>
      </c>
      <c r="C2086" t="s">
        <v>1725</v>
      </c>
      <c r="D2086" t="s">
        <v>6055</v>
      </c>
      <c r="E2086" t="s">
        <v>15</v>
      </c>
      <c r="J2086" s="1">
        <v>46066</v>
      </c>
      <c r="K2086">
        <v>18</v>
      </c>
      <c r="L2086" t="s">
        <v>6059</v>
      </c>
      <c r="M2086">
        <v>24</v>
      </c>
      <c r="N2086" t="str">
        <f>VLOOKUP(M2086,[1]LOJA!$A:$B,2,0)</f>
        <v>LUZIÂNIA</v>
      </c>
      <c r="O2086">
        <v>150</v>
      </c>
      <c r="P2086" t="str">
        <f>VLOOKUP(O2086,[1]OPERADORES!$A:$B,2,0)</f>
        <v>LUZIBERTO GOMES DA SILVA</v>
      </c>
      <c r="Q2086">
        <v>7</v>
      </c>
      <c r="S2086" t="s">
        <v>87</v>
      </c>
      <c r="T2086" s="1">
        <v>46065</v>
      </c>
      <c r="U2086">
        <v>749.45</v>
      </c>
      <c r="V2086">
        <v>749.45</v>
      </c>
    </row>
    <row r="2087" spans="1:22" x14ac:dyDescent="0.3">
      <c r="A2087" t="s">
        <v>4534</v>
      </c>
      <c r="B2087" t="s">
        <v>4535</v>
      </c>
      <c r="C2087" t="s">
        <v>1725</v>
      </c>
      <c r="D2087" t="s">
        <v>6055</v>
      </c>
      <c r="E2087" t="s">
        <v>15</v>
      </c>
      <c r="J2087" s="1">
        <v>46067</v>
      </c>
      <c r="K2087">
        <v>17</v>
      </c>
      <c r="L2087" t="s">
        <v>6060</v>
      </c>
      <c r="M2087">
        <v>24</v>
      </c>
      <c r="N2087" t="str">
        <f>VLOOKUP(M2087,[1]LOJA!$A:$B,2,0)</f>
        <v>LUZIÂNIA</v>
      </c>
      <c r="O2087">
        <v>150</v>
      </c>
      <c r="P2087" t="str">
        <f>VLOOKUP(O2087,[1]OPERADORES!$A:$B,2,0)</f>
        <v>LUZIBERTO GOMES DA SILVA</v>
      </c>
      <c r="Q2087">
        <v>7</v>
      </c>
      <c r="S2087" t="s">
        <v>87</v>
      </c>
      <c r="T2087" s="1">
        <v>46066</v>
      </c>
      <c r="U2087">
        <v>121.8</v>
      </c>
      <c r="V2087">
        <v>121.8</v>
      </c>
    </row>
    <row r="2088" spans="1:22" x14ac:dyDescent="0.3">
      <c r="A2088" t="s">
        <v>4534</v>
      </c>
      <c r="B2088" t="s">
        <v>4535</v>
      </c>
      <c r="C2088" t="s">
        <v>1725</v>
      </c>
      <c r="D2088" t="s">
        <v>6055</v>
      </c>
      <c r="E2088" t="s">
        <v>15</v>
      </c>
      <c r="J2088" s="1">
        <v>46067</v>
      </c>
      <c r="K2088">
        <v>17</v>
      </c>
      <c r="L2088" t="s">
        <v>6061</v>
      </c>
      <c r="M2088">
        <v>24</v>
      </c>
      <c r="N2088" t="str">
        <f>VLOOKUP(M2088,[1]LOJA!$A:$B,2,0)</f>
        <v>LUZIÂNIA</v>
      </c>
      <c r="O2088">
        <v>150</v>
      </c>
      <c r="P2088" t="str">
        <f>VLOOKUP(O2088,[1]OPERADORES!$A:$B,2,0)</f>
        <v>LUZIBERTO GOMES DA SILVA</v>
      </c>
      <c r="Q2088">
        <v>7</v>
      </c>
      <c r="S2088" t="s">
        <v>87</v>
      </c>
      <c r="T2088" s="1">
        <v>46066</v>
      </c>
      <c r="U2088">
        <v>34</v>
      </c>
      <c r="V2088">
        <v>34</v>
      </c>
    </row>
    <row r="2089" spans="1:22" x14ac:dyDescent="0.3">
      <c r="A2089" t="s">
        <v>4534</v>
      </c>
      <c r="B2089" t="s">
        <v>4535</v>
      </c>
      <c r="C2089" t="s">
        <v>1725</v>
      </c>
      <c r="D2089" t="s">
        <v>6055</v>
      </c>
      <c r="E2089" t="s">
        <v>15</v>
      </c>
      <c r="J2089" s="1">
        <v>46072</v>
      </c>
      <c r="K2089">
        <v>12</v>
      </c>
      <c r="L2089" t="s">
        <v>6062</v>
      </c>
      <c r="M2089">
        <v>24</v>
      </c>
      <c r="N2089" t="str">
        <f>VLOOKUP(M2089,[1]LOJA!$A:$B,2,0)</f>
        <v>LUZIÂNIA</v>
      </c>
      <c r="O2089">
        <v>150</v>
      </c>
      <c r="P2089" t="str">
        <f>VLOOKUP(O2089,[1]OPERADORES!$A:$B,2,0)</f>
        <v>LUZIBERTO GOMES DA SILVA</v>
      </c>
      <c r="Q2089">
        <v>7</v>
      </c>
      <c r="S2089" t="s">
        <v>87</v>
      </c>
      <c r="T2089" s="1">
        <v>46071</v>
      </c>
      <c r="U2089">
        <v>190.9</v>
      </c>
      <c r="V2089">
        <v>190.9</v>
      </c>
    </row>
    <row r="2090" spans="1:22" x14ac:dyDescent="0.3">
      <c r="A2090" t="s">
        <v>4534</v>
      </c>
      <c r="B2090" t="s">
        <v>4535</v>
      </c>
      <c r="C2090" t="s">
        <v>1725</v>
      </c>
      <c r="D2090" t="s">
        <v>6055</v>
      </c>
      <c r="E2090" t="s">
        <v>15</v>
      </c>
      <c r="J2090" s="1">
        <v>46073</v>
      </c>
      <c r="K2090">
        <v>11</v>
      </c>
      <c r="L2090" t="s">
        <v>6063</v>
      </c>
      <c r="M2090">
        <v>24</v>
      </c>
      <c r="N2090" t="str">
        <f>VLOOKUP(M2090,[1]LOJA!$A:$B,2,0)</f>
        <v>LUZIÂNIA</v>
      </c>
      <c r="O2090">
        <v>150</v>
      </c>
      <c r="P2090" t="str">
        <f>VLOOKUP(O2090,[1]OPERADORES!$A:$B,2,0)</f>
        <v>LUZIBERTO GOMES DA SILVA</v>
      </c>
      <c r="Q2090">
        <v>7</v>
      </c>
      <c r="S2090" t="s">
        <v>87</v>
      </c>
      <c r="T2090" s="1">
        <v>46072</v>
      </c>
      <c r="U2090">
        <v>965.6</v>
      </c>
      <c r="V2090">
        <v>965.6</v>
      </c>
    </row>
    <row r="2091" spans="1:22" x14ac:dyDescent="0.3">
      <c r="A2091" t="s">
        <v>4534</v>
      </c>
      <c r="B2091" t="s">
        <v>4535</v>
      </c>
      <c r="C2091" t="s">
        <v>1725</v>
      </c>
      <c r="D2091" t="s">
        <v>6055</v>
      </c>
      <c r="E2091" t="s">
        <v>15</v>
      </c>
      <c r="J2091" s="1">
        <v>46073</v>
      </c>
      <c r="K2091">
        <v>11</v>
      </c>
      <c r="L2091" t="s">
        <v>6064</v>
      </c>
      <c r="M2091">
        <v>24</v>
      </c>
      <c r="N2091" t="str">
        <f>VLOOKUP(M2091,[1]LOJA!$A:$B,2,0)</f>
        <v>LUZIÂNIA</v>
      </c>
      <c r="O2091">
        <v>150</v>
      </c>
      <c r="P2091" t="str">
        <f>VLOOKUP(O2091,[1]OPERADORES!$A:$B,2,0)</f>
        <v>LUZIBERTO GOMES DA SILVA</v>
      </c>
      <c r="Q2091">
        <v>7</v>
      </c>
      <c r="S2091" t="s">
        <v>87</v>
      </c>
      <c r="T2091" s="1">
        <v>46072</v>
      </c>
      <c r="U2091">
        <v>119.8</v>
      </c>
      <c r="V2091">
        <v>119.8</v>
      </c>
    </row>
    <row r="2092" spans="1:22" x14ac:dyDescent="0.3">
      <c r="A2092" t="s">
        <v>4534</v>
      </c>
      <c r="B2092" t="s">
        <v>4535</v>
      </c>
      <c r="C2092" t="s">
        <v>1725</v>
      </c>
      <c r="D2092" t="s">
        <v>6055</v>
      </c>
      <c r="E2092" t="s">
        <v>15</v>
      </c>
      <c r="J2092" s="1">
        <v>46074</v>
      </c>
      <c r="K2092">
        <v>10</v>
      </c>
      <c r="L2092" t="s">
        <v>6065</v>
      </c>
      <c r="M2092">
        <v>24</v>
      </c>
      <c r="N2092" t="str">
        <f>VLOOKUP(M2092,[1]LOJA!$A:$B,2,0)</f>
        <v>LUZIÂNIA</v>
      </c>
      <c r="O2092">
        <v>150</v>
      </c>
      <c r="P2092" t="str">
        <f>VLOOKUP(O2092,[1]OPERADORES!$A:$B,2,0)</f>
        <v>LUZIBERTO GOMES DA SILVA</v>
      </c>
      <c r="Q2092">
        <v>7</v>
      </c>
      <c r="S2092" t="s">
        <v>87</v>
      </c>
      <c r="T2092" s="1">
        <v>46073</v>
      </c>
      <c r="U2092">
        <v>89</v>
      </c>
      <c r="V2092">
        <v>89</v>
      </c>
    </row>
    <row r="2093" spans="1:22" x14ac:dyDescent="0.3">
      <c r="A2093" t="s">
        <v>4534</v>
      </c>
      <c r="B2093" t="s">
        <v>4535</v>
      </c>
      <c r="C2093" t="s">
        <v>1725</v>
      </c>
      <c r="D2093" t="s">
        <v>6055</v>
      </c>
      <c r="E2093" t="s">
        <v>15</v>
      </c>
      <c r="J2093" s="1">
        <v>46076</v>
      </c>
      <c r="K2093">
        <v>8</v>
      </c>
      <c r="L2093" t="s">
        <v>6066</v>
      </c>
      <c r="M2093">
        <v>24</v>
      </c>
      <c r="N2093" t="str">
        <f>VLOOKUP(M2093,[1]LOJA!$A:$B,2,0)</f>
        <v>LUZIÂNIA</v>
      </c>
      <c r="O2093">
        <v>170</v>
      </c>
      <c r="P2093" t="str">
        <f>VLOOKUP(O2093,[1]OPERADORES!$A:$B,2,0)</f>
        <v>MARIA LUISA</v>
      </c>
      <c r="Q2093">
        <v>4</v>
      </c>
      <c r="S2093" t="s">
        <v>6067</v>
      </c>
      <c r="T2093" s="1">
        <v>46076</v>
      </c>
      <c r="U2093">
        <v>-20.57</v>
      </c>
      <c r="V2093">
        <v>-20.57</v>
      </c>
    </row>
    <row r="2094" spans="1:22" x14ac:dyDescent="0.3">
      <c r="A2094" t="s">
        <v>4534</v>
      </c>
      <c r="B2094" t="s">
        <v>4535</v>
      </c>
      <c r="C2094" t="s">
        <v>1725</v>
      </c>
      <c r="D2094" t="s">
        <v>6055</v>
      </c>
      <c r="E2094" t="s">
        <v>15</v>
      </c>
      <c r="J2094" s="1">
        <v>46077</v>
      </c>
      <c r="K2094">
        <v>7</v>
      </c>
      <c r="L2094" t="s">
        <v>6068</v>
      </c>
      <c r="M2094">
        <v>24</v>
      </c>
      <c r="N2094" t="str">
        <f>VLOOKUP(M2094,[1]LOJA!$A:$B,2,0)</f>
        <v>LUZIÂNIA</v>
      </c>
      <c r="O2094">
        <v>150</v>
      </c>
      <c r="P2094" t="str">
        <f>VLOOKUP(O2094,[1]OPERADORES!$A:$B,2,0)</f>
        <v>LUZIBERTO GOMES DA SILVA</v>
      </c>
      <c r="Q2094">
        <v>7</v>
      </c>
      <c r="S2094" t="s">
        <v>87</v>
      </c>
      <c r="T2094" s="1">
        <v>46076</v>
      </c>
      <c r="U2094">
        <v>350.58</v>
      </c>
      <c r="V2094">
        <v>350.58</v>
      </c>
    </row>
    <row r="2095" spans="1:22" x14ac:dyDescent="0.3">
      <c r="A2095" t="s">
        <v>4534</v>
      </c>
      <c r="B2095" t="s">
        <v>4535</v>
      </c>
      <c r="C2095" t="s">
        <v>1725</v>
      </c>
      <c r="D2095" t="s">
        <v>6055</v>
      </c>
      <c r="E2095" t="s">
        <v>15</v>
      </c>
      <c r="J2095" s="1">
        <v>46077</v>
      </c>
      <c r="K2095">
        <v>7</v>
      </c>
      <c r="L2095" t="s">
        <v>6069</v>
      </c>
      <c r="M2095">
        <v>24</v>
      </c>
      <c r="N2095" t="str">
        <f>VLOOKUP(M2095,[1]LOJA!$A:$B,2,0)</f>
        <v>LUZIÂNIA</v>
      </c>
      <c r="O2095">
        <v>150</v>
      </c>
      <c r="P2095" t="str">
        <f>VLOOKUP(O2095,[1]OPERADORES!$A:$B,2,0)</f>
        <v>LUZIBERTO GOMES DA SILVA</v>
      </c>
      <c r="Q2095">
        <v>7</v>
      </c>
      <c r="S2095" t="s">
        <v>87</v>
      </c>
      <c r="T2095" s="1">
        <v>46076</v>
      </c>
      <c r="U2095">
        <v>758</v>
      </c>
      <c r="V2095">
        <v>758</v>
      </c>
    </row>
    <row r="2096" spans="1:22" x14ac:dyDescent="0.3">
      <c r="A2096" t="s">
        <v>4534</v>
      </c>
      <c r="B2096" t="s">
        <v>4535</v>
      </c>
      <c r="C2096" t="s">
        <v>1725</v>
      </c>
      <c r="D2096" t="s">
        <v>6055</v>
      </c>
      <c r="E2096" t="s">
        <v>15</v>
      </c>
      <c r="J2096" s="1">
        <v>46078</v>
      </c>
      <c r="K2096">
        <v>6</v>
      </c>
      <c r="L2096" t="s">
        <v>6070</v>
      </c>
      <c r="M2096">
        <v>24</v>
      </c>
      <c r="N2096" t="str">
        <f>VLOOKUP(M2096,[1]LOJA!$A:$B,2,0)</f>
        <v>LUZIÂNIA</v>
      </c>
      <c r="O2096">
        <v>150</v>
      </c>
      <c r="P2096" t="str">
        <f>VLOOKUP(O2096,[1]OPERADORES!$A:$B,2,0)</f>
        <v>LUZIBERTO GOMES DA SILVA</v>
      </c>
      <c r="Q2096">
        <v>7</v>
      </c>
      <c r="S2096" t="s">
        <v>87</v>
      </c>
      <c r="T2096" s="1">
        <v>46077</v>
      </c>
      <c r="U2096">
        <v>801.9</v>
      </c>
      <c r="V2096">
        <v>801.9</v>
      </c>
    </row>
    <row r="2097" spans="1:22" x14ac:dyDescent="0.3">
      <c r="A2097" t="s">
        <v>4534</v>
      </c>
      <c r="B2097" t="s">
        <v>4535</v>
      </c>
      <c r="C2097" t="s">
        <v>1725</v>
      </c>
      <c r="D2097" t="s">
        <v>6055</v>
      </c>
      <c r="E2097" t="s">
        <v>15</v>
      </c>
      <c r="J2097" s="1">
        <v>46078</v>
      </c>
      <c r="K2097">
        <v>6</v>
      </c>
      <c r="L2097" t="s">
        <v>6071</v>
      </c>
      <c r="M2097">
        <v>24</v>
      </c>
      <c r="N2097" t="str">
        <f>VLOOKUP(M2097,[1]LOJA!$A:$B,2,0)</f>
        <v>LUZIÂNIA</v>
      </c>
      <c r="O2097">
        <v>150</v>
      </c>
      <c r="P2097" t="str">
        <f>VLOOKUP(O2097,[1]OPERADORES!$A:$B,2,0)</f>
        <v>LUZIBERTO GOMES DA SILVA</v>
      </c>
      <c r="Q2097">
        <v>7</v>
      </c>
      <c r="S2097" t="s">
        <v>87</v>
      </c>
      <c r="T2097" s="1">
        <v>46077</v>
      </c>
      <c r="U2097">
        <v>235.6</v>
      </c>
      <c r="V2097">
        <v>235.6</v>
      </c>
    </row>
    <row r="2098" spans="1:22" x14ac:dyDescent="0.3">
      <c r="A2098" t="s">
        <v>4534</v>
      </c>
      <c r="B2098" t="s">
        <v>4535</v>
      </c>
      <c r="C2098" t="s">
        <v>1725</v>
      </c>
      <c r="D2098" t="s">
        <v>6055</v>
      </c>
      <c r="E2098" t="s">
        <v>15</v>
      </c>
      <c r="J2098" s="1">
        <v>46078</v>
      </c>
      <c r="K2098">
        <v>6</v>
      </c>
      <c r="L2098" t="s">
        <v>6072</v>
      </c>
      <c r="M2098">
        <v>24</v>
      </c>
      <c r="N2098" t="str">
        <f>VLOOKUP(M2098,[1]LOJA!$A:$B,2,0)</f>
        <v>LUZIÂNIA</v>
      </c>
      <c r="O2098">
        <v>150</v>
      </c>
      <c r="P2098" t="str">
        <f>VLOOKUP(O2098,[1]OPERADORES!$A:$B,2,0)</f>
        <v>LUZIBERTO GOMES DA SILVA</v>
      </c>
      <c r="Q2098">
        <v>7</v>
      </c>
      <c r="S2098" t="s">
        <v>87</v>
      </c>
      <c r="T2098" s="1">
        <v>46077</v>
      </c>
      <c r="U2098">
        <v>299.98</v>
      </c>
      <c r="V2098">
        <v>299.98</v>
      </c>
    </row>
    <row r="2099" spans="1:22" x14ac:dyDescent="0.3">
      <c r="A2099" t="s">
        <v>4534</v>
      </c>
      <c r="B2099" t="s">
        <v>4535</v>
      </c>
      <c r="C2099" t="s">
        <v>1725</v>
      </c>
      <c r="D2099" t="s">
        <v>6055</v>
      </c>
      <c r="E2099" t="s">
        <v>15</v>
      </c>
      <c r="J2099" s="1">
        <v>46079</v>
      </c>
      <c r="K2099">
        <v>5</v>
      </c>
      <c r="L2099" t="s">
        <v>6073</v>
      </c>
      <c r="M2099">
        <v>24</v>
      </c>
      <c r="N2099" t="str">
        <f>VLOOKUP(M2099,[1]LOJA!$A:$B,2,0)</f>
        <v>LUZIÂNIA</v>
      </c>
      <c r="O2099">
        <v>150</v>
      </c>
      <c r="P2099" t="str">
        <f>VLOOKUP(O2099,[1]OPERADORES!$A:$B,2,0)</f>
        <v>LUZIBERTO GOMES DA SILVA</v>
      </c>
      <c r="Q2099">
        <v>7</v>
      </c>
      <c r="S2099" t="s">
        <v>87</v>
      </c>
      <c r="T2099" s="1">
        <v>46078</v>
      </c>
      <c r="U2099">
        <v>506.8</v>
      </c>
      <c r="V2099">
        <v>506.8</v>
      </c>
    </row>
    <row r="2100" spans="1:22" x14ac:dyDescent="0.3">
      <c r="A2100" t="s">
        <v>4534</v>
      </c>
      <c r="B2100" t="s">
        <v>4535</v>
      </c>
      <c r="C2100" t="s">
        <v>1725</v>
      </c>
      <c r="D2100" t="s">
        <v>6055</v>
      </c>
      <c r="E2100" t="s">
        <v>15</v>
      </c>
      <c r="J2100" s="1">
        <v>46079</v>
      </c>
      <c r="K2100">
        <v>5</v>
      </c>
      <c r="L2100" t="s">
        <v>6074</v>
      </c>
      <c r="M2100">
        <v>24</v>
      </c>
      <c r="N2100" t="str">
        <f>VLOOKUP(M2100,[1]LOJA!$A:$B,2,0)</f>
        <v>LUZIÂNIA</v>
      </c>
      <c r="O2100">
        <v>150</v>
      </c>
      <c r="P2100" t="str">
        <f>VLOOKUP(O2100,[1]OPERADORES!$A:$B,2,0)</f>
        <v>LUZIBERTO GOMES DA SILVA</v>
      </c>
      <c r="Q2100">
        <v>7</v>
      </c>
      <c r="S2100" t="s">
        <v>87</v>
      </c>
      <c r="T2100" s="1">
        <v>46078</v>
      </c>
      <c r="U2100">
        <v>308.58999999999997</v>
      </c>
      <c r="V2100">
        <v>308.58999999999997</v>
      </c>
    </row>
    <row r="2101" spans="1:22" x14ac:dyDescent="0.3">
      <c r="A2101" t="s">
        <v>4534</v>
      </c>
      <c r="B2101" t="s">
        <v>4535</v>
      </c>
      <c r="C2101" t="s">
        <v>1725</v>
      </c>
      <c r="D2101" t="s">
        <v>6055</v>
      </c>
      <c r="E2101" t="s">
        <v>15</v>
      </c>
      <c r="J2101" s="1">
        <v>46080</v>
      </c>
      <c r="K2101">
        <v>4</v>
      </c>
      <c r="L2101" t="s">
        <v>6075</v>
      </c>
      <c r="M2101">
        <v>24</v>
      </c>
      <c r="N2101" t="str">
        <f>VLOOKUP(M2101,[1]LOJA!$A:$B,2,0)</f>
        <v>LUZIÂNIA</v>
      </c>
      <c r="O2101">
        <v>150</v>
      </c>
      <c r="P2101" t="str">
        <f>VLOOKUP(O2101,[1]OPERADORES!$A:$B,2,0)</f>
        <v>LUZIBERTO GOMES DA SILVA</v>
      </c>
      <c r="Q2101">
        <v>7</v>
      </c>
      <c r="S2101" t="s">
        <v>87</v>
      </c>
      <c r="T2101" s="1">
        <v>46079</v>
      </c>
      <c r="U2101">
        <v>59</v>
      </c>
      <c r="V2101">
        <v>59</v>
      </c>
    </row>
    <row r="2102" spans="1:22" x14ac:dyDescent="0.3">
      <c r="A2102" t="s">
        <v>4534</v>
      </c>
      <c r="B2102" t="s">
        <v>4535</v>
      </c>
      <c r="C2102" t="s">
        <v>1725</v>
      </c>
      <c r="D2102" t="s">
        <v>6055</v>
      </c>
      <c r="E2102" t="s">
        <v>15</v>
      </c>
      <c r="J2102" s="1">
        <v>46081</v>
      </c>
      <c r="K2102">
        <v>3</v>
      </c>
      <c r="L2102" t="s">
        <v>6076</v>
      </c>
      <c r="M2102">
        <v>24</v>
      </c>
      <c r="N2102" t="str">
        <f>VLOOKUP(M2102,[1]LOJA!$A:$B,2,0)</f>
        <v>LUZIÂNIA</v>
      </c>
      <c r="O2102">
        <v>150</v>
      </c>
      <c r="P2102" t="str">
        <f>VLOOKUP(O2102,[1]OPERADORES!$A:$B,2,0)</f>
        <v>LUZIBERTO GOMES DA SILVA</v>
      </c>
      <c r="Q2102">
        <v>7</v>
      </c>
      <c r="S2102" t="s">
        <v>87</v>
      </c>
      <c r="T2102" s="1">
        <v>46080</v>
      </c>
      <c r="U2102">
        <v>236.28</v>
      </c>
      <c r="V2102">
        <v>236.28</v>
      </c>
    </row>
    <row r="2103" spans="1:22" x14ac:dyDescent="0.3">
      <c r="A2103" t="s">
        <v>4534</v>
      </c>
      <c r="B2103" t="s">
        <v>4535</v>
      </c>
      <c r="C2103" t="s">
        <v>1725</v>
      </c>
      <c r="D2103" t="s">
        <v>6055</v>
      </c>
      <c r="E2103" t="s">
        <v>15</v>
      </c>
      <c r="J2103" s="1">
        <v>46081</v>
      </c>
      <c r="K2103">
        <v>3</v>
      </c>
      <c r="L2103" t="s">
        <v>6077</v>
      </c>
      <c r="M2103">
        <v>24</v>
      </c>
      <c r="N2103" t="str">
        <f>VLOOKUP(M2103,[1]LOJA!$A:$B,2,0)</f>
        <v>LUZIÂNIA</v>
      </c>
      <c r="O2103">
        <v>150</v>
      </c>
      <c r="P2103" t="str">
        <f>VLOOKUP(O2103,[1]OPERADORES!$A:$B,2,0)</f>
        <v>LUZIBERTO GOMES DA SILVA</v>
      </c>
      <c r="Q2103">
        <v>7</v>
      </c>
      <c r="S2103" t="s">
        <v>87</v>
      </c>
      <c r="T2103" s="1">
        <v>46080</v>
      </c>
      <c r="U2103">
        <v>583.9</v>
      </c>
      <c r="V2103">
        <v>583.9</v>
      </c>
    </row>
    <row r="2104" spans="1:22" x14ac:dyDescent="0.3">
      <c r="A2104" t="s">
        <v>4534</v>
      </c>
      <c r="B2104" t="s">
        <v>4535</v>
      </c>
      <c r="C2104" t="s">
        <v>1725</v>
      </c>
      <c r="D2104" t="s">
        <v>6055</v>
      </c>
      <c r="E2104" t="s">
        <v>15</v>
      </c>
      <c r="J2104" s="1">
        <v>46082</v>
      </c>
      <c r="K2104">
        <v>2</v>
      </c>
      <c r="L2104" t="s">
        <v>6078</v>
      </c>
      <c r="M2104">
        <v>24</v>
      </c>
      <c r="N2104" t="str">
        <f>VLOOKUP(M2104,[1]LOJA!$A:$B,2,0)</f>
        <v>LUZIÂNIA</v>
      </c>
      <c r="O2104">
        <v>150</v>
      </c>
      <c r="P2104" t="str">
        <f>VLOOKUP(O2104,[1]OPERADORES!$A:$B,2,0)</f>
        <v>LUZIBERTO GOMES DA SILVA</v>
      </c>
      <c r="Q2104">
        <v>7</v>
      </c>
      <c r="S2104" t="s">
        <v>87</v>
      </c>
      <c r="T2104" s="1">
        <v>46081</v>
      </c>
      <c r="U2104">
        <v>60</v>
      </c>
      <c r="V2104">
        <v>60</v>
      </c>
    </row>
    <row r="2105" spans="1:22" x14ac:dyDescent="0.3">
      <c r="A2105" t="s">
        <v>4534</v>
      </c>
      <c r="B2105" t="s">
        <v>4535</v>
      </c>
      <c r="C2105" t="s">
        <v>1725</v>
      </c>
      <c r="D2105" t="s">
        <v>6055</v>
      </c>
      <c r="E2105" t="s">
        <v>15</v>
      </c>
      <c r="J2105" s="1">
        <v>46084</v>
      </c>
      <c r="K2105">
        <v>0</v>
      </c>
      <c r="L2105" t="s">
        <v>6079</v>
      </c>
      <c r="M2105">
        <v>24</v>
      </c>
      <c r="N2105" t="str">
        <f>VLOOKUP(M2105,[1]LOJA!$A:$B,2,0)</f>
        <v>LUZIÂNIA</v>
      </c>
      <c r="O2105">
        <v>150</v>
      </c>
      <c r="P2105" t="str">
        <f>VLOOKUP(O2105,[1]OPERADORES!$A:$B,2,0)</f>
        <v>LUZIBERTO GOMES DA SILVA</v>
      </c>
      <c r="Q2105">
        <v>7</v>
      </c>
      <c r="S2105" t="s">
        <v>87</v>
      </c>
      <c r="T2105" s="1">
        <v>46083</v>
      </c>
      <c r="U2105">
        <v>120</v>
      </c>
      <c r="V2105">
        <v>120</v>
      </c>
    </row>
    <row r="2106" spans="1:22" x14ac:dyDescent="0.3">
      <c r="A2106" t="s">
        <v>4589</v>
      </c>
      <c r="B2106" t="s">
        <v>4590</v>
      </c>
      <c r="C2106" t="s">
        <v>13</v>
      </c>
      <c r="D2106" t="s">
        <v>6080</v>
      </c>
      <c r="E2106" t="s">
        <v>15</v>
      </c>
      <c r="J2106" s="1">
        <v>45853</v>
      </c>
      <c r="K2106">
        <v>231</v>
      </c>
      <c r="L2106" t="s">
        <v>4591</v>
      </c>
      <c r="M2106">
        <v>14</v>
      </c>
      <c r="N2106" t="str">
        <f>VLOOKUP(M2106,[1]LOJA!$A:$B,2,0)</f>
        <v>S IA</v>
      </c>
      <c r="O2106">
        <v>20</v>
      </c>
      <c r="P2106" t="str">
        <f>VLOOKUP(O2106,[1]OPERADORES!$A:$B,2,0)</f>
        <v>MAYARA</v>
      </c>
      <c r="Q2106">
        <v>27</v>
      </c>
      <c r="R2106">
        <v>1000016486</v>
      </c>
      <c r="S2106" t="s">
        <v>6081</v>
      </c>
      <c r="T2106" s="1">
        <v>45782</v>
      </c>
      <c r="U2106" s="2">
        <v>2832.95</v>
      </c>
      <c r="V2106" s="2">
        <v>2832.95</v>
      </c>
    </row>
    <row r="2107" spans="1:22" x14ac:dyDescent="0.3">
      <c r="A2107" t="s">
        <v>4589</v>
      </c>
      <c r="B2107" t="s">
        <v>4590</v>
      </c>
      <c r="C2107" t="s">
        <v>13</v>
      </c>
      <c r="D2107" t="s">
        <v>6080</v>
      </c>
      <c r="E2107" t="s">
        <v>15</v>
      </c>
      <c r="J2107" s="1">
        <v>45853</v>
      </c>
      <c r="K2107">
        <v>231</v>
      </c>
      <c r="L2107" t="s">
        <v>4592</v>
      </c>
      <c r="M2107">
        <v>14</v>
      </c>
      <c r="N2107" t="str">
        <f>VLOOKUP(M2107,[1]LOJA!$A:$B,2,0)</f>
        <v>S IA</v>
      </c>
      <c r="O2107">
        <v>20</v>
      </c>
      <c r="P2107" t="str">
        <f>VLOOKUP(O2107,[1]OPERADORES!$A:$B,2,0)</f>
        <v>MAYARA</v>
      </c>
      <c r="Q2107">
        <v>27</v>
      </c>
      <c r="R2107">
        <v>1000016996</v>
      </c>
      <c r="S2107" t="s">
        <v>4593</v>
      </c>
      <c r="T2107" s="1">
        <v>45817</v>
      </c>
      <c r="U2107" s="2">
        <v>4897.37</v>
      </c>
      <c r="V2107" s="2">
        <v>4897.37</v>
      </c>
    </row>
    <row r="2108" spans="1:22" x14ac:dyDescent="0.3">
      <c r="A2108" t="s">
        <v>4589</v>
      </c>
      <c r="B2108" t="s">
        <v>4590</v>
      </c>
      <c r="C2108" t="s">
        <v>13</v>
      </c>
      <c r="D2108" t="s">
        <v>6080</v>
      </c>
      <c r="E2108" t="s">
        <v>15</v>
      </c>
      <c r="J2108" s="1">
        <v>45884</v>
      </c>
      <c r="K2108">
        <v>200</v>
      </c>
      <c r="L2108" t="s">
        <v>4594</v>
      </c>
      <c r="M2108">
        <v>14</v>
      </c>
      <c r="N2108" t="str">
        <f>VLOOKUP(M2108,[1]LOJA!$A:$B,2,0)</f>
        <v>S IA</v>
      </c>
      <c r="O2108">
        <v>20</v>
      </c>
      <c r="P2108" t="str">
        <f>VLOOKUP(O2108,[1]OPERADORES!$A:$B,2,0)</f>
        <v>MAYARA</v>
      </c>
      <c r="Q2108">
        <v>27</v>
      </c>
      <c r="R2108">
        <v>1000016487</v>
      </c>
      <c r="S2108" t="s">
        <v>4595</v>
      </c>
      <c r="T2108" s="1">
        <v>45782</v>
      </c>
      <c r="U2108" s="2">
        <v>5211</v>
      </c>
      <c r="V2108" s="2">
        <v>5211</v>
      </c>
    </row>
    <row r="2109" spans="1:22" x14ac:dyDescent="0.3">
      <c r="A2109" t="s">
        <v>4589</v>
      </c>
      <c r="B2109" t="s">
        <v>4590</v>
      </c>
      <c r="C2109" t="s">
        <v>13</v>
      </c>
      <c r="D2109" t="s">
        <v>6080</v>
      </c>
      <c r="E2109" t="s">
        <v>15</v>
      </c>
      <c r="J2109" s="1">
        <v>45884</v>
      </c>
      <c r="K2109">
        <v>200</v>
      </c>
      <c r="L2109" t="s">
        <v>4596</v>
      </c>
      <c r="M2109">
        <v>14</v>
      </c>
      <c r="N2109" t="str">
        <f>VLOOKUP(M2109,[1]LOJA!$A:$B,2,0)</f>
        <v>S IA</v>
      </c>
      <c r="O2109">
        <v>20</v>
      </c>
      <c r="P2109" t="str">
        <f>VLOOKUP(O2109,[1]OPERADORES!$A:$B,2,0)</f>
        <v>MAYARA</v>
      </c>
      <c r="Q2109">
        <v>27</v>
      </c>
      <c r="R2109">
        <v>1000016997</v>
      </c>
      <c r="S2109" t="s">
        <v>4597</v>
      </c>
      <c r="T2109" s="1">
        <v>45817</v>
      </c>
      <c r="U2109" s="2">
        <v>4897</v>
      </c>
      <c r="V2109" s="2">
        <v>4897</v>
      </c>
    </row>
    <row r="2110" spans="1:22" x14ac:dyDescent="0.3">
      <c r="A2110" t="s">
        <v>4589</v>
      </c>
      <c r="B2110" t="s">
        <v>4590</v>
      </c>
      <c r="C2110" t="s">
        <v>13</v>
      </c>
      <c r="D2110" t="s">
        <v>6080</v>
      </c>
      <c r="E2110" t="s">
        <v>15</v>
      </c>
      <c r="J2110" s="1">
        <v>45884</v>
      </c>
      <c r="K2110">
        <v>200</v>
      </c>
      <c r="L2110" t="s">
        <v>4598</v>
      </c>
      <c r="M2110">
        <v>14</v>
      </c>
      <c r="N2110" t="str">
        <f>VLOOKUP(M2110,[1]LOJA!$A:$B,2,0)</f>
        <v>S IA</v>
      </c>
      <c r="O2110">
        <v>20</v>
      </c>
      <c r="P2110" t="str">
        <f>VLOOKUP(O2110,[1]OPERADORES!$A:$B,2,0)</f>
        <v>MAYARA</v>
      </c>
      <c r="Q2110">
        <v>27</v>
      </c>
      <c r="R2110">
        <v>1000017279</v>
      </c>
      <c r="S2110" t="s">
        <v>4599</v>
      </c>
      <c r="T2110" s="1">
        <v>45842</v>
      </c>
      <c r="U2110" s="2">
        <v>5641.56</v>
      </c>
      <c r="V2110" s="2">
        <v>5641.56</v>
      </c>
    </row>
    <row r="2111" spans="1:22" x14ac:dyDescent="0.3">
      <c r="A2111" t="s">
        <v>4589</v>
      </c>
      <c r="B2111" t="s">
        <v>4590</v>
      </c>
      <c r="C2111" t="s">
        <v>13</v>
      </c>
      <c r="D2111" t="s">
        <v>6080</v>
      </c>
      <c r="E2111" t="s">
        <v>15</v>
      </c>
      <c r="J2111" s="1">
        <v>45894</v>
      </c>
      <c r="K2111">
        <v>190</v>
      </c>
      <c r="L2111" t="s">
        <v>4600</v>
      </c>
      <c r="M2111">
        <v>14</v>
      </c>
      <c r="N2111" t="str">
        <f>VLOOKUP(M2111,[1]LOJA!$A:$B,2,0)</f>
        <v>S IA</v>
      </c>
      <c r="O2111">
        <v>212</v>
      </c>
      <c r="P2111" t="str">
        <f>VLOOKUP(O2111,[1]OPERADORES!$A:$B,2,0)</f>
        <v>YASMIN</v>
      </c>
      <c r="Q2111">
        <v>27</v>
      </c>
      <c r="R2111">
        <v>2000008499</v>
      </c>
      <c r="S2111" t="s">
        <v>976</v>
      </c>
      <c r="T2111" s="1">
        <v>45804</v>
      </c>
      <c r="U2111">
        <v>525</v>
      </c>
      <c r="V2111">
        <v>525</v>
      </c>
    </row>
    <row r="2112" spans="1:22" x14ac:dyDescent="0.3">
      <c r="A2112" t="s">
        <v>4589</v>
      </c>
      <c r="B2112" t="s">
        <v>4590</v>
      </c>
      <c r="C2112" t="s">
        <v>13</v>
      </c>
      <c r="D2112" t="s">
        <v>6080</v>
      </c>
      <c r="E2112" t="s">
        <v>15</v>
      </c>
      <c r="J2112" s="1">
        <v>45915</v>
      </c>
      <c r="K2112">
        <v>169</v>
      </c>
      <c r="L2112" t="s">
        <v>4601</v>
      </c>
      <c r="M2112">
        <v>14</v>
      </c>
      <c r="N2112" t="str">
        <f>VLOOKUP(M2112,[1]LOJA!$A:$B,2,0)</f>
        <v>S IA</v>
      </c>
      <c r="O2112">
        <v>20</v>
      </c>
      <c r="P2112" t="str">
        <f>VLOOKUP(O2112,[1]OPERADORES!$A:$B,2,0)</f>
        <v>MAYARA</v>
      </c>
      <c r="Q2112">
        <v>27</v>
      </c>
      <c r="R2112">
        <v>1000016998</v>
      </c>
      <c r="S2112" t="s">
        <v>4602</v>
      </c>
      <c r="T2112" s="1">
        <v>45817</v>
      </c>
      <c r="U2112" s="2">
        <v>4897</v>
      </c>
      <c r="V2112" s="2">
        <v>4897</v>
      </c>
    </row>
    <row r="2113" spans="1:22" x14ac:dyDescent="0.3">
      <c r="A2113" t="s">
        <v>4589</v>
      </c>
      <c r="B2113" t="s">
        <v>4590</v>
      </c>
      <c r="C2113" t="s">
        <v>13</v>
      </c>
      <c r="D2113" t="s">
        <v>6080</v>
      </c>
      <c r="E2113" t="s">
        <v>15</v>
      </c>
      <c r="J2113" s="1">
        <v>45915</v>
      </c>
      <c r="K2113">
        <v>169</v>
      </c>
      <c r="L2113" t="s">
        <v>4603</v>
      </c>
      <c r="M2113">
        <v>14</v>
      </c>
      <c r="N2113" t="str">
        <f>VLOOKUP(M2113,[1]LOJA!$A:$B,2,0)</f>
        <v>S IA</v>
      </c>
      <c r="O2113">
        <v>20</v>
      </c>
      <c r="P2113" t="str">
        <f>VLOOKUP(O2113,[1]OPERADORES!$A:$B,2,0)</f>
        <v>MAYARA</v>
      </c>
      <c r="Q2113">
        <v>27</v>
      </c>
      <c r="R2113">
        <v>1000017280</v>
      </c>
      <c r="S2113" t="s">
        <v>4604</v>
      </c>
      <c r="T2113" s="1">
        <v>45842</v>
      </c>
      <c r="U2113" s="2">
        <v>5640</v>
      </c>
      <c r="V2113" s="2">
        <v>5640</v>
      </c>
    </row>
    <row r="2114" spans="1:22" x14ac:dyDescent="0.3">
      <c r="A2114" t="s">
        <v>4589</v>
      </c>
      <c r="B2114" t="s">
        <v>4590</v>
      </c>
      <c r="C2114" t="s">
        <v>13</v>
      </c>
      <c r="D2114" t="s">
        <v>6080</v>
      </c>
      <c r="E2114" t="s">
        <v>15</v>
      </c>
      <c r="J2114" s="1">
        <v>45924</v>
      </c>
      <c r="K2114">
        <v>160</v>
      </c>
      <c r="L2114" t="s">
        <v>4605</v>
      </c>
      <c r="M2114">
        <v>14</v>
      </c>
      <c r="N2114" t="str">
        <f>VLOOKUP(M2114,[1]LOJA!$A:$B,2,0)</f>
        <v>S IA</v>
      </c>
      <c r="O2114">
        <v>212</v>
      </c>
      <c r="P2114" t="str">
        <f>VLOOKUP(O2114,[1]OPERADORES!$A:$B,2,0)</f>
        <v>YASMIN</v>
      </c>
      <c r="Q2114">
        <v>27</v>
      </c>
      <c r="R2114">
        <v>2000008500</v>
      </c>
      <c r="S2114" t="s">
        <v>780</v>
      </c>
      <c r="T2114" s="1">
        <v>45804</v>
      </c>
      <c r="U2114">
        <v>525</v>
      </c>
      <c r="V2114">
        <v>525</v>
      </c>
    </row>
    <row r="2115" spans="1:22" x14ac:dyDescent="0.3">
      <c r="A2115" t="s">
        <v>4589</v>
      </c>
      <c r="B2115" t="s">
        <v>4590</v>
      </c>
      <c r="C2115" t="s">
        <v>13</v>
      </c>
      <c r="D2115" t="s">
        <v>6080</v>
      </c>
      <c r="E2115" t="s">
        <v>15</v>
      </c>
      <c r="J2115" s="1">
        <v>45945</v>
      </c>
      <c r="K2115">
        <v>139</v>
      </c>
      <c r="L2115" t="s">
        <v>4606</v>
      </c>
      <c r="M2115">
        <v>14</v>
      </c>
      <c r="N2115" t="str">
        <f>VLOOKUP(M2115,[1]LOJA!$A:$B,2,0)</f>
        <v>S IA</v>
      </c>
      <c r="O2115">
        <v>20</v>
      </c>
      <c r="P2115" t="str">
        <f>VLOOKUP(O2115,[1]OPERADORES!$A:$B,2,0)</f>
        <v>MAYARA</v>
      </c>
      <c r="Q2115">
        <v>27</v>
      </c>
      <c r="R2115">
        <v>1000017281</v>
      </c>
      <c r="S2115" t="s">
        <v>4607</v>
      </c>
      <c r="T2115" s="1">
        <v>45842</v>
      </c>
      <c r="U2115" s="2">
        <v>5640</v>
      </c>
      <c r="V2115" s="2">
        <v>5640</v>
      </c>
    </row>
    <row r="2116" spans="1:22" x14ac:dyDescent="0.3">
      <c r="A2116" t="s">
        <v>4589</v>
      </c>
      <c r="B2116" t="s">
        <v>4590</v>
      </c>
      <c r="C2116" t="s">
        <v>13</v>
      </c>
      <c r="D2116" t="s">
        <v>6080</v>
      </c>
      <c r="E2116" t="s">
        <v>15</v>
      </c>
      <c r="J2116" s="1">
        <v>46006</v>
      </c>
      <c r="K2116">
        <v>78</v>
      </c>
      <c r="L2116" t="s">
        <v>4608</v>
      </c>
      <c r="M2116">
        <v>14</v>
      </c>
      <c r="N2116" t="str">
        <f>VLOOKUP(M2116,[1]LOJA!$A:$B,2,0)</f>
        <v>S IA</v>
      </c>
      <c r="O2116">
        <v>20</v>
      </c>
      <c r="P2116" t="str">
        <f>VLOOKUP(O2116,[1]OPERADORES!$A:$B,2,0)</f>
        <v>MAYARA</v>
      </c>
      <c r="Q2116">
        <v>27</v>
      </c>
      <c r="R2116">
        <v>1000018858</v>
      </c>
      <c r="S2116" t="s">
        <v>4609</v>
      </c>
      <c r="T2116" s="1">
        <v>45966</v>
      </c>
      <c r="U2116" s="2">
        <v>7705.58</v>
      </c>
      <c r="V2116" s="2">
        <v>7705.58</v>
      </c>
    </row>
    <row r="2117" spans="1:22" x14ac:dyDescent="0.3">
      <c r="A2117" t="s">
        <v>4589</v>
      </c>
      <c r="B2117" t="s">
        <v>4590</v>
      </c>
      <c r="C2117" t="s">
        <v>13</v>
      </c>
      <c r="D2117" t="s">
        <v>6080</v>
      </c>
      <c r="E2117" t="s">
        <v>15</v>
      </c>
      <c r="J2117" s="1">
        <v>46042</v>
      </c>
      <c r="K2117">
        <v>42</v>
      </c>
      <c r="L2117" t="s">
        <v>4610</v>
      </c>
      <c r="M2117">
        <v>14</v>
      </c>
      <c r="N2117" t="str">
        <f>VLOOKUP(M2117,[1]LOJA!$A:$B,2,0)</f>
        <v>S IA</v>
      </c>
      <c r="O2117">
        <v>20</v>
      </c>
      <c r="P2117" t="str">
        <f>VLOOKUP(O2117,[1]OPERADORES!$A:$B,2,0)</f>
        <v>MAYARA</v>
      </c>
      <c r="Q2117">
        <v>27</v>
      </c>
      <c r="R2117">
        <v>1000019415</v>
      </c>
      <c r="S2117" t="s">
        <v>4611</v>
      </c>
      <c r="T2117" s="1">
        <v>45999</v>
      </c>
      <c r="U2117" s="2">
        <v>11699.63</v>
      </c>
      <c r="V2117" s="2">
        <v>11699.63</v>
      </c>
    </row>
    <row r="2118" spans="1:22" x14ac:dyDescent="0.3">
      <c r="A2118" t="s">
        <v>4589</v>
      </c>
      <c r="B2118" t="s">
        <v>4590</v>
      </c>
      <c r="C2118" t="s">
        <v>13</v>
      </c>
      <c r="D2118" t="s">
        <v>6080</v>
      </c>
      <c r="E2118" t="s">
        <v>15</v>
      </c>
      <c r="J2118" s="1">
        <v>46056</v>
      </c>
      <c r="K2118">
        <v>28</v>
      </c>
      <c r="L2118" t="s">
        <v>4612</v>
      </c>
      <c r="M2118">
        <v>14</v>
      </c>
      <c r="N2118" t="str">
        <f>VLOOKUP(M2118,[1]LOJA!$A:$B,2,0)</f>
        <v>S IA</v>
      </c>
      <c r="O2118">
        <v>227</v>
      </c>
      <c r="P2118" t="str">
        <f>VLOOKUP(O2118,[1]OPERADORES!$A:$B,2,0)</f>
        <v>WHALISSON</v>
      </c>
      <c r="Q2118">
        <v>4</v>
      </c>
      <c r="S2118" t="s">
        <v>4613</v>
      </c>
      <c r="T2118" s="1">
        <v>45867</v>
      </c>
      <c r="U2118">
        <v>-3.86</v>
      </c>
      <c r="V2118">
        <v>-3.86</v>
      </c>
    </row>
    <row r="2119" spans="1:22" x14ac:dyDescent="0.3">
      <c r="A2119" t="s">
        <v>4589</v>
      </c>
      <c r="B2119" t="s">
        <v>4590</v>
      </c>
      <c r="C2119" t="s">
        <v>13</v>
      </c>
      <c r="D2119" t="s">
        <v>6080</v>
      </c>
      <c r="E2119" t="s">
        <v>15</v>
      </c>
      <c r="J2119" s="1">
        <v>46056</v>
      </c>
      <c r="K2119">
        <v>28</v>
      </c>
      <c r="L2119" t="s">
        <v>4614</v>
      </c>
      <c r="M2119">
        <v>14</v>
      </c>
      <c r="N2119" t="str">
        <f>VLOOKUP(M2119,[1]LOJA!$A:$B,2,0)</f>
        <v>S IA</v>
      </c>
      <c r="O2119">
        <v>212</v>
      </c>
      <c r="P2119" t="str">
        <f>VLOOKUP(O2119,[1]OPERADORES!$A:$B,2,0)</f>
        <v>YASMIN</v>
      </c>
      <c r="Q2119">
        <v>4</v>
      </c>
      <c r="S2119" t="s">
        <v>4615</v>
      </c>
      <c r="T2119" s="1">
        <v>46056</v>
      </c>
      <c r="U2119">
        <v>-1.33</v>
      </c>
      <c r="V2119">
        <v>-1.33</v>
      </c>
    </row>
    <row r="2120" spans="1:22" x14ac:dyDescent="0.3">
      <c r="A2120" t="s">
        <v>4589</v>
      </c>
      <c r="B2120" t="s">
        <v>4590</v>
      </c>
      <c r="C2120" t="s">
        <v>13</v>
      </c>
      <c r="D2120" t="s">
        <v>6080</v>
      </c>
      <c r="E2120" t="s">
        <v>15</v>
      </c>
      <c r="J2120" s="1">
        <v>46073</v>
      </c>
      <c r="K2120">
        <v>11</v>
      </c>
      <c r="L2120" t="s">
        <v>6082</v>
      </c>
      <c r="M2120">
        <v>14</v>
      </c>
      <c r="N2120" t="str">
        <f>VLOOKUP(M2120,[1]LOJA!$A:$B,2,0)</f>
        <v>S IA</v>
      </c>
      <c r="O2120">
        <v>212</v>
      </c>
      <c r="P2120" t="str">
        <f>VLOOKUP(O2120,[1]OPERADORES!$A:$B,2,0)</f>
        <v>YASMIN</v>
      </c>
      <c r="Q2120">
        <v>7</v>
      </c>
      <c r="S2120" t="s">
        <v>87</v>
      </c>
      <c r="T2120" s="1">
        <v>46072</v>
      </c>
      <c r="U2120" s="2">
        <v>3200</v>
      </c>
      <c r="V2120" s="2">
        <v>3200</v>
      </c>
    </row>
    <row r="2121" spans="1:22" x14ac:dyDescent="0.3">
      <c r="A2121" t="s">
        <v>4589</v>
      </c>
      <c r="B2121" t="s">
        <v>4590</v>
      </c>
      <c r="C2121" t="s">
        <v>13</v>
      </c>
      <c r="D2121" t="s">
        <v>6080</v>
      </c>
      <c r="E2121" t="s">
        <v>15</v>
      </c>
      <c r="J2121" s="1">
        <v>46073</v>
      </c>
      <c r="K2121">
        <v>11</v>
      </c>
      <c r="L2121" t="s">
        <v>6083</v>
      </c>
      <c r="M2121">
        <v>14</v>
      </c>
      <c r="N2121" t="str">
        <f>VLOOKUP(M2121,[1]LOJA!$A:$B,2,0)</f>
        <v>S IA</v>
      </c>
      <c r="O2121">
        <v>20</v>
      </c>
      <c r="P2121" t="str">
        <f>VLOOKUP(O2121,[1]OPERADORES!$A:$B,2,0)</f>
        <v>MAYARA</v>
      </c>
      <c r="Q2121">
        <v>27</v>
      </c>
      <c r="R2121">
        <v>1000019835</v>
      </c>
      <c r="S2121" t="s">
        <v>6084</v>
      </c>
      <c r="T2121" s="1">
        <v>46028</v>
      </c>
      <c r="U2121" s="2">
        <v>15025.99</v>
      </c>
      <c r="V2121" s="2">
        <v>15025.99</v>
      </c>
    </row>
    <row r="2122" spans="1:22" x14ac:dyDescent="0.3">
      <c r="A2122" t="s">
        <v>4616</v>
      </c>
      <c r="B2122" t="s">
        <v>4617</v>
      </c>
      <c r="C2122" t="s">
        <v>13</v>
      </c>
      <c r="D2122" t="s">
        <v>6085</v>
      </c>
      <c r="E2122" t="s">
        <v>15</v>
      </c>
      <c r="J2122" s="1">
        <v>44517</v>
      </c>
      <c r="K2122">
        <v>1567</v>
      </c>
      <c r="L2122" t="s">
        <v>4618</v>
      </c>
      <c r="M2122">
        <v>14</v>
      </c>
      <c r="N2122" t="str">
        <f>VLOOKUP(M2122,[1]LOJA!$A:$B,2,0)</f>
        <v>S IA</v>
      </c>
      <c r="O2122">
        <v>84</v>
      </c>
      <c r="P2122" t="str">
        <f>VLOOKUP(O2122,[1]OPERADORES!$A:$B,2,0)</f>
        <v>JEICY AZEVEDO</v>
      </c>
      <c r="Q2122">
        <v>4</v>
      </c>
      <c r="S2122" t="s">
        <v>4619</v>
      </c>
      <c r="T2122" s="1">
        <v>44475</v>
      </c>
      <c r="U2122" s="2">
        <v>2658.68</v>
      </c>
      <c r="V2122" s="2">
        <v>2658.68</v>
      </c>
    </row>
    <row r="2123" spans="1:22" x14ac:dyDescent="0.3">
      <c r="A2123" t="s">
        <v>4616</v>
      </c>
      <c r="B2123" t="s">
        <v>4617</v>
      </c>
      <c r="C2123" t="s">
        <v>13</v>
      </c>
      <c r="D2123" t="s">
        <v>6085</v>
      </c>
      <c r="E2123" t="s">
        <v>15</v>
      </c>
      <c r="J2123" s="1">
        <v>45124</v>
      </c>
      <c r="K2123">
        <v>960</v>
      </c>
      <c r="L2123" t="s">
        <v>6086</v>
      </c>
      <c r="M2123">
        <v>14</v>
      </c>
      <c r="N2123" t="str">
        <f>VLOOKUP(M2123,[1]LOJA!$A:$B,2,0)</f>
        <v>S IA</v>
      </c>
      <c r="O2123">
        <v>54</v>
      </c>
      <c r="P2123" t="str">
        <f>VLOOKUP(O2123,[1]OPERADORES!$A:$B,2,0)</f>
        <v>ROBSON</v>
      </c>
      <c r="Q2123">
        <v>4</v>
      </c>
      <c r="S2123" t="s">
        <v>87</v>
      </c>
      <c r="T2123" s="1">
        <v>45124</v>
      </c>
      <c r="U2123">
        <v>71.7</v>
      </c>
      <c r="V2123">
        <v>71.7</v>
      </c>
    </row>
    <row r="2124" spans="1:22" x14ac:dyDescent="0.3">
      <c r="A2124" t="s">
        <v>4616</v>
      </c>
      <c r="B2124" t="s">
        <v>4617</v>
      </c>
      <c r="C2124" t="s">
        <v>13</v>
      </c>
      <c r="D2124" t="s">
        <v>6085</v>
      </c>
      <c r="E2124" t="s">
        <v>15</v>
      </c>
      <c r="J2124" s="1">
        <v>45783</v>
      </c>
      <c r="K2124">
        <v>301</v>
      </c>
      <c r="L2124" t="s">
        <v>4620</v>
      </c>
      <c r="M2124">
        <v>14</v>
      </c>
      <c r="N2124" t="str">
        <f>VLOOKUP(M2124,[1]LOJA!$A:$B,2,0)</f>
        <v>S IA</v>
      </c>
      <c r="O2124">
        <v>212</v>
      </c>
      <c r="P2124" t="str">
        <f>VLOOKUP(O2124,[1]OPERADORES!$A:$B,2,0)</f>
        <v>YASMIN</v>
      </c>
      <c r="Q2124">
        <v>4</v>
      </c>
      <c r="S2124" t="s">
        <v>4621</v>
      </c>
      <c r="T2124" s="1">
        <v>45783</v>
      </c>
      <c r="U2124">
        <v>-2.6</v>
      </c>
      <c r="V2124">
        <v>-2.6</v>
      </c>
    </row>
    <row r="2125" spans="1:22" x14ac:dyDescent="0.3">
      <c r="A2125" t="s">
        <v>4616</v>
      </c>
      <c r="B2125" t="s">
        <v>4617</v>
      </c>
      <c r="C2125" t="s">
        <v>13</v>
      </c>
      <c r="D2125" t="s">
        <v>6085</v>
      </c>
      <c r="E2125" t="s">
        <v>15</v>
      </c>
      <c r="J2125" s="1">
        <v>46065</v>
      </c>
      <c r="K2125">
        <v>19</v>
      </c>
      <c r="L2125" t="s">
        <v>6087</v>
      </c>
      <c r="M2125">
        <v>14</v>
      </c>
      <c r="N2125" t="str">
        <f>VLOOKUP(M2125,[1]LOJA!$A:$B,2,0)</f>
        <v>S IA</v>
      </c>
      <c r="O2125">
        <v>54</v>
      </c>
      <c r="P2125" t="str">
        <f>VLOOKUP(O2125,[1]OPERADORES!$A:$B,2,0)</f>
        <v>ROBSON</v>
      </c>
      <c r="Q2125">
        <v>7</v>
      </c>
      <c r="S2125" t="s">
        <v>87</v>
      </c>
      <c r="T2125" s="1">
        <v>46064</v>
      </c>
      <c r="U2125">
        <v>84.9</v>
      </c>
      <c r="V2125">
        <v>84.9</v>
      </c>
    </row>
    <row r="2126" spans="1:22" x14ac:dyDescent="0.3">
      <c r="A2126" t="s">
        <v>4622</v>
      </c>
      <c r="B2126" t="s">
        <v>4623</v>
      </c>
      <c r="C2126" t="s">
        <v>13</v>
      </c>
      <c r="D2126" t="s">
        <v>4624</v>
      </c>
      <c r="E2126" t="s">
        <v>15</v>
      </c>
      <c r="J2126" s="1">
        <v>45866</v>
      </c>
      <c r="K2126">
        <v>218</v>
      </c>
      <c r="L2126" t="s">
        <v>4625</v>
      </c>
      <c r="M2126">
        <v>12</v>
      </c>
      <c r="N2126" t="str">
        <f>VLOOKUP(M2126,[1]LOJA!$A:$B,2,0)</f>
        <v>SOFNORTE</v>
      </c>
      <c r="O2126">
        <v>239</v>
      </c>
      <c r="P2126" t="str">
        <f>VLOOKUP(O2126,[1]OPERADORES!$A:$B,2,0)</f>
        <v>BRUNO</v>
      </c>
      <c r="Q2126">
        <v>4</v>
      </c>
      <c r="S2126" t="s">
        <v>4626</v>
      </c>
      <c r="T2126" s="1">
        <v>45866</v>
      </c>
      <c r="U2126">
        <v>-1.57</v>
      </c>
      <c r="V2126">
        <v>-1.57</v>
      </c>
    </row>
    <row r="2127" spans="1:22" x14ac:dyDescent="0.3">
      <c r="A2127" t="s">
        <v>4627</v>
      </c>
      <c r="B2127" t="s">
        <v>32</v>
      </c>
      <c r="C2127" t="s">
        <v>13</v>
      </c>
      <c r="D2127" t="s">
        <v>4628</v>
      </c>
      <c r="E2127" t="s">
        <v>15</v>
      </c>
      <c r="J2127" s="1">
        <v>45930</v>
      </c>
      <c r="K2127">
        <v>154</v>
      </c>
      <c r="L2127" t="s">
        <v>4629</v>
      </c>
      <c r="M2127">
        <v>24</v>
      </c>
      <c r="N2127" t="str">
        <f>VLOOKUP(M2127,[1]LOJA!$A:$B,2,0)</f>
        <v>LUZIÂNIA</v>
      </c>
      <c r="O2127">
        <v>192</v>
      </c>
      <c r="P2127" t="str">
        <f>VLOOKUP(O2127,[1]OPERADORES!$A:$B,2,0)</f>
        <v>CIDA</v>
      </c>
      <c r="Q2127">
        <v>4</v>
      </c>
      <c r="S2127" t="s">
        <v>4630</v>
      </c>
      <c r="T2127" s="1">
        <v>45930</v>
      </c>
      <c r="U2127">
        <v>-12.66</v>
      </c>
      <c r="V2127">
        <v>-12.66</v>
      </c>
    </row>
    <row r="2128" spans="1:22" x14ac:dyDescent="0.3">
      <c r="A2128" t="s">
        <v>4627</v>
      </c>
      <c r="B2128" t="s">
        <v>32</v>
      </c>
      <c r="C2128" t="s">
        <v>13</v>
      </c>
      <c r="D2128" t="s">
        <v>4628</v>
      </c>
      <c r="E2128" t="s">
        <v>15</v>
      </c>
      <c r="J2128" s="1">
        <v>45995</v>
      </c>
      <c r="K2128">
        <v>89</v>
      </c>
      <c r="L2128" t="s">
        <v>1376</v>
      </c>
      <c r="M2128">
        <v>24</v>
      </c>
      <c r="N2128" t="str">
        <f>VLOOKUP(M2128,[1]LOJA!$A:$B,2,0)</f>
        <v>LUZIÂNIA</v>
      </c>
      <c r="O2128">
        <v>244</v>
      </c>
      <c r="P2128" t="str">
        <f>VLOOKUP(O2128,[1]OPERADORES!$A:$B,2,0)</f>
        <v>NATHALIA PEREIRA DA SILVA</v>
      </c>
      <c r="Q2128">
        <v>4</v>
      </c>
      <c r="S2128" t="s">
        <v>4631</v>
      </c>
      <c r="T2128" s="1">
        <v>45995</v>
      </c>
      <c r="U2128">
        <v>-20.7</v>
      </c>
      <c r="V2128">
        <v>-20.7</v>
      </c>
    </row>
    <row r="2129" spans="1:22" x14ac:dyDescent="0.3">
      <c r="A2129" t="s">
        <v>4632</v>
      </c>
      <c r="B2129" t="s">
        <v>4633</v>
      </c>
      <c r="C2129" t="s">
        <v>848</v>
      </c>
      <c r="D2129" t="s">
        <v>6088</v>
      </c>
      <c r="E2129" t="s">
        <v>15</v>
      </c>
      <c r="J2129" s="1">
        <v>46073</v>
      </c>
      <c r="K2129">
        <v>11</v>
      </c>
      <c r="L2129" t="s">
        <v>6089</v>
      </c>
      <c r="M2129">
        <v>12</v>
      </c>
      <c r="N2129" t="str">
        <f>VLOOKUP(M2129,[1]LOJA!$A:$B,2,0)</f>
        <v>SOFNORTE</v>
      </c>
      <c r="O2129">
        <v>20</v>
      </c>
      <c r="P2129" t="str">
        <f>VLOOKUP(O2129,[1]OPERADORES!$A:$B,2,0)</f>
        <v>MAYARA</v>
      </c>
      <c r="Q2129">
        <v>12</v>
      </c>
      <c r="S2129" t="s">
        <v>6090</v>
      </c>
      <c r="T2129" s="1">
        <v>46057</v>
      </c>
      <c r="U2129" s="2">
        <v>4171.34</v>
      </c>
      <c r="V2129" s="2">
        <v>4171.34</v>
      </c>
    </row>
    <row r="2130" spans="1:22" x14ac:dyDescent="0.3">
      <c r="A2130" t="s">
        <v>4635</v>
      </c>
      <c r="B2130" t="s">
        <v>4636</v>
      </c>
      <c r="C2130" t="s">
        <v>13</v>
      </c>
      <c r="D2130" t="s">
        <v>243</v>
      </c>
      <c r="E2130" t="s">
        <v>15</v>
      </c>
      <c r="J2130" s="1">
        <v>45030</v>
      </c>
      <c r="K2130">
        <v>1054</v>
      </c>
      <c r="L2130" t="s">
        <v>4637</v>
      </c>
      <c r="M2130">
        <v>1</v>
      </c>
      <c r="N2130" t="str">
        <f>VLOOKUP(M2130,[1]LOJA!$A:$B,2,0)</f>
        <v>GUARÁ</v>
      </c>
      <c r="O2130">
        <v>26</v>
      </c>
      <c r="P2130" t="str">
        <f>VLOOKUP(O2130,[1]OPERADORES!$A:$B,2,0)</f>
        <v>JANUARIO</v>
      </c>
      <c r="Q2130">
        <v>4</v>
      </c>
      <c r="S2130" t="s">
        <v>4638</v>
      </c>
      <c r="T2130" s="1">
        <v>45030</v>
      </c>
      <c r="U2130">
        <v>-0.2</v>
      </c>
      <c r="V2130">
        <v>-0.2</v>
      </c>
    </row>
    <row r="2131" spans="1:22" x14ac:dyDescent="0.3">
      <c r="A2131" t="s">
        <v>6091</v>
      </c>
      <c r="B2131" t="s">
        <v>32</v>
      </c>
      <c r="C2131" t="s">
        <v>13</v>
      </c>
      <c r="D2131" t="s">
        <v>6092</v>
      </c>
      <c r="E2131" t="s">
        <v>15</v>
      </c>
      <c r="J2131" s="1">
        <v>46083</v>
      </c>
      <c r="K2131">
        <v>1</v>
      </c>
      <c r="L2131" t="s">
        <v>6093</v>
      </c>
      <c r="M2131">
        <v>9</v>
      </c>
      <c r="N2131" t="str">
        <f>VLOOKUP(M2131,[1]LOJA!$A:$B,2,0)</f>
        <v>ÚNICA</v>
      </c>
      <c r="O2131">
        <v>144</v>
      </c>
      <c r="P2131" t="str">
        <f>VLOOKUP(O2131,[1]OPERADORES!$A:$B,2,0)</f>
        <v>CINTIA DA SILVA CARLOS</v>
      </c>
      <c r="Q2131">
        <v>4</v>
      </c>
      <c r="S2131" t="s">
        <v>6094</v>
      </c>
      <c r="T2131" s="1">
        <v>46083</v>
      </c>
      <c r="U2131">
        <v>-0.72</v>
      </c>
      <c r="V2131">
        <v>-0.72</v>
      </c>
    </row>
    <row r="2132" spans="1:22" x14ac:dyDescent="0.3">
      <c r="A2132" t="s">
        <v>4639</v>
      </c>
      <c r="B2132" t="s">
        <v>4640</v>
      </c>
      <c r="C2132" t="s">
        <v>13</v>
      </c>
      <c r="D2132" t="s">
        <v>4641</v>
      </c>
      <c r="E2132" t="s">
        <v>15</v>
      </c>
      <c r="J2132" s="1">
        <v>44389</v>
      </c>
      <c r="K2132">
        <v>1695</v>
      </c>
      <c r="L2132" t="s">
        <v>4642</v>
      </c>
      <c r="M2132">
        <v>14</v>
      </c>
      <c r="N2132" t="str">
        <f>VLOOKUP(M2132,[1]LOJA!$A:$B,2,0)</f>
        <v>S IA</v>
      </c>
      <c r="O2132">
        <v>60</v>
      </c>
      <c r="P2132" t="str">
        <f>VLOOKUP(O2132,[1]OPERADORES!$A:$B,2,0)</f>
        <v>ALEXANDRA</v>
      </c>
      <c r="Q2132">
        <v>4</v>
      </c>
      <c r="S2132" t="s">
        <v>4643</v>
      </c>
      <c r="T2132" s="1">
        <v>44389</v>
      </c>
      <c r="U2132">
        <v>-0.87</v>
      </c>
      <c r="V2132">
        <v>-0.87</v>
      </c>
    </row>
    <row r="2133" spans="1:22" x14ac:dyDescent="0.3">
      <c r="A2133" t="s">
        <v>4644</v>
      </c>
      <c r="B2133" t="s">
        <v>4645</v>
      </c>
      <c r="C2133" t="s">
        <v>13</v>
      </c>
      <c r="D2133" t="s">
        <v>4641</v>
      </c>
      <c r="E2133" t="s">
        <v>15</v>
      </c>
      <c r="J2133" s="1">
        <v>45918</v>
      </c>
      <c r="K2133">
        <v>166</v>
      </c>
      <c r="L2133" t="s">
        <v>4646</v>
      </c>
      <c r="M2133">
        <v>14</v>
      </c>
      <c r="N2133" t="str">
        <f>VLOOKUP(M2133,[1]LOJA!$A:$B,2,0)</f>
        <v>S IA</v>
      </c>
      <c r="O2133">
        <v>207</v>
      </c>
      <c r="P2133" t="str">
        <f>VLOOKUP(O2133,[1]OPERADORES!$A:$B,2,0)</f>
        <v>KETILE SABRINE</v>
      </c>
      <c r="Q2133">
        <v>4</v>
      </c>
      <c r="S2133" t="s">
        <v>4647</v>
      </c>
      <c r="T2133" s="1">
        <v>45918</v>
      </c>
      <c r="U2133">
        <v>-0.87</v>
      </c>
      <c r="V2133">
        <v>-0.87</v>
      </c>
    </row>
    <row r="2134" spans="1:22" x14ac:dyDescent="0.3">
      <c r="A2134" t="s">
        <v>4648</v>
      </c>
      <c r="B2134" t="s">
        <v>32</v>
      </c>
      <c r="C2134" t="s">
        <v>13</v>
      </c>
      <c r="D2134" t="s">
        <v>280</v>
      </c>
      <c r="E2134" t="s">
        <v>15</v>
      </c>
      <c r="J2134" s="1">
        <v>45754</v>
      </c>
      <c r="K2134">
        <v>330</v>
      </c>
      <c r="L2134" t="s">
        <v>4649</v>
      </c>
      <c r="M2134">
        <v>8</v>
      </c>
      <c r="N2134" t="str">
        <f>VLOOKUP(M2134,[1]LOJA!$A:$B,2,0)</f>
        <v>LUZIÂNIA</v>
      </c>
      <c r="O2134">
        <v>170</v>
      </c>
      <c r="P2134" t="str">
        <f>VLOOKUP(O2134,[1]OPERADORES!$A:$B,2,0)</f>
        <v>MARIA LUISA</v>
      </c>
      <c r="Q2134">
        <v>4</v>
      </c>
      <c r="S2134" t="s">
        <v>4650</v>
      </c>
      <c r="T2134" s="1">
        <v>45754</v>
      </c>
      <c r="U2134">
        <v>-1</v>
      </c>
      <c r="V2134">
        <v>-1</v>
      </c>
    </row>
    <row r="2135" spans="1:22" x14ac:dyDescent="0.3">
      <c r="A2135" t="s">
        <v>4651</v>
      </c>
      <c r="B2135" t="s">
        <v>4652</v>
      </c>
      <c r="C2135" t="s">
        <v>4653</v>
      </c>
      <c r="D2135" t="s">
        <v>6095</v>
      </c>
      <c r="E2135" t="s">
        <v>15</v>
      </c>
      <c r="J2135" s="1">
        <v>45826</v>
      </c>
      <c r="K2135">
        <v>258</v>
      </c>
      <c r="L2135" t="s">
        <v>4654</v>
      </c>
      <c r="M2135">
        <v>9</v>
      </c>
      <c r="N2135" t="str">
        <f>VLOOKUP(M2135,[1]LOJA!$A:$B,2,0)</f>
        <v>ÚNICA</v>
      </c>
      <c r="O2135">
        <v>231</v>
      </c>
      <c r="P2135" t="str">
        <f>VLOOKUP(O2135,[1]OPERADORES!$A:$B,2,0)</f>
        <v>EDIJANE</v>
      </c>
      <c r="Q2135">
        <v>4</v>
      </c>
      <c r="S2135" t="s">
        <v>4655</v>
      </c>
      <c r="T2135" s="1">
        <v>45826</v>
      </c>
      <c r="U2135">
        <v>-0.02</v>
      </c>
      <c r="V2135">
        <v>-0.02</v>
      </c>
    </row>
    <row r="2136" spans="1:22" x14ac:dyDescent="0.3">
      <c r="A2136" t="s">
        <v>4651</v>
      </c>
      <c r="B2136" t="s">
        <v>4652</v>
      </c>
      <c r="C2136" t="s">
        <v>4653</v>
      </c>
      <c r="D2136" t="s">
        <v>6095</v>
      </c>
      <c r="E2136" t="s">
        <v>15</v>
      </c>
      <c r="J2136" s="1">
        <v>46077</v>
      </c>
      <c r="K2136">
        <v>7</v>
      </c>
      <c r="L2136" t="s">
        <v>6096</v>
      </c>
      <c r="M2136">
        <v>9</v>
      </c>
      <c r="N2136" t="str">
        <f>VLOOKUP(M2136,[1]LOJA!$A:$B,2,0)</f>
        <v>ÚNICA</v>
      </c>
      <c r="O2136">
        <v>231</v>
      </c>
      <c r="P2136" t="str">
        <f>VLOOKUP(O2136,[1]OPERADORES!$A:$B,2,0)</f>
        <v>EDIJANE</v>
      </c>
      <c r="Q2136">
        <v>4</v>
      </c>
      <c r="S2136" t="s">
        <v>6097</v>
      </c>
      <c r="T2136" s="1">
        <v>46077</v>
      </c>
      <c r="U2136">
        <v>-39.340000000000003</v>
      </c>
      <c r="V2136">
        <v>-39.340000000000003</v>
      </c>
    </row>
    <row r="2137" spans="1:22" x14ac:dyDescent="0.3">
      <c r="A2137" t="s">
        <v>4656</v>
      </c>
      <c r="B2137" t="s">
        <v>4657</v>
      </c>
      <c r="C2137" t="s">
        <v>13</v>
      </c>
      <c r="D2137" t="s">
        <v>4658</v>
      </c>
      <c r="E2137" t="s">
        <v>15</v>
      </c>
      <c r="J2137" s="1">
        <v>45099</v>
      </c>
      <c r="K2137">
        <v>985</v>
      </c>
      <c r="L2137" t="s">
        <v>4659</v>
      </c>
      <c r="M2137">
        <v>4</v>
      </c>
      <c r="N2137" t="str">
        <f>VLOOKUP(M2137,[1]LOJA!$A:$B,2,0)</f>
        <v>ADE</v>
      </c>
      <c r="O2137">
        <v>107</v>
      </c>
      <c r="P2137" t="str">
        <f>VLOOKUP(O2137,[1]OPERADORES!$A:$B,2,0)</f>
        <v>DAIANA PORTELA</v>
      </c>
      <c r="Q2137">
        <v>7</v>
      </c>
      <c r="S2137" t="s">
        <v>4660</v>
      </c>
      <c r="T2137" s="1">
        <v>45099</v>
      </c>
      <c r="U2137">
        <v>-9.44</v>
      </c>
      <c r="V2137">
        <v>-9.44</v>
      </c>
    </row>
    <row r="2138" spans="1:22" x14ac:dyDescent="0.3">
      <c r="A2138" t="s">
        <v>6098</v>
      </c>
      <c r="B2138" t="s">
        <v>6099</v>
      </c>
      <c r="C2138" t="s">
        <v>909</v>
      </c>
      <c r="D2138" t="s">
        <v>6100</v>
      </c>
      <c r="E2138" t="s">
        <v>15</v>
      </c>
      <c r="J2138" s="1">
        <v>46073</v>
      </c>
      <c r="K2138">
        <v>11</v>
      </c>
      <c r="L2138" t="s">
        <v>6101</v>
      </c>
      <c r="M2138">
        <v>13</v>
      </c>
      <c r="N2138" t="str">
        <f>VLOOKUP(M2138,[1]LOJA!$A:$B,2,0)</f>
        <v>CEILÂNDIA</v>
      </c>
      <c r="O2138">
        <v>20</v>
      </c>
      <c r="P2138" t="str">
        <f>VLOOKUP(O2138,[1]OPERADORES!$A:$B,2,0)</f>
        <v>MAYARA</v>
      </c>
      <c r="Q2138">
        <v>12</v>
      </c>
      <c r="S2138" t="s">
        <v>6102</v>
      </c>
      <c r="T2138" s="1">
        <v>46057</v>
      </c>
      <c r="U2138">
        <v>368.25</v>
      </c>
      <c r="V2138">
        <v>368.25</v>
      </c>
    </row>
    <row r="2139" spans="1:22" x14ac:dyDescent="0.3">
      <c r="A2139" t="s">
        <v>6098</v>
      </c>
      <c r="B2139" t="s">
        <v>6099</v>
      </c>
      <c r="C2139" t="s">
        <v>909</v>
      </c>
      <c r="D2139" t="s">
        <v>6100</v>
      </c>
      <c r="E2139" t="s">
        <v>15</v>
      </c>
      <c r="J2139" s="1">
        <v>46084</v>
      </c>
      <c r="K2139">
        <v>0</v>
      </c>
      <c r="L2139" t="s">
        <v>6103</v>
      </c>
      <c r="M2139">
        <v>13</v>
      </c>
      <c r="N2139" t="str">
        <f>VLOOKUP(M2139,[1]LOJA!$A:$B,2,0)</f>
        <v>CEILÂNDIA</v>
      </c>
      <c r="O2139">
        <v>86</v>
      </c>
      <c r="P2139" t="str">
        <f>VLOOKUP(O2139,[1]OPERADORES!$A:$B,2,0)</f>
        <v>AMANDA</v>
      </c>
      <c r="Q2139">
        <v>4</v>
      </c>
      <c r="S2139" t="s">
        <v>6104</v>
      </c>
      <c r="T2139" s="1">
        <v>46084</v>
      </c>
      <c r="U2139">
        <v>-55</v>
      </c>
      <c r="V2139">
        <v>-55</v>
      </c>
    </row>
    <row r="2140" spans="1:22" x14ac:dyDescent="0.3">
      <c r="A2140" t="s">
        <v>6105</v>
      </c>
      <c r="B2140" t="s">
        <v>6106</v>
      </c>
      <c r="C2140" t="s">
        <v>13</v>
      </c>
      <c r="D2140" t="s">
        <v>6107</v>
      </c>
      <c r="E2140" t="s">
        <v>15</v>
      </c>
      <c r="J2140" s="1">
        <v>46077</v>
      </c>
      <c r="K2140">
        <v>7</v>
      </c>
      <c r="L2140" t="s">
        <v>6108</v>
      </c>
      <c r="M2140">
        <v>22</v>
      </c>
      <c r="N2140" t="str">
        <f>VLOOKUP(M2140,[1]LOJA!$A:$B,2,0)</f>
        <v>GUARÁ</v>
      </c>
      <c r="O2140">
        <v>238</v>
      </c>
      <c r="P2140" t="str">
        <f>VLOOKUP(O2140,[1]OPERADORES!$A:$B,2,0)</f>
        <v>BIANCA</v>
      </c>
      <c r="Q2140">
        <v>4</v>
      </c>
      <c r="S2140" t="s">
        <v>6109</v>
      </c>
      <c r="T2140" s="1">
        <v>46077</v>
      </c>
      <c r="U2140">
        <v>-26.8</v>
      </c>
      <c r="V2140">
        <v>-26.8</v>
      </c>
    </row>
    <row r="2141" spans="1:22" x14ac:dyDescent="0.3">
      <c r="A2141" t="s">
        <v>4661</v>
      </c>
      <c r="B2141" t="s">
        <v>4662</v>
      </c>
      <c r="C2141" t="s">
        <v>700</v>
      </c>
      <c r="D2141" t="s">
        <v>6110</v>
      </c>
      <c r="E2141" t="s">
        <v>15</v>
      </c>
      <c r="J2141" s="1">
        <v>46073</v>
      </c>
      <c r="K2141">
        <v>11</v>
      </c>
      <c r="L2141" t="s">
        <v>6111</v>
      </c>
      <c r="M2141">
        <v>12</v>
      </c>
      <c r="N2141" t="str">
        <f>VLOOKUP(M2141,[1]LOJA!$A:$B,2,0)</f>
        <v>SOFNORTE</v>
      </c>
      <c r="O2141">
        <v>20</v>
      </c>
      <c r="P2141" t="str">
        <f>VLOOKUP(O2141,[1]OPERADORES!$A:$B,2,0)</f>
        <v>MAYARA</v>
      </c>
      <c r="Q2141">
        <v>12</v>
      </c>
      <c r="S2141" t="s">
        <v>6112</v>
      </c>
      <c r="T2141" s="1">
        <v>46057</v>
      </c>
      <c r="U2141" s="2">
        <v>1324.68</v>
      </c>
      <c r="V2141" s="2">
        <v>1324.68</v>
      </c>
    </row>
    <row r="2142" spans="1:22" x14ac:dyDescent="0.3">
      <c r="A2142" t="s">
        <v>4663</v>
      </c>
      <c r="B2142" t="s">
        <v>4664</v>
      </c>
      <c r="C2142" t="s">
        <v>13</v>
      </c>
      <c r="D2142" t="s">
        <v>194</v>
      </c>
      <c r="E2142" t="s">
        <v>15</v>
      </c>
      <c r="J2142" s="1">
        <v>45786</v>
      </c>
      <c r="K2142">
        <v>298</v>
      </c>
      <c r="L2142" t="s">
        <v>1191</v>
      </c>
      <c r="M2142">
        <v>13</v>
      </c>
      <c r="N2142" t="str">
        <f>VLOOKUP(M2142,[1]LOJA!$A:$B,2,0)</f>
        <v>CEILÂNDIA</v>
      </c>
      <c r="O2142">
        <v>67</v>
      </c>
      <c r="P2142" t="str">
        <f>VLOOKUP(O2142,[1]OPERADORES!$A:$B,2,0)</f>
        <v>ERIKA</v>
      </c>
      <c r="Q2142">
        <v>10</v>
      </c>
      <c r="S2142" t="s">
        <v>4665</v>
      </c>
      <c r="T2142" s="1">
        <v>45786</v>
      </c>
      <c r="U2142">
        <v>-0.3</v>
      </c>
      <c r="V2142">
        <v>-0.3</v>
      </c>
    </row>
    <row r="2143" spans="1:22" x14ac:dyDescent="0.3">
      <c r="A2143" t="s">
        <v>4666</v>
      </c>
      <c r="B2143" t="s">
        <v>4667</v>
      </c>
      <c r="C2143" t="s">
        <v>13</v>
      </c>
      <c r="D2143" t="s">
        <v>6113</v>
      </c>
      <c r="E2143" t="s">
        <v>15</v>
      </c>
      <c r="J2143" s="1">
        <v>45435</v>
      </c>
      <c r="K2143">
        <v>649</v>
      </c>
      <c r="L2143" t="s">
        <v>4668</v>
      </c>
      <c r="M2143">
        <v>16</v>
      </c>
      <c r="N2143" t="str">
        <f>VLOOKUP(M2143,[1]LOJA!$A:$B,2,0)</f>
        <v>AG LINDAS</v>
      </c>
      <c r="O2143">
        <v>107</v>
      </c>
      <c r="P2143" t="str">
        <f>VLOOKUP(O2143,[1]OPERADORES!$A:$B,2,0)</f>
        <v>DAIANA PORTELA</v>
      </c>
      <c r="Q2143">
        <v>7</v>
      </c>
      <c r="S2143" t="s">
        <v>4669</v>
      </c>
      <c r="T2143" s="1">
        <v>45435</v>
      </c>
      <c r="U2143">
        <v>-0.6</v>
      </c>
      <c r="V2143">
        <v>-0.6</v>
      </c>
    </row>
    <row r="2144" spans="1:22" x14ac:dyDescent="0.3">
      <c r="A2144" t="s">
        <v>4666</v>
      </c>
      <c r="B2144" t="s">
        <v>4667</v>
      </c>
      <c r="C2144" t="s">
        <v>13</v>
      </c>
      <c r="D2144" t="s">
        <v>6113</v>
      </c>
      <c r="E2144" t="s">
        <v>15</v>
      </c>
      <c r="J2144" s="1">
        <v>46078</v>
      </c>
      <c r="K2144">
        <v>6</v>
      </c>
      <c r="L2144" t="s">
        <v>6114</v>
      </c>
      <c r="M2144">
        <v>13</v>
      </c>
      <c r="N2144" t="str">
        <f>VLOOKUP(M2144,[1]LOJA!$A:$B,2,0)</f>
        <v>CEILÂNDIA</v>
      </c>
      <c r="O2144">
        <v>86</v>
      </c>
      <c r="P2144" t="str">
        <f>VLOOKUP(O2144,[1]OPERADORES!$A:$B,2,0)</f>
        <v>AMANDA</v>
      </c>
      <c r="Q2144">
        <v>7</v>
      </c>
      <c r="S2144" t="s">
        <v>87</v>
      </c>
      <c r="T2144" s="1">
        <v>46077</v>
      </c>
      <c r="U2144">
        <v>261.85000000000002</v>
      </c>
      <c r="V2144">
        <v>261.85000000000002</v>
      </c>
    </row>
    <row r="2145" spans="1:22" x14ac:dyDescent="0.3">
      <c r="A2145" t="s">
        <v>4666</v>
      </c>
      <c r="B2145" t="s">
        <v>4667</v>
      </c>
      <c r="C2145" t="s">
        <v>13</v>
      </c>
      <c r="D2145" t="s">
        <v>6113</v>
      </c>
      <c r="E2145" t="s">
        <v>15</v>
      </c>
      <c r="J2145" s="1">
        <v>46084</v>
      </c>
      <c r="K2145">
        <v>0</v>
      </c>
      <c r="L2145" t="s">
        <v>6115</v>
      </c>
      <c r="M2145">
        <v>13</v>
      </c>
      <c r="N2145" t="str">
        <f>VLOOKUP(M2145,[1]LOJA!$A:$B,2,0)</f>
        <v>CEILÂNDIA</v>
      </c>
      <c r="O2145">
        <v>86</v>
      </c>
      <c r="P2145" t="str">
        <f>VLOOKUP(O2145,[1]OPERADORES!$A:$B,2,0)</f>
        <v>AMANDA</v>
      </c>
      <c r="Q2145">
        <v>7</v>
      </c>
      <c r="S2145" t="s">
        <v>87</v>
      </c>
      <c r="T2145" s="1">
        <v>46083</v>
      </c>
      <c r="U2145">
        <v>250.5</v>
      </c>
      <c r="V2145">
        <v>250.5</v>
      </c>
    </row>
    <row r="2146" spans="1:22" x14ac:dyDescent="0.3">
      <c r="A2146" t="s">
        <v>4666</v>
      </c>
      <c r="B2146" t="s">
        <v>4667</v>
      </c>
      <c r="C2146" t="s">
        <v>13</v>
      </c>
      <c r="D2146" t="s">
        <v>6113</v>
      </c>
      <c r="E2146" t="s">
        <v>15</v>
      </c>
      <c r="J2146" s="1">
        <v>46084</v>
      </c>
      <c r="K2146">
        <v>0</v>
      </c>
      <c r="L2146" t="s">
        <v>6116</v>
      </c>
      <c r="M2146">
        <v>13</v>
      </c>
      <c r="N2146" t="str">
        <f>VLOOKUP(M2146,[1]LOJA!$A:$B,2,0)</f>
        <v>CEILÂNDIA</v>
      </c>
      <c r="O2146">
        <v>86</v>
      </c>
      <c r="P2146" t="str">
        <f>VLOOKUP(O2146,[1]OPERADORES!$A:$B,2,0)</f>
        <v>AMANDA</v>
      </c>
      <c r="Q2146">
        <v>7</v>
      </c>
      <c r="S2146" t="s">
        <v>87</v>
      </c>
      <c r="T2146" s="1">
        <v>46083</v>
      </c>
      <c r="U2146">
        <v>227.96</v>
      </c>
      <c r="V2146">
        <v>227.96</v>
      </c>
    </row>
    <row r="2147" spans="1:22" x14ac:dyDescent="0.3">
      <c r="A2147" t="s">
        <v>4670</v>
      </c>
      <c r="B2147" t="s">
        <v>4671</v>
      </c>
      <c r="C2147" t="s">
        <v>13</v>
      </c>
      <c r="D2147" t="s">
        <v>64</v>
      </c>
      <c r="E2147" t="s">
        <v>15</v>
      </c>
      <c r="J2147" s="1">
        <v>45946</v>
      </c>
      <c r="K2147">
        <v>138</v>
      </c>
      <c r="L2147" t="s">
        <v>4672</v>
      </c>
      <c r="M2147">
        <v>14</v>
      </c>
      <c r="N2147" t="str">
        <f>VLOOKUP(M2147,[1]LOJA!$A:$B,2,0)</f>
        <v>S IA</v>
      </c>
      <c r="O2147">
        <v>207</v>
      </c>
      <c r="P2147" t="str">
        <f>VLOOKUP(O2147,[1]OPERADORES!$A:$B,2,0)</f>
        <v>KETILE SABRINE</v>
      </c>
      <c r="Q2147">
        <v>4</v>
      </c>
      <c r="S2147" t="s">
        <v>4673</v>
      </c>
      <c r="T2147" s="1">
        <v>45946</v>
      </c>
      <c r="U2147">
        <v>-5</v>
      </c>
      <c r="V2147">
        <v>-5</v>
      </c>
    </row>
    <row r="2148" spans="1:22" x14ac:dyDescent="0.3">
      <c r="A2148" t="s">
        <v>4674</v>
      </c>
      <c r="B2148" t="s">
        <v>4675</v>
      </c>
      <c r="C2148" t="s">
        <v>324</v>
      </c>
      <c r="D2148" t="s">
        <v>6117</v>
      </c>
      <c r="E2148" t="s">
        <v>15</v>
      </c>
      <c r="J2148" s="1">
        <v>45411</v>
      </c>
      <c r="K2148">
        <v>673</v>
      </c>
      <c r="L2148" t="s">
        <v>4676</v>
      </c>
      <c r="M2148">
        <v>16</v>
      </c>
      <c r="N2148" t="str">
        <f>VLOOKUP(M2148,[1]LOJA!$A:$B,2,0)</f>
        <v>AG LINDAS</v>
      </c>
      <c r="O2148">
        <v>107</v>
      </c>
      <c r="P2148" t="str">
        <f>VLOOKUP(O2148,[1]OPERADORES!$A:$B,2,0)</f>
        <v>DAIANA PORTELA</v>
      </c>
      <c r="Q2148">
        <v>7</v>
      </c>
      <c r="S2148" t="s">
        <v>4677</v>
      </c>
      <c r="T2148" s="1">
        <v>45411</v>
      </c>
      <c r="U2148">
        <v>-0.65</v>
      </c>
      <c r="V2148">
        <v>-0.65</v>
      </c>
    </row>
    <row r="2149" spans="1:22" x14ac:dyDescent="0.3">
      <c r="A2149" t="s">
        <v>4678</v>
      </c>
      <c r="B2149" t="s">
        <v>4679</v>
      </c>
      <c r="C2149" t="s">
        <v>13</v>
      </c>
      <c r="D2149" t="s">
        <v>6118</v>
      </c>
      <c r="E2149" t="s">
        <v>15</v>
      </c>
      <c r="J2149" s="1">
        <v>46017</v>
      </c>
      <c r="K2149">
        <v>67</v>
      </c>
      <c r="L2149" t="s">
        <v>4680</v>
      </c>
      <c r="M2149">
        <v>15</v>
      </c>
      <c r="N2149" t="str">
        <f>VLOOKUP(M2149,[1]LOJA!$A:$B,2,0)</f>
        <v>UNAÍ</v>
      </c>
      <c r="O2149">
        <v>232</v>
      </c>
      <c r="P2149" t="str">
        <f>VLOOKUP(O2149,[1]OPERADORES!$A:$B,2,0)</f>
        <v>JESSICA GUIMARÃES</v>
      </c>
      <c r="Q2149">
        <v>4</v>
      </c>
      <c r="S2149" t="s">
        <v>6119</v>
      </c>
      <c r="T2149" s="1">
        <v>46017</v>
      </c>
      <c r="U2149">
        <v>-1.83</v>
      </c>
      <c r="V2149">
        <v>-1.83</v>
      </c>
    </row>
    <row r="2150" spans="1:22" x14ac:dyDescent="0.3">
      <c r="A2150" t="s">
        <v>4681</v>
      </c>
      <c r="B2150" t="s">
        <v>4682</v>
      </c>
      <c r="C2150" t="s">
        <v>13</v>
      </c>
      <c r="D2150" t="s">
        <v>670</v>
      </c>
      <c r="E2150" t="s">
        <v>15</v>
      </c>
      <c r="J2150" s="1">
        <v>45125</v>
      </c>
      <c r="K2150">
        <v>959</v>
      </c>
      <c r="L2150" t="s">
        <v>4683</v>
      </c>
      <c r="M2150">
        <v>8</v>
      </c>
      <c r="N2150" t="str">
        <f>VLOOKUP(M2150,[1]LOJA!$A:$B,2,0)</f>
        <v>LUZIÂNIA</v>
      </c>
      <c r="O2150">
        <v>170</v>
      </c>
      <c r="P2150" t="str">
        <f>VLOOKUP(O2150,[1]OPERADORES!$A:$B,2,0)</f>
        <v>MARIA LUISA</v>
      </c>
      <c r="Q2150">
        <v>4</v>
      </c>
      <c r="S2150" t="s">
        <v>4684</v>
      </c>
      <c r="T2150" s="1">
        <v>45121</v>
      </c>
      <c r="U2150">
        <v>-7.0000000000000007E-2</v>
      </c>
      <c r="V2150">
        <v>-7.0000000000000007E-2</v>
      </c>
    </row>
    <row r="2151" spans="1:22" x14ac:dyDescent="0.3">
      <c r="A2151" t="s">
        <v>4685</v>
      </c>
      <c r="B2151" t="s">
        <v>4686</v>
      </c>
      <c r="C2151" t="s">
        <v>13</v>
      </c>
      <c r="D2151" t="s">
        <v>4687</v>
      </c>
      <c r="E2151" t="s">
        <v>15</v>
      </c>
      <c r="J2151" s="1">
        <v>45762</v>
      </c>
      <c r="K2151">
        <v>322</v>
      </c>
      <c r="L2151" t="s">
        <v>4688</v>
      </c>
      <c r="M2151">
        <v>8</v>
      </c>
      <c r="N2151" t="str">
        <f>VLOOKUP(M2151,[1]LOJA!$A:$B,2,0)</f>
        <v>LUZIÂNIA</v>
      </c>
      <c r="O2151">
        <v>170</v>
      </c>
      <c r="P2151" t="str">
        <f>VLOOKUP(O2151,[1]OPERADORES!$A:$B,2,0)</f>
        <v>MARIA LUISA</v>
      </c>
      <c r="Q2151">
        <v>4</v>
      </c>
      <c r="S2151" t="s">
        <v>4689</v>
      </c>
      <c r="T2151" s="1">
        <v>45762</v>
      </c>
      <c r="U2151">
        <v>-75.67</v>
      </c>
      <c r="V2151">
        <v>-75.67</v>
      </c>
    </row>
    <row r="2152" spans="1:22" x14ac:dyDescent="0.3">
      <c r="A2152" t="s">
        <v>4690</v>
      </c>
      <c r="B2152" t="s">
        <v>4691</v>
      </c>
      <c r="C2152" t="s">
        <v>4692</v>
      </c>
      <c r="D2152" t="s">
        <v>3158</v>
      </c>
      <c r="E2152" t="s">
        <v>15</v>
      </c>
      <c r="J2152" s="1">
        <v>45367</v>
      </c>
      <c r="K2152">
        <v>717</v>
      </c>
      <c r="L2152" t="s">
        <v>4693</v>
      </c>
      <c r="M2152">
        <v>6</v>
      </c>
      <c r="N2152" t="str">
        <f>VLOOKUP(M2152,[1]LOJA!$A:$B,2,0)</f>
        <v>GAMA</v>
      </c>
      <c r="O2152">
        <v>185</v>
      </c>
      <c r="P2152" t="str">
        <f>VLOOKUP(O2152,[1]OPERADORES!$A:$B,2,0)</f>
        <v>FELIPE OLIVEIRA PONTE</v>
      </c>
      <c r="Q2152">
        <v>4</v>
      </c>
      <c r="S2152" t="s">
        <v>4694</v>
      </c>
      <c r="T2152" s="1">
        <v>45367</v>
      </c>
      <c r="U2152">
        <v>-2.1</v>
      </c>
      <c r="V2152">
        <v>-2.1</v>
      </c>
    </row>
    <row r="2153" spans="1:22" x14ac:dyDescent="0.3">
      <c r="A2153" t="s">
        <v>4695</v>
      </c>
      <c r="B2153" t="s">
        <v>4696</v>
      </c>
      <c r="C2153" t="s">
        <v>13</v>
      </c>
      <c r="D2153" t="s">
        <v>670</v>
      </c>
      <c r="E2153" t="s">
        <v>15</v>
      </c>
      <c r="J2153" s="1">
        <v>46031</v>
      </c>
      <c r="K2153">
        <v>53</v>
      </c>
      <c r="L2153" t="s">
        <v>4697</v>
      </c>
      <c r="M2153">
        <v>13</v>
      </c>
      <c r="N2153" t="str">
        <f>VLOOKUP(M2153,[1]LOJA!$A:$B,2,0)</f>
        <v>CEILÂNDIA</v>
      </c>
      <c r="O2153">
        <v>67</v>
      </c>
      <c r="P2153" t="str">
        <f>VLOOKUP(O2153,[1]OPERADORES!$A:$B,2,0)</f>
        <v>ERIKA</v>
      </c>
      <c r="Q2153">
        <v>10</v>
      </c>
      <c r="S2153" t="s">
        <v>4698</v>
      </c>
      <c r="T2153" s="1">
        <v>46031</v>
      </c>
      <c r="U2153">
        <v>-7.0000000000000007E-2</v>
      </c>
      <c r="V2153">
        <v>-7.0000000000000007E-2</v>
      </c>
    </row>
    <row r="2154" spans="1:22" x14ac:dyDescent="0.3">
      <c r="A2154" t="s">
        <v>4699</v>
      </c>
      <c r="B2154" t="s">
        <v>4700</v>
      </c>
      <c r="C2154" t="s">
        <v>13</v>
      </c>
      <c r="D2154" t="s">
        <v>4701</v>
      </c>
      <c r="E2154" t="s">
        <v>15</v>
      </c>
      <c r="J2154" s="1">
        <v>45137</v>
      </c>
      <c r="K2154">
        <v>947</v>
      </c>
      <c r="L2154" t="s">
        <v>4702</v>
      </c>
      <c r="M2154">
        <v>6</v>
      </c>
      <c r="N2154" t="str">
        <f>VLOOKUP(M2154,[1]LOJA!$A:$B,2,0)</f>
        <v>GAMA</v>
      </c>
      <c r="O2154">
        <v>46</v>
      </c>
      <c r="P2154" t="str">
        <f>VLOOKUP(O2154,[1]OPERADORES!$A:$B,2,0)</f>
        <v xml:space="preserve">CLAUDMIRO </v>
      </c>
      <c r="Q2154">
        <v>7</v>
      </c>
      <c r="S2154" t="s">
        <v>87</v>
      </c>
      <c r="T2154" s="1">
        <v>45133</v>
      </c>
      <c r="U2154">
        <v>40</v>
      </c>
      <c r="V2154">
        <v>40</v>
      </c>
    </row>
    <row r="2155" spans="1:22" x14ac:dyDescent="0.3">
      <c r="A2155" t="s">
        <v>4699</v>
      </c>
      <c r="B2155" t="s">
        <v>4700</v>
      </c>
      <c r="C2155" t="s">
        <v>13</v>
      </c>
      <c r="D2155" t="s">
        <v>4701</v>
      </c>
      <c r="E2155" t="s">
        <v>15</v>
      </c>
      <c r="J2155" s="1">
        <v>45137</v>
      </c>
      <c r="K2155">
        <v>947</v>
      </c>
      <c r="L2155" t="s">
        <v>4703</v>
      </c>
      <c r="M2155">
        <v>6</v>
      </c>
      <c r="N2155" t="str">
        <f>VLOOKUP(M2155,[1]LOJA!$A:$B,2,0)</f>
        <v>GAMA</v>
      </c>
      <c r="O2155">
        <v>46</v>
      </c>
      <c r="P2155" t="str">
        <f>VLOOKUP(O2155,[1]OPERADORES!$A:$B,2,0)</f>
        <v xml:space="preserve">CLAUDMIRO </v>
      </c>
      <c r="Q2155">
        <v>7</v>
      </c>
      <c r="S2155" t="s">
        <v>4704</v>
      </c>
      <c r="T2155" s="1">
        <v>45128</v>
      </c>
      <c r="U2155">
        <v>92</v>
      </c>
      <c r="V2155">
        <v>92</v>
      </c>
    </row>
    <row r="2156" spans="1:22" x14ac:dyDescent="0.3">
      <c r="A2156" t="s">
        <v>4705</v>
      </c>
      <c r="B2156" t="s">
        <v>4706</v>
      </c>
      <c r="C2156" t="s">
        <v>13</v>
      </c>
      <c r="D2156" t="s">
        <v>4707</v>
      </c>
      <c r="E2156" t="s">
        <v>15</v>
      </c>
      <c r="J2156" s="1">
        <v>44760</v>
      </c>
      <c r="K2156">
        <v>1324</v>
      </c>
      <c r="L2156" t="s">
        <v>4708</v>
      </c>
      <c r="M2156">
        <v>16</v>
      </c>
      <c r="N2156" t="str">
        <f>VLOOKUP(M2156,[1]LOJA!$A:$B,2,0)</f>
        <v>AG LINDAS</v>
      </c>
      <c r="O2156">
        <v>174</v>
      </c>
      <c r="P2156" t="str">
        <f>VLOOKUP(O2156,[1]OPERADORES!$A:$B,2,0)</f>
        <v>MIRIÃ LOBATO RODRIGUES</v>
      </c>
      <c r="Q2156">
        <v>4</v>
      </c>
      <c r="S2156" t="s">
        <v>142</v>
      </c>
      <c r="T2156" s="1">
        <v>44760</v>
      </c>
      <c r="U2156">
        <v>-0.1</v>
      </c>
      <c r="V2156">
        <v>-0.1</v>
      </c>
    </row>
    <row r="2157" spans="1:22" x14ac:dyDescent="0.3">
      <c r="A2157" t="s">
        <v>4705</v>
      </c>
      <c r="B2157" t="s">
        <v>4706</v>
      </c>
      <c r="C2157" t="s">
        <v>13</v>
      </c>
      <c r="D2157" t="s">
        <v>4707</v>
      </c>
      <c r="E2157" t="s">
        <v>15</v>
      </c>
      <c r="J2157" s="1">
        <v>44915</v>
      </c>
      <c r="K2157">
        <v>1169</v>
      </c>
      <c r="L2157" t="s">
        <v>4709</v>
      </c>
      <c r="M2157">
        <v>15</v>
      </c>
      <c r="N2157" t="str">
        <f>VLOOKUP(M2157,[1]LOJA!$A:$B,2,0)</f>
        <v>UNAÍ</v>
      </c>
      <c r="O2157">
        <v>140</v>
      </c>
      <c r="P2157" t="str">
        <f>VLOOKUP(O2157,[1]OPERADORES!$A:$B,2,0)</f>
        <v>KAREN NAYARA BORGES</v>
      </c>
      <c r="Q2157">
        <v>7</v>
      </c>
      <c r="S2157" t="s">
        <v>4710</v>
      </c>
      <c r="T2157" s="1">
        <v>44914</v>
      </c>
      <c r="U2157">
        <v>314</v>
      </c>
      <c r="V2157">
        <v>314</v>
      </c>
    </row>
    <row r="2158" spans="1:22" x14ac:dyDescent="0.3">
      <c r="A2158" t="s">
        <v>4711</v>
      </c>
      <c r="B2158" t="s">
        <v>4712</v>
      </c>
      <c r="C2158" t="s">
        <v>43</v>
      </c>
      <c r="D2158" t="s">
        <v>33</v>
      </c>
      <c r="E2158" t="s">
        <v>15</v>
      </c>
      <c r="J2158" s="1">
        <v>45532</v>
      </c>
      <c r="K2158">
        <v>552</v>
      </c>
      <c r="L2158" t="s">
        <v>4713</v>
      </c>
      <c r="M2158">
        <v>14</v>
      </c>
      <c r="N2158" t="str">
        <f>VLOOKUP(M2158,[1]LOJA!$A:$B,2,0)</f>
        <v>S IA</v>
      </c>
      <c r="O2158">
        <v>207</v>
      </c>
      <c r="P2158" t="str">
        <f>VLOOKUP(O2158,[1]OPERADORES!$A:$B,2,0)</f>
        <v>KETILE SABRINE</v>
      </c>
      <c r="Q2158">
        <v>4</v>
      </c>
      <c r="S2158" t="s">
        <v>4714</v>
      </c>
      <c r="T2158" s="1">
        <v>45532</v>
      </c>
      <c r="U2158">
        <v>-0.72</v>
      </c>
      <c r="V2158">
        <v>-0.72</v>
      </c>
    </row>
    <row r="2159" spans="1:22" x14ac:dyDescent="0.3">
      <c r="A2159" t="s">
        <v>4715</v>
      </c>
      <c r="B2159" t="s">
        <v>32</v>
      </c>
      <c r="C2159" t="s">
        <v>848</v>
      </c>
      <c r="D2159" t="s">
        <v>6120</v>
      </c>
      <c r="E2159" t="s">
        <v>15</v>
      </c>
      <c r="J2159" s="1">
        <v>44384</v>
      </c>
      <c r="K2159">
        <v>1700</v>
      </c>
      <c r="L2159" t="s">
        <v>4716</v>
      </c>
      <c r="M2159">
        <v>9</v>
      </c>
      <c r="N2159" t="str">
        <f>VLOOKUP(M2159,[1]LOJA!$A:$B,2,0)</f>
        <v>ÚNICA</v>
      </c>
      <c r="O2159">
        <v>84</v>
      </c>
      <c r="P2159" t="str">
        <f>VLOOKUP(O2159,[1]OPERADORES!$A:$B,2,0)</f>
        <v>JEICY AZEVEDO</v>
      </c>
      <c r="Q2159">
        <v>4</v>
      </c>
      <c r="S2159" t="s">
        <v>142</v>
      </c>
      <c r="T2159" s="1">
        <v>44384</v>
      </c>
      <c r="U2159">
        <v>-5.84</v>
      </c>
      <c r="V2159">
        <v>-5.84</v>
      </c>
    </row>
    <row r="2160" spans="1:22" x14ac:dyDescent="0.3">
      <c r="A2160" t="s">
        <v>4717</v>
      </c>
      <c r="B2160" t="s">
        <v>4718</v>
      </c>
      <c r="C2160" t="s">
        <v>293</v>
      </c>
      <c r="D2160" t="s">
        <v>6121</v>
      </c>
      <c r="E2160" t="s">
        <v>15</v>
      </c>
      <c r="J2160" s="1">
        <v>46073</v>
      </c>
      <c r="K2160">
        <v>11</v>
      </c>
      <c r="L2160" t="s">
        <v>6122</v>
      </c>
      <c r="M2160">
        <v>9</v>
      </c>
      <c r="N2160" t="str">
        <f>VLOOKUP(M2160,[1]LOJA!$A:$B,2,0)</f>
        <v>ÚNICA</v>
      </c>
      <c r="O2160">
        <v>174</v>
      </c>
      <c r="P2160" t="str">
        <f>VLOOKUP(O2160,[1]OPERADORES!$A:$B,2,0)</f>
        <v>MIRIÃ LOBATO RODRIGUES</v>
      </c>
      <c r="Q2160">
        <v>23</v>
      </c>
      <c r="R2160">
        <v>209878</v>
      </c>
      <c r="S2160" t="s">
        <v>6123</v>
      </c>
      <c r="T2160" s="1">
        <v>46013</v>
      </c>
      <c r="U2160">
        <v>9.98</v>
      </c>
      <c r="V2160">
        <v>9.98</v>
      </c>
    </row>
    <row r="2161" spans="1:22" x14ac:dyDescent="0.3">
      <c r="A2161" t="s">
        <v>4719</v>
      </c>
      <c r="B2161" t="s">
        <v>4720</v>
      </c>
      <c r="C2161" t="s">
        <v>13</v>
      </c>
      <c r="D2161" t="s">
        <v>4721</v>
      </c>
      <c r="E2161" t="s">
        <v>15</v>
      </c>
      <c r="J2161" s="1">
        <v>45645</v>
      </c>
      <c r="K2161">
        <v>439</v>
      </c>
      <c r="L2161" t="s">
        <v>4722</v>
      </c>
      <c r="M2161">
        <v>9</v>
      </c>
      <c r="N2161" t="str">
        <f>VLOOKUP(M2161,[1]LOJA!$A:$B,2,0)</f>
        <v>ÚNICA</v>
      </c>
      <c r="O2161">
        <v>223</v>
      </c>
      <c r="P2161" t="str">
        <f>VLOOKUP(O2161,[1]OPERADORES!$A:$B,2,0)</f>
        <v>WALBER TAVARES DA CONCEIÇÃO</v>
      </c>
      <c r="Q2161">
        <v>23</v>
      </c>
      <c r="R2161">
        <v>125207</v>
      </c>
      <c r="S2161" t="s">
        <v>87</v>
      </c>
      <c r="T2161" s="1">
        <v>45615</v>
      </c>
      <c r="U2161">
        <v>20.22</v>
      </c>
      <c r="V2161">
        <v>20.22</v>
      </c>
    </row>
    <row r="2162" spans="1:22" x14ac:dyDescent="0.3">
      <c r="A2162" t="s">
        <v>4723</v>
      </c>
      <c r="B2162" t="s">
        <v>4724</v>
      </c>
      <c r="C2162" t="s">
        <v>13</v>
      </c>
      <c r="D2162" t="s">
        <v>4725</v>
      </c>
      <c r="E2162" t="s">
        <v>15</v>
      </c>
      <c r="J2162" s="1">
        <v>44618</v>
      </c>
      <c r="K2162">
        <v>1466</v>
      </c>
      <c r="L2162" t="s">
        <v>4726</v>
      </c>
      <c r="M2162">
        <v>12</v>
      </c>
      <c r="N2162" t="str">
        <f>VLOOKUP(M2162,[1]LOJA!$A:$B,2,0)</f>
        <v>SOFNORTE</v>
      </c>
      <c r="O2162">
        <v>147</v>
      </c>
      <c r="P2162" t="str">
        <f>VLOOKUP(O2162,[1]OPERADORES!$A:$B,2,0)</f>
        <v>MICAELE DA CONCEIÇAO SILVA</v>
      </c>
      <c r="Q2162">
        <v>4</v>
      </c>
      <c r="S2162" t="s">
        <v>4727</v>
      </c>
      <c r="T2162" s="1">
        <v>44618</v>
      </c>
      <c r="U2162">
        <v>-7.48</v>
      </c>
      <c r="V2162">
        <v>-7.48</v>
      </c>
    </row>
    <row r="2163" spans="1:22" x14ac:dyDescent="0.3">
      <c r="A2163" t="s">
        <v>4723</v>
      </c>
      <c r="B2163" t="s">
        <v>4724</v>
      </c>
      <c r="C2163" t="s">
        <v>13</v>
      </c>
      <c r="D2163" t="s">
        <v>4725</v>
      </c>
      <c r="E2163" t="s">
        <v>15</v>
      </c>
      <c r="J2163" s="1">
        <v>44648</v>
      </c>
      <c r="K2163">
        <v>1436</v>
      </c>
      <c r="L2163" t="s">
        <v>4728</v>
      </c>
      <c r="M2163">
        <v>12</v>
      </c>
      <c r="N2163" t="str">
        <f>VLOOKUP(M2163,[1]LOJA!$A:$B,2,0)</f>
        <v>SOFNORTE</v>
      </c>
      <c r="O2163">
        <v>65</v>
      </c>
      <c r="P2163" t="str">
        <f>VLOOKUP(O2163,[1]OPERADORES!$A:$B,2,0)</f>
        <v>MICHAEL ALVES FERNANDES</v>
      </c>
      <c r="Q2163">
        <v>7</v>
      </c>
      <c r="S2163" t="s">
        <v>87</v>
      </c>
      <c r="T2163" s="1">
        <v>44618</v>
      </c>
      <c r="U2163">
        <v>254.1</v>
      </c>
      <c r="V2163">
        <v>254.1</v>
      </c>
    </row>
    <row r="2164" spans="1:22" x14ac:dyDescent="0.3">
      <c r="A2164" t="s">
        <v>4723</v>
      </c>
      <c r="B2164" t="s">
        <v>4724</v>
      </c>
      <c r="C2164" t="s">
        <v>13</v>
      </c>
      <c r="D2164" t="s">
        <v>4725</v>
      </c>
      <c r="E2164" t="s">
        <v>15</v>
      </c>
      <c r="J2164" s="1">
        <v>44654</v>
      </c>
      <c r="K2164">
        <v>1430</v>
      </c>
      <c r="L2164" t="s">
        <v>4729</v>
      </c>
      <c r="M2164">
        <v>12</v>
      </c>
      <c r="N2164" t="str">
        <f>VLOOKUP(M2164,[1]LOJA!$A:$B,2,0)</f>
        <v>SOFNORTE</v>
      </c>
      <c r="O2164">
        <v>65</v>
      </c>
      <c r="P2164" t="str">
        <f>VLOOKUP(O2164,[1]OPERADORES!$A:$B,2,0)</f>
        <v>MICHAEL ALVES FERNANDES</v>
      </c>
      <c r="Q2164">
        <v>7</v>
      </c>
      <c r="S2164" t="s">
        <v>87</v>
      </c>
      <c r="T2164" s="1">
        <v>44624</v>
      </c>
      <c r="U2164">
        <v>38</v>
      </c>
      <c r="V2164">
        <v>38</v>
      </c>
    </row>
    <row r="2165" spans="1:22" x14ac:dyDescent="0.3">
      <c r="A2165" t="s">
        <v>4730</v>
      </c>
      <c r="B2165" t="s">
        <v>32</v>
      </c>
      <c r="C2165" t="s">
        <v>13</v>
      </c>
      <c r="D2165" t="s">
        <v>4731</v>
      </c>
      <c r="E2165" t="s">
        <v>15</v>
      </c>
      <c r="J2165" s="1">
        <v>45909</v>
      </c>
      <c r="K2165">
        <v>175</v>
      </c>
      <c r="L2165" t="s">
        <v>4732</v>
      </c>
      <c r="M2165">
        <v>24</v>
      </c>
      <c r="N2165" t="str">
        <f>VLOOKUP(M2165,[1]LOJA!$A:$B,2,0)</f>
        <v>LUZIÂNIA</v>
      </c>
      <c r="O2165">
        <v>98</v>
      </c>
      <c r="P2165" t="str">
        <f>VLOOKUP(O2165,[1]OPERADORES!$A:$B,2,0)</f>
        <v xml:space="preserve">ARIGLEICE </v>
      </c>
      <c r="Q2165">
        <v>4</v>
      </c>
      <c r="S2165" t="s">
        <v>4733</v>
      </c>
      <c r="T2165" s="1">
        <v>45909</v>
      </c>
      <c r="U2165">
        <v>-9.0500000000000007</v>
      </c>
      <c r="V2165">
        <v>-9.0500000000000007</v>
      </c>
    </row>
    <row r="2166" spans="1:22" x14ac:dyDescent="0.3">
      <c r="A2166" t="s">
        <v>4730</v>
      </c>
      <c r="B2166" t="s">
        <v>32</v>
      </c>
      <c r="C2166" t="s">
        <v>13</v>
      </c>
      <c r="D2166" t="s">
        <v>4731</v>
      </c>
      <c r="E2166" t="s">
        <v>15</v>
      </c>
      <c r="J2166" s="1">
        <v>45982</v>
      </c>
      <c r="K2166">
        <v>102</v>
      </c>
      <c r="L2166" t="s">
        <v>4734</v>
      </c>
      <c r="M2166">
        <v>24</v>
      </c>
      <c r="N2166" t="str">
        <f>VLOOKUP(M2166,[1]LOJA!$A:$B,2,0)</f>
        <v>LUZIÂNIA</v>
      </c>
      <c r="O2166">
        <v>244</v>
      </c>
      <c r="P2166" t="str">
        <f>VLOOKUP(O2166,[1]OPERADORES!$A:$B,2,0)</f>
        <v>NATHALIA PEREIRA DA SILVA</v>
      </c>
      <c r="Q2166">
        <v>4</v>
      </c>
      <c r="S2166" t="s">
        <v>4735</v>
      </c>
      <c r="T2166" s="1">
        <v>45982</v>
      </c>
      <c r="U2166">
        <v>-0.1</v>
      </c>
      <c r="V2166">
        <v>-0.1</v>
      </c>
    </row>
    <row r="2167" spans="1:22" x14ac:dyDescent="0.3">
      <c r="A2167" t="s">
        <v>4730</v>
      </c>
      <c r="B2167" t="s">
        <v>32</v>
      </c>
      <c r="C2167" t="s">
        <v>13</v>
      </c>
      <c r="D2167" t="s">
        <v>4731</v>
      </c>
      <c r="E2167" t="s">
        <v>15</v>
      </c>
      <c r="J2167" s="1">
        <v>46050</v>
      </c>
      <c r="K2167">
        <v>34</v>
      </c>
      <c r="L2167" t="s">
        <v>2669</v>
      </c>
      <c r="M2167">
        <v>24</v>
      </c>
      <c r="N2167" t="str">
        <f>VLOOKUP(M2167,[1]LOJA!$A:$B,2,0)</f>
        <v>LUZIÂNIA</v>
      </c>
      <c r="O2167">
        <v>244</v>
      </c>
      <c r="P2167" t="str">
        <f>VLOOKUP(O2167,[1]OPERADORES!$A:$B,2,0)</f>
        <v>NATHALIA PEREIRA DA SILVA</v>
      </c>
      <c r="Q2167">
        <v>4</v>
      </c>
      <c r="S2167" t="s">
        <v>4733</v>
      </c>
      <c r="T2167" s="1">
        <v>46050</v>
      </c>
      <c r="U2167">
        <v>-5.0999999999999996</v>
      </c>
      <c r="V2167">
        <v>-5.0999999999999996</v>
      </c>
    </row>
    <row r="2168" spans="1:22" x14ac:dyDescent="0.3">
      <c r="A2168" t="s">
        <v>4736</v>
      </c>
      <c r="B2168" t="s">
        <v>4737</v>
      </c>
      <c r="C2168" t="s">
        <v>30</v>
      </c>
      <c r="D2168" t="s">
        <v>4738</v>
      </c>
      <c r="E2168" t="s">
        <v>15</v>
      </c>
      <c r="J2168" s="1">
        <v>45727</v>
      </c>
      <c r="K2168">
        <v>357</v>
      </c>
      <c r="L2168" t="s">
        <v>4739</v>
      </c>
      <c r="M2168">
        <v>8</v>
      </c>
      <c r="N2168" t="str">
        <f>VLOOKUP(M2168,[1]LOJA!$A:$B,2,0)</f>
        <v>LUZIÂNIA</v>
      </c>
      <c r="O2168">
        <v>170</v>
      </c>
      <c r="P2168" t="str">
        <f>VLOOKUP(O2168,[1]OPERADORES!$A:$B,2,0)</f>
        <v>MARIA LUISA</v>
      </c>
      <c r="Q2168">
        <v>4</v>
      </c>
      <c r="S2168" t="s">
        <v>4740</v>
      </c>
      <c r="T2168" s="1">
        <v>45727</v>
      </c>
      <c r="U2168">
        <v>-20.100000000000001</v>
      </c>
      <c r="V2168">
        <v>-20.100000000000001</v>
      </c>
    </row>
    <row r="2169" spans="1:22" x14ac:dyDescent="0.3">
      <c r="A2169" t="s">
        <v>4741</v>
      </c>
      <c r="B2169" t="s">
        <v>4742</v>
      </c>
      <c r="C2169" t="s">
        <v>30</v>
      </c>
      <c r="D2169" t="s">
        <v>6124</v>
      </c>
      <c r="E2169" t="s">
        <v>15</v>
      </c>
      <c r="J2169" s="1">
        <v>45951</v>
      </c>
      <c r="K2169">
        <v>133</v>
      </c>
      <c r="L2169" t="s">
        <v>4743</v>
      </c>
      <c r="M2169">
        <v>9</v>
      </c>
      <c r="N2169" t="str">
        <f>VLOOKUP(M2169,[1]LOJA!$A:$B,2,0)</f>
        <v>ÚNICA</v>
      </c>
      <c r="O2169">
        <v>174</v>
      </c>
      <c r="P2169" t="str">
        <f>VLOOKUP(O2169,[1]OPERADORES!$A:$B,2,0)</f>
        <v>MIRIÃ LOBATO RODRIGUES</v>
      </c>
      <c r="Q2169">
        <v>4</v>
      </c>
      <c r="S2169" t="s">
        <v>4744</v>
      </c>
      <c r="T2169" s="1">
        <v>45951</v>
      </c>
      <c r="U2169">
        <v>-7.51</v>
      </c>
      <c r="V2169">
        <v>-7.51</v>
      </c>
    </row>
    <row r="2170" spans="1:22" x14ac:dyDescent="0.3">
      <c r="A2170" t="s">
        <v>4741</v>
      </c>
      <c r="B2170" t="s">
        <v>4742</v>
      </c>
      <c r="C2170" t="s">
        <v>30</v>
      </c>
      <c r="D2170" t="s">
        <v>6124</v>
      </c>
      <c r="E2170" t="s">
        <v>15</v>
      </c>
      <c r="J2170" s="1">
        <v>46084</v>
      </c>
      <c r="K2170">
        <v>0</v>
      </c>
      <c r="L2170" t="s">
        <v>6125</v>
      </c>
      <c r="M2170">
        <v>9</v>
      </c>
      <c r="N2170" t="str">
        <f>VLOOKUP(M2170,[1]LOJA!$A:$B,2,0)</f>
        <v>ÚNICA</v>
      </c>
      <c r="O2170">
        <v>174</v>
      </c>
      <c r="P2170" t="str">
        <f>VLOOKUP(O2170,[1]OPERADORES!$A:$B,2,0)</f>
        <v>MIRIÃ LOBATO RODRIGUES</v>
      </c>
      <c r="Q2170">
        <v>23</v>
      </c>
      <c r="R2170">
        <v>206114</v>
      </c>
      <c r="S2170" t="s">
        <v>55</v>
      </c>
      <c r="T2170" s="1">
        <v>45994</v>
      </c>
      <c r="U2170">
        <v>548.61</v>
      </c>
      <c r="V2170">
        <v>548.61</v>
      </c>
    </row>
    <row r="2171" spans="1:22" x14ac:dyDescent="0.3">
      <c r="A2171" t="s">
        <v>4745</v>
      </c>
      <c r="B2171" t="s">
        <v>4746</v>
      </c>
      <c r="C2171" t="s">
        <v>297</v>
      </c>
      <c r="D2171" t="s">
        <v>6126</v>
      </c>
      <c r="E2171" t="s">
        <v>15</v>
      </c>
      <c r="J2171" s="1">
        <v>45302</v>
      </c>
      <c r="K2171">
        <v>782</v>
      </c>
      <c r="L2171" t="s">
        <v>4747</v>
      </c>
      <c r="M2171">
        <v>9</v>
      </c>
      <c r="N2171" t="str">
        <f>VLOOKUP(M2171,[1]LOJA!$A:$B,2,0)</f>
        <v>ÚNICA</v>
      </c>
      <c r="O2171">
        <v>145</v>
      </c>
      <c r="P2171" t="str">
        <f>VLOOKUP(O2171,[1]OPERADORES!$A:$B,2,0)</f>
        <v xml:space="preserve">FABRICIA </v>
      </c>
      <c r="Q2171">
        <v>4</v>
      </c>
      <c r="S2171" t="s">
        <v>4748</v>
      </c>
      <c r="T2171" s="1">
        <v>45302</v>
      </c>
      <c r="U2171" s="2">
        <v>-1293.3499999999999</v>
      </c>
      <c r="V2171" s="2">
        <v>-1293.3499999999999</v>
      </c>
    </row>
    <row r="2172" spans="1:22" x14ac:dyDescent="0.3">
      <c r="A2172" t="s">
        <v>4745</v>
      </c>
      <c r="B2172" t="s">
        <v>4746</v>
      </c>
      <c r="C2172" t="s">
        <v>297</v>
      </c>
      <c r="D2172" t="s">
        <v>6126</v>
      </c>
      <c r="E2172" t="s">
        <v>15</v>
      </c>
      <c r="J2172" s="1">
        <v>45926</v>
      </c>
      <c r="K2172">
        <v>158</v>
      </c>
      <c r="L2172" t="s">
        <v>4749</v>
      </c>
      <c r="M2172">
        <v>9</v>
      </c>
      <c r="N2172" t="str">
        <f>VLOOKUP(M2172,[1]LOJA!$A:$B,2,0)</f>
        <v>ÚNICA</v>
      </c>
      <c r="O2172">
        <v>236</v>
      </c>
      <c r="P2172" t="str">
        <f>VLOOKUP(O2172,[1]OPERADORES!$A:$B,2,0)</f>
        <v>DANIEL</v>
      </c>
      <c r="Q2172">
        <v>4</v>
      </c>
      <c r="S2172" t="s">
        <v>4750</v>
      </c>
      <c r="T2172" s="1">
        <v>45926</v>
      </c>
      <c r="U2172">
        <v>-959.4</v>
      </c>
      <c r="V2172">
        <v>-959.4</v>
      </c>
    </row>
    <row r="2173" spans="1:22" x14ac:dyDescent="0.3">
      <c r="A2173" t="s">
        <v>4751</v>
      </c>
      <c r="B2173" t="s">
        <v>4752</v>
      </c>
      <c r="C2173" t="s">
        <v>3064</v>
      </c>
      <c r="D2173" t="s">
        <v>6127</v>
      </c>
      <c r="E2173" t="s">
        <v>15</v>
      </c>
      <c r="J2173" s="1">
        <v>45960</v>
      </c>
      <c r="K2173">
        <v>124</v>
      </c>
      <c r="L2173" t="s">
        <v>4753</v>
      </c>
      <c r="M2173">
        <v>9</v>
      </c>
      <c r="N2173" t="str">
        <f>VLOOKUP(M2173,[1]LOJA!$A:$B,2,0)</f>
        <v>ÚNICA</v>
      </c>
      <c r="O2173">
        <v>135</v>
      </c>
      <c r="P2173" t="str">
        <f>VLOOKUP(O2173,[1]OPERADORES!$A:$B,2,0)</f>
        <v>SAMUEL DA COSTA F. CARVALHO</v>
      </c>
      <c r="Q2173">
        <v>4</v>
      </c>
      <c r="S2173" t="s">
        <v>4754</v>
      </c>
      <c r="T2173" s="1">
        <v>45960</v>
      </c>
      <c r="U2173" s="2">
        <v>-2146.02</v>
      </c>
      <c r="V2173" s="2">
        <v>-2146.02</v>
      </c>
    </row>
    <row r="2174" spans="1:22" x14ac:dyDescent="0.3">
      <c r="A2174" t="s">
        <v>4751</v>
      </c>
      <c r="B2174" t="s">
        <v>4752</v>
      </c>
      <c r="C2174" t="s">
        <v>3064</v>
      </c>
      <c r="D2174" t="s">
        <v>6127</v>
      </c>
      <c r="E2174" t="s">
        <v>15</v>
      </c>
      <c r="J2174" s="1">
        <v>45990</v>
      </c>
      <c r="K2174">
        <v>94</v>
      </c>
      <c r="L2174" t="s">
        <v>4755</v>
      </c>
      <c r="M2174">
        <v>9</v>
      </c>
      <c r="N2174" t="str">
        <f>VLOOKUP(M2174,[1]LOJA!$A:$B,2,0)</f>
        <v>ÚNICA</v>
      </c>
      <c r="O2174">
        <v>135</v>
      </c>
      <c r="P2174" t="str">
        <f>VLOOKUP(O2174,[1]OPERADORES!$A:$B,2,0)</f>
        <v>SAMUEL DA COSTA F. CARVALHO</v>
      </c>
      <c r="Q2174">
        <v>7</v>
      </c>
      <c r="S2174" t="s">
        <v>87</v>
      </c>
      <c r="T2174" s="1">
        <v>45960</v>
      </c>
      <c r="U2174" s="2">
        <v>2146.02</v>
      </c>
      <c r="V2174" s="2">
        <v>2146.02</v>
      </c>
    </row>
    <row r="2175" spans="1:22" x14ac:dyDescent="0.3">
      <c r="A2175" t="s">
        <v>4751</v>
      </c>
      <c r="B2175" t="s">
        <v>4752</v>
      </c>
      <c r="C2175" t="s">
        <v>3064</v>
      </c>
      <c r="D2175" t="s">
        <v>6127</v>
      </c>
      <c r="E2175" t="s">
        <v>15</v>
      </c>
      <c r="J2175" s="1">
        <v>46062</v>
      </c>
      <c r="K2175">
        <v>22</v>
      </c>
      <c r="L2175" t="s">
        <v>4756</v>
      </c>
      <c r="M2175">
        <v>9</v>
      </c>
      <c r="N2175" t="str">
        <f>VLOOKUP(M2175,[1]LOJA!$A:$B,2,0)</f>
        <v>ÚNICA</v>
      </c>
      <c r="O2175">
        <v>135</v>
      </c>
      <c r="P2175" t="str">
        <f>VLOOKUP(O2175,[1]OPERADORES!$A:$B,2,0)</f>
        <v>SAMUEL DA COSTA F. CARVALHO</v>
      </c>
      <c r="Q2175">
        <v>4</v>
      </c>
      <c r="S2175" t="s">
        <v>4757</v>
      </c>
      <c r="T2175" s="1">
        <v>46062</v>
      </c>
      <c r="U2175" s="2">
        <v>-3255.5</v>
      </c>
      <c r="V2175" s="2">
        <v>-3255.5</v>
      </c>
    </row>
    <row r="2176" spans="1:22" x14ac:dyDescent="0.3">
      <c r="A2176" t="s">
        <v>4758</v>
      </c>
      <c r="B2176" t="s">
        <v>4759</v>
      </c>
      <c r="C2176" t="s">
        <v>13</v>
      </c>
      <c r="D2176" t="s">
        <v>4760</v>
      </c>
      <c r="E2176" t="s">
        <v>15</v>
      </c>
      <c r="J2176" s="1">
        <v>45839</v>
      </c>
      <c r="K2176">
        <v>245</v>
      </c>
      <c r="L2176" t="s">
        <v>4761</v>
      </c>
      <c r="M2176">
        <v>8</v>
      </c>
      <c r="N2176" t="str">
        <f>VLOOKUP(M2176,[1]LOJA!$A:$B,2,0)</f>
        <v>LUZIÂNIA</v>
      </c>
      <c r="O2176">
        <v>170</v>
      </c>
      <c r="P2176" t="str">
        <f>VLOOKUP(O2176,[1]OPERADORES!$A:$B,2,0)</f>
        <v>MARIA LUISA</v>
      </c>
      <c r="Q2176">
        <v>4</v>
      </c>
      <c r="S2176" t="s">
        <v>4762</v>
      </c>
      <c r="T2176" s="1">
        <v>45831</v>
      </c>
      <c r="U2176">
        <v>-1.76</v>
      </c>
      <c r="V2176">
        <v>-1.76</v>
      </c>
    </row>
    <row r="2177" spans="1:22" x14ac:dyDescent="0.3">
      <c r="A2177" t="s">
        <v>4763</v>
      </c>
      <c r="B2177" t="s">
        <v>4764</v>
      </c>
      <c r="C2177" t="s">
        <v>1238</v>
      </c>
      <c r="D2177" t="s">
        <v>4765</v>
      </c>
      <c r="E2177" t="s">
        <v>15</v>
      </c>
      <c r="J2177" s="1">
        <v>45410</v>
      </c>
      <c r="K2177">
        <v>674</v>
      </c>
      <c r="L2177" t="s">
        <v>4766</v>
      </c>
      <c r="M2177">
        <v>9</v>
      </c>
      <c r="N2177" t="str">
        <f>VLOOKUP(M2177,[1]LOJA!$A:$B,2,0)</f>
        <v>ÚNICA</v>
      </c>
      <c r="O2177">
        <v>174</v>
      </c>
      <c r="P2177" t="str">
        <f>VLOOKUP(O2177,[1]OPERADORES!$A:$B,2,0)</f>
        <v>MIRIÃ LOBATO RODRIGUES</v>
      </c>
      <c r="Q2177">
        <v>23</v>
      </c>
      <c r="R2177">
        <v>76905</v>
      </c>
      <c r="S2177" t="s">
        <v>53</v>
      </c>
      <c r="T2177" s="1">
        <v>45350</v>
      </c>
      <c r="U2177">
        <v>807.56</v>
      </c>
      <c r="V2177">
        <v>807.56</v>
      </c>
    </row>
    <row r="2178" spans="1:22" x14ac:dyDescent="0.3">
      <c r="A2178" t="s">
        <v>4763</v>
      </c>
      <c r="B2178" t="s">
        <v>4764</v>
      </c>
      <c r="C2178" t="s">
        <v>1238</v>
      </c>
      <c r="D2178" t="s">
        <v>4765</v>
      </c>
      <c r="E2178" t="s">
        <v>15</v>
      </c>
      <c r="J2178" s="1">
        <v>45413</v>
      </c>
      <c r="K2178">
        <v>671</v>
      </c>
      <c r="L2178" t="s">
        <v>4767</v>
      </c>
      <c r="M2178">
        <v>9</v>
      </c>
      <c r="N2178" t="str">
        <f>VLOOKUP(M2178,[1]LOJA!$A:$B,2,0)</f>
        <v>ÚNICA</v>
      </c>
      <c r="O2178">
        <v>174</v>
      </c>
      <c r="P2178" t="str">
        <f>VLOOKUP(O2178,[1]OPERADORES!$A:$B,2,0)</f>
        <v>MIRIÃ LOBATO RODRIGUES</v>
      </c>
      <c r="Q2178">
        <v>23</v>
      </c>
      <c r="R2178">
        <v>73761</v>
      </c>
      <c r="S2178" t="s">
        <v>55</v>
      </c>
      <c r="T2178" s="1">
        <v>45323</v>
      </c>
      <c r="U2178">
        <v>993.89</v>
      </c>
      <c r="V2178">
        <v>993.89</v>
      </c>
    </row>
    <row r="2179" spans="1:22" x14ac:dyDescent="0.3">
      <c r="A2179" t="s">
        <v>4763</v>
      </c>
      <c r="B2179" t="s">
        <v>4764</v>
      </c>
      <c r="C2179" t="s">
        <v>1238</v>
      </c>
      <c r="D2179" t="s">
        <v>4765</v>
      </c>
      <c r="E2179" t="s">
        <v>15</v>
      </c>
      <c r="J2179" s="1">
        <v>45422</v>
      </c>
      <c r="K2179">
        <v>662</v>
      </c>
      <c r="L2179" t="s">
        <v>2164</v>
      </c>
      <c r="M2179">
        <v>9</v>
      </c>
      <c r="N2179" t="str">
        <f>VLOOKUP(M2179,[1]LOJA!$A:$B,2,0)</f>
        <v>ÚNICA</v>
      </c>
      <c r="O2179">
        <v>147</v>
      </c>
      <c r="P2179" t="str">
        <f>VLOOKUP(O2179,[1]OPERADORES!$A:$B,2,0)</f>
        <v>MICAELE DA CONCEIÇAO SILVA</v>
      </c>
      <c r="Q2179">
        <v>23</v>
      </c>
      <c r="R2179">
        <v>84370</v>
      </c>
      <c r="S2179" t="s">
        <v>51</v>
      </c>
      <c r="T2179" s="1">
        <v>45392</v>
      </c>
      <c r="U2179">
        <v>995.62</v>
      </c>
      <c r="V2179">
        <v>995.62</v>
      </c>
    </row>
    <row r="2180" spans="1:22" x14ac:dyDescent="0.3">
      <c r="A2180" t="s">
        <v>4763</v>
      </c>
      <c r="B2180" t="s">
        <v>4764</v>
      </c>
      <c r="C2180" t="s">
        <v>1238</v>
      </c>
      <c r="D2180" t="s">
        <v>4765</v>
      </c>
      <c r="E2180" t="s">
        <v>15</v>
      </c>
      <c r="J2180" s="1">
        <v>45440</v>
      </c>
      <c r="K2180">
        <v>644</v>
      </c>
      <c r="L2180" t="s">
        <v>4768</v>
      </c>
      <c r="M2180">
        <v>9</v>
      </c>
      <c r="N2180" t="str">
        <f>VLOOKUP(M2180,[1]LOJA!$A:$B,2,0)</f>
        <v>ÚNICA</v>
      </c>
      <c r="O2180">
        <v>174</v>
      </c>
      <c r="P2180" t="str">
        <f>VLOOKUP(O2180,[1]OPERADORES!$A:$B,2,0)</f>
        <v>MIRIÃ LOBATO RODRIGUES</v>
      </c>
      <c r="Q2180">
        <v>23</v>
      </c>
      <c r="R2180">
        <v>76913</v>
      </c>
      <c r="S2180" t="s">
        <v>55</v>
      </c>
      <c r="T2180" s="1">
        <v>45350</v>
      </c>
      <c r="U2180">
        <v>807.55</v>
      </c>
      <c r="V2180">
        <v>807.55</v>
      </c>
    </row>
    <row r="2181" spans="1:22" x14ac:dyDescent="0.3">
      <c r="A2181" t="s">
        <v>4763</v>
      </c>
      <c r="B2181" t="s">
        <v>4764</v>
      </c>
      <c r="C2181" t="s">
        <v>1238</v>
      </c>
      <c r="D2181" t="s">
        <v>4765</v>
      </c>
      <c r="E2181" t="s">
        <v>15</v>
      </c>
      <c r="J2181" s="1">
        <v>45441</v>
      </c>
      <c r="K2181">
        <v>643</v>
      </c>
      <c r="L2181" t="s">
        <v>4769</v>
      </c>
      <c r="M2181">
        <v>9</v>
      </c>
      <c r="N2181" t="str">
        <f>VLOOKUP(M2181,[1]LOJA!$A:$B,2,0)</f>
        <v>ÚNICA</v>
      </c>
      <c r="O2181">
        <v>174</v>
      </c>
      <c r="P2181" t="str">
        <f>VLOOKUP(O2181,[1]OPERADORES!$A:$B,2,0)</f>
        <v>MIRIÃ LOBATO RODRIGUES</v>
      </c>
      <c r="Q2181">
        <v>23</v>
      </c>
      <c r="R2181">
        <v>87357</v>
      </c>
      <c r="S2181" t="s">
        <v>51</v>
      </c>
      <c r="T2181" s="1">
        <v>45411</v>
      </c>
      <c r="U2181">
        <v>861.1</v>
      </c>
      <c r="V2181">
        <v>861.1</v>
      </c>
    </row>
    <row r="2182" spans="1:22" x14ac:dyDescent="0.3">
      <c r="A2182" t="s">
        <v>4763</v>
      </c>
      <c r="B2182" t="s">
        <v>4764</v>
      </c>
      <c r="C2182" t="s">
        <v>1238</v>
      </c>
      <c r="D2182" t="s">
        <v>4765</v>
      </c>
      <c r="E2182" t="s">
        <v>15</v>
      </c>
      <c r="J2182" s="1">
        <v>45452</v>
      </c>
      <c r="K2182">
        <v>632</v>
      </c>
      <c r="L2182" t="s">
        <v>4770</v>
      </c>
      <c r="M2182">
        <v>9</v>
      </c>
      <c r="N2182" t="str">
        <f>VLOOKUP(M2182,[1]LOJA!$A:$B,2,0)</f>
        <v>ÚNICA</v>
      </c>
      <c r="O2182">
        <v>147</v>
      </c>
      <c r="P2182" t="str">
        <f>VLOOKUP(O2182,[1]OPERADORES!$A:$B,2,0)</f>
        <v>MICAELE DA CONCEIÇAO SILVA</v>
      </c>
      <c r="Q2182">
        <v>23</v>
      </c>
      <c r="R2182">
        <v>84388</v>
      </c>
      <c r="S2182" t="s">
        <v>53</v>
      </c>
      <c r="T2182" s="1">
        <v>45392</v>
      </c>
      <c r="U2182">
        <v>995.62</v>
      </c>
      <c r="V2182">
        <v>995.62</v>
      </c>
    </row>
    <row r="2183" spans="1:22" x14ac:dyDescent="0.3">
      <c r="A2183" t="s">
        <v>4763</v>
      </c>
      <c r="B2183" t="s">
        <v>4764</v>
      </c>
      <c r="C2183" t="s">
        <v>1238</v>
      </c>
      <c r="D2183" t="s">
        <v>4765</v>
      </c>
      <c r="E2183" t="s">
        <v>15</v>
      </c>
      <c r="J2183" s="1">
        <v>45471</v>
      </c>
      <c r="K2183">
        <v>613</v>
      </c>
      <c r="L2183" t="s">
        <v>4771</v>
      </c>
      <c r="M2183">
        <v>9</v>
      </c>
      <c r="N2183" t="str">
        <f>VLOOKUP(M2183,[1]LOJA!$A:$B,2,0)</f>
        <v>ÚNICA</v>
      </c>
      <c r="O2183">
        <v>174</v>
      </c>
      <c r="P2183" t="str">
        <f>VLOOKUP(O2183,[1]OPERADORES!$A:$B,2,0)</f>
        <v>MIRIÃ LOBATO RODRIGUES</v>
      </c>
      <c r="Q2183">
        <v>23</v>
      </c>
      <c r="R2183">
        <v>87365</v>
      </c>
      <c r="S2183" t="s">
        <v>53</v>
      </c>
      <c r="T2183" s="1">
        <v>45411</v>
      </c>
      <c r="U2183">
        <v>861.1</v>
      </c>
      <c r="V2183">
        <v>861.1</v>
      </c>
    </row>
    <row r="2184" spans="1:22" x14ac:dyDescent="0.3">
      <c r="A2184" t="s">
        <v>4763</v>
      </c>
      <c r="B2184" t="s">
        <v>4764</v>
      </c>
      <c r="C2184" t="s">
        <v>1238</v>
      </c>
      <c r="D2184" t="s">
        <v>4765</v>
      </c>
      <c r="E2184" t="s">
        <v>15</v>
      </c>
      <c r="J2184" s="1">
        <v>45482</v>
      </c>
      <c r="K2184">
        <v>602</v>
      </c>
      <c r="L2184" t="s">
        <v>4772</v>
      </c>
      <c r="M2184">
        <v>9</v>
      </c>
      <c r="N2184" t="str">
        <f>VLOOKUP(M2184,[1]LOJA!$A:$B,2,0)</f>
        <v>ÚNICA</v>
      </c>
      <c r="O2184">
        <v>147</v>
      </c>
      <c r="P2184" t="str">
        <f>VLOOKUP(O2184,[1]OPERADORES!$A:$B,2,0)</f>
        <v>MICAELE DA CONCEIÇAO SILVA</v>
      </c>
      <c r="Q2184">
        <v>23</v>
      </c>
      <c r="R2184">
        <v>84396</v>
      </c>
      <c r="S2184" t="s">
        <v>55</v>
      </c>
      <c r="T2184" s="1">
        <v>45392</v>
      </c>
      <c r="U2184">
        <v>995.62</v>
      </c>
      <c r="V2184">
        <v>995.62</v>
      </c>
    </row>
    <row r="2185" spans="1:22" x14ac:dyDescent="0.3">
      <c r="A2185" t="s">
        <v>4763</v>
      </c>
      <c r="B2185" t="s">
        <v>4764</v>
      </c>
      <c r="C2185" t="s">
        <v>1238</v>
      </c>
      <c r="D2185" t="s">
        <v>4765</v>
      </c>
      <c r="E2185" t="s">
        <v>15</v>
      </c>
      <c r="J2185" s="1">
        <v>45501</v>
      </c>
      <c r="K2185">
        <v>583</v>
      </c>
      <c r="L2185" t="s">
        <v>4773</v>
      </c>
      <c r="M2185">
        <v>9</v>
      </c>
      <c r="N2185" t="str">
        <f>VLOOKUP(M2185,[1]LOJA!$A:$B,2,0)</f>
        <v>ÚNICA</v>
      </c>
      <c r="O2185">
        <v>174</v>
      </c>
      <c r="P2185" t="str">
        <f>VLOOKUP(O2185,[1]OPERADORES!$A:$B,2,0)</f>
        <v>MIRIÃ LOBATO RODRIGUES</v>
      </c>
      <c r="Q2185">
        <v>23</v>
      </c>
      <c r="R2185">
        <v>87373</v>
      </c>
      <c r="S2185" t="s">
        <v>55</v>
      </c>
      <c r="T2185" s="1">
        <v>45411</v>
      </c>
      <c r="U2185">
        <v>861.1</v>
      </c>
      <c r="V2185">
        <v>861.1</v>
      </c>
    </row>
    <row r="2186" spans="1:22" x14ac:dyDescent="0.3">
      <c r="A2186" t="s">
        <v>6128</v>
      </c>
      <c r="B2186" t="s">
        <v>6129</v>
      </c>
      <c r="C2186" t="s">
        <v>13</v>
      </c>
      <c r="D2186" t="s">
        <v>6130</v>
      </c>
      <c r="E2186" t="s">
        <v>15</v>
      </c>
      <c r="J2186" s="1">
        <v>46083</v>
      </c>
      <c r="K2186">
        <v>1</v>
      </c>
      <c r="L2186" t="s">
        <v>6131</v>
      </c>
      <c r="M2186">
        <v>13</v>
      </c>
      <c r="N2186" t="str">
        <f>VLOOKUP(M2186,[1]LOJA!$A:$B,2,0)</f>
        <v>CEILÂNDIA</v>
      </c>
      <c r="O2186">
        <v>67</v>
      </c>
      <c r="P2186" t="str">
        <f>VLOOKUP(O2186,[1]OPERADORES!$A:$B,2,0)</f>
        <v>ERIKA</v>
      </c>
      <c r="Q2186">
        <v>10</v>
      </c>
      <c r="S2186" t="s">
        <v>6132</v>
      </c>
      <c r="T2186" s="1">
        <v>46083</v>
      </c>
      <c r="U2186">
        <v>-21.8</v>
      </c>
      <c r="V2186">
        <v>-21.8</v>
      </c>
    </row>
    <row r="2187" spans="1:22" x14ac:dyDescent="0.3">
      <c r="A2187" t="s">
        <v>6128</v>
      </c>
      <c r="B2187" t="s">
        <v>6129</v>
      </c>
      <c r="C2187" t="s">
        <v>13</v>
      </c>
      <c r="D2187" t="s">
        <v>6130</v>
      </c>
      <c r="E2187" t="s">
        <v>15</v>
      </c>
      <c r="J2187" s="1">
        <v>46084</v>
      </c>
      <c r="K2187">
        <v>0</v>
      </c>
      <c r="L2187" t="s">
        <v>6133</v>
      </c>
      <c r="M2187">
        <v>13</v>
      </c>
      <c r="N2187" t="str">
        <f>VLOOKUP(M2187,[1]LOJA!$A:$B,2,0)</f>
        <v>CEILÂNDIA</v>
      </c>
      <c r="O2187">
        <v>86</v>
      </c>
      <c r="P2187" t="str">
        <f>VLOOKUP(O2187,[1]OPERADORES!$A:$B,2,0)</f>
        <v>AMANDA</v>
      </c>
      <c r="Q2187">
        <v>7</v>
      </c>
      <c r="S2187" t="s">
        <v>87</v>
      </c>
      <c r="T2187" s="1">
        <v>46083</v>
      </c>
      <c r="U2187">
        <v>95</v>
      </c>
      <c r="V2187">
        <v>95</v>
      </c>
    </row>
    <row r="2188" spans="1:22" x14ac:dyDescent="0.3">
      <c r="A2188" t="s">
        <v>6128</v>
      </c>
      <c r="B2188" t="s">
        <v>6129</v>
      </c>
      <c r="C2188" t="s">
        <v>13</v>
      </c>
      <c r="D2188" t="s">
        <v>6130</v>
      </c>
      <c r="E2188" t="s">
        <v>15</v>
      </c>
      <c r="J2188" s="1">
        <v>46084</v>
      </c>
      <c r="K2188">
        <v>0</v>
      </c>
      <c r="L2188" t="s">
        <v>6134</v>
      </c>
      <c r="M2188">
        <v>13</v>
      </c>
      <c r="N2188" t="str">
        <f>VLOOKUP(M2188,[1]LOJA!$A:$B,2,0)</f>
        <v>CEILÂNDIA</v>
      </c>
      <c r="O2188">
        <v>86</v>
      </c>
      <c r="P2188" t="str">
        <f>VLOOKUP(O2188,[1]OPERADORES!$A:$B,2,0)</f>
        <v>AMANDA</v>
      </c>
      <c r="Q2188">
        <v>7</v>
      </c>
      <c r="S2188" t="s">
        <v>87</v>
      </c>
      <c r="T2188" s="1">
        <v>46083</v>
      </c>
      <c r="U2188">
        <v>34.89</v>
      </c>
      <c r="V2188">
        <v>34.89</v>
      </c>
    </row>
    <row r="2189" spans="1:22" x14ac:dyDescent="0.3">
      <c r="A2189" t="s">
        <v>4774</v>
      </c>
      <c r="B2189" t="s">
        <v>4775</v>
      </c>
      <c r="C2189" t="s">
        <v>13</v>
      </c>
      <c r="D2189" t="s">
        <v>4776</v>
      </c>
      <c r="E2189" t="s">
        <v>15</v>
      </c>
      <c r="J2189" s="1">
        <v>45061</v>
      </c>
      <c r="K2189">
        <v>1023</v>
      </c>
      <c r="L2189" t="s">
        <v>4777</v>
      </c>
      <c r="M2189">
        <v>9</v>
      </c>
      <c r="N2189" t="str">
        <f>VLOOKUP(M2189,[1]LOJA!$A:$B,2,0)</f>
        <v>ÚNICA</v>
      </c>
      <c r="O2189">
        <v>176</v>
      </c>
      <c r="P2189" t="str">
        <f>VLOOKUP(O2189,[1]OPERADORES!$A:$B,2,0)</f>
        <v>EDUARDO DE JESUS BALDUINO</v>
      </c>
      <c r="Q2189">
        <v>4</v>
      </c>
      <c r="S2189" t="s">
        <v>4778</v>
      </c>
      <c r="T2189" s="1">
        <v>45061</v>
      </c>
      <c r="U2189" s="2">
        <v>-81582.63</v>
      </c>
      <c r="V2189" s="2">
        <v>-81582.63</v>
      </c>
    </row>
    <row r="2190" spans="1:22" x14ac:dyDescent="0.3">
      <c r="A2190" t="s">
        <v>6135</v>
      </c>
      <c r="B2190" t="s">
        <v>6136</v>
      </c>
      <c r="C2190" t="s">
        <v>293</v>
      </c>
      <c r="D2190" t="s">
        <v>6137</v>
      </c>
      <c r="E2190" t="s">
        <v>15</v>
      </c>
      <c r="J2190" s="1">
        <v>46084</v>
      </c>
      <c r="K2190">
        <v>0</v>
      </c>
      <c r="L2190" t="s">
        <v>6138</v>
      </c>
      <c r="M2190">
        <v>22</v>
      </c>
      <c r="N2190" t="str">
        <f>VLOOKUP(M2190,[1]LOJA!$A:$B,2,0)</f>
        <v>GUARÁ</v>
      </c>
      <c r="O2190">
        <v>20</v>
      </c>
      <c r="P2190" t="str">
        <f>VLOOKUP(O2190,[1]OPERADORES!$A:$B,2,0)</f>
        <v>MAYARA</v>
      </c>
      <c r="Q2190">
        <v>27</v>
      </c>
      <c r="R2190">
        <v>1000019345</v>
      </c>
      <c r="S2190" t="s">
        <v>6139</v>
      </c>
      <c r="T2190" s="1">
        <v>45994</v>
      </c>
      <c r="U2190">
        <v>416</v>
      </c>
      <c r="V2190">
        <v>416</v>
      </c>
    </row>
    <row r="2191" spans="1:22" x14ac:dyDescent="0.3">
      <c r="A2191" t="s">
        <v>6140</v>
      </c>
      <c r="B2191" t="s">
        <v>6141</v>
      </c>
      <c r="C2191" t="s">
        <v>13</v>
      </c>
      <c r="D2191" t="s">
        <v>6142</v>
      </c>
      <c r="E2191" t="s">
        <v>15</v>
      </c>
      <c r="J2191" s="1">
        <v>46074</v>
      </c>
      <c r="K2191">
        <v>10</v>
      </c>
      <c r="L2191" t="s">
        <v>534</v>
      </c>
      <c r="M2191">
        <v>22</v>
      </c>
      <c r="N2191" t="str">
        <f>VLOOKUP(M2191,[1]LOJA!$A:$B,2,0)</f>
        <v>GUARÁ</v>
      </c>
      <c r="O2191">
        <v>238</v>
      </c>
      <c r="P2191" t="str">
        <f>VLOOKUP(O2191,[1]OPERADORES!$A:$B,2,0)</f>
        <v>BIANCA</v>
      </c>
      <c r="Q2191">
        <v>4</v>
      </c>
      <c r="S2191" t="s">
        <v>6143</v>
      </c>
      <c r="T2191" s="1">
        <v>46074</v>
      </c>
      <c r="U2191">
        <v>-26</v>
      </c>
      <c r="V2191">
        <v>-26</v>
      </c>
    </row>
    <row r="2192" spans="1:22" x14ac:dyDescent="0.3">
      <c r="A2192" t="s">
        <v>6140</v>
      </c>
      <c r="B2192" t="s">
        <v>6141</v>
      </c>
      <c r="C2192" t="s">
        <v>13</v>
      </c>
      <c r="D2192" t="s">
        <v>6142</v>
      </c>
      <c r="E2192" t="s">
        <v>15</v>
      </c>
      <c r="J2192" s="1">
        <v>46080</v>
      </c>
      <c r="K2192">
        <v>4</v>
      </c>
      <c r="L2192" t="s">
        <v>6144</v>
      </c>
      <c r="M2192">
        <v>22</v>
      </c>
      <c r="N2192" t="str">
        <f>VLOOKUP(M2192,[1]LOJA!$A:$B,2,0)</f>
        <v>GUARÁ</v>
      </c>
      <c r="O2192">
        <v>16</v>
      </c>
      <c r="P2192" t="str">
        <f>VLOOKUP(O2192,[1]OPERADORES!$A:$B,2,0)</f>
        <v>AYSLAN</v>
      </c>
      <c r="Q2192">
        <v>7</v>
      </c>
      <c r="S2192" t="s">
        <v>87</v>
      </c>
      <c r="T2192" s="1">
        <v>46079</v>
      </c>
      <c r="U2192">
        <v>223</v>
      </c>
      <c r="V2192">
        <v>223</v>
      </c>
    </row>
    <row r="2193" spans="1:22" x14ac:dyDescent="0.3">
      <c r="A2193" t="s">
        <v>4779</v>
      </c>
      <c r="B2193" t="s">
        <v>4780</v>
      </c>
      <c r="C2193" t="s">
        <v>226</v>
      </c>
      <c r="D2193" t="s">
        <v>137</v>
      </c>
      <c r="E2193" t="s">
        <v>15</v>
      </c>
      <c r="J2193" s="1">
        <v>45239</v>
      </c>
      <c r="K2193">
        <v>845</v>
      </c>
      <c r="L2193" t="s">
        <v>4781</v>
      </c>
      <c r="M2193">
        <v>16</v>
      </c>
      <c r="N2193" t="str">
        <f>VLOOKUP(M2193,[1]LOJA!$A:$B,2,0)</f>
        <v>AG LINDAS</v>
      </c>
      <c r="O2193">
        <v>107</v>
      </c>
      <c r="P2193" t="str">
        <f>VLOOKUP(O2193,[1]OPERADORES!$A:$B,2,0)</f>
        <v>DAIANA PORTELA</v>
      </c>
      <c r="Q2193">
        <v>7</v>
      </c>
      <c r="S2193" t="s">
        <v>4782</v>
      </c>
      <c r="T2193" s="1">
        <v>45239</v>
      </c>
      <c r="U2193">
        <v>-0.1</v>
      </c>
      <c r="V2193">
        <v>-0.1</v>
      </c>
    </row>
    <row r="2194" spans="1:22" x14ac:dyDescent="0.3">
      <c r="A2194" t="s">
        <v>4783</v>
      </c>
      <c r="B2194" t="s">
        <v>4784</v>
      </c>
      <c r="C2194" t="s">
        <v>2979</v>
      </c>
      <c r="D2194" t="s">
        <v>221</v>
      </c>
      <c r="E2194" t="s">
        <v>15</v>
      </c>
      <c r="J2194" s="1">
        <v>45330</v>
      </c>
      <c r="K2194">
        <v>754</v>
      </c>
      <c r="L2194" t="s">
        <v>4785</v>
      </c>
      <c r="M2194">
        <v>14</v>
      </c>
      <c r="N2194" t="str">
        <f>VLOOKUP(M2194,[1]LOJA!$A:$B,2,0)</f>
        <v>S IA</v>
      </c>
      <c r="O2194">
        <v>16</v>
      </c>
      <c r="P2194" t="str">
        <f>VLOOKUP(O2194,[1]OPERADORES!$A:$B,2,0)</f>
        <v>AYSLAN</v>
      </c>
      <c r="Q2194">
        <v>4</v>
      </c>
      <c r="S2194" t="s">
        <v>4786</v>
      </c>
      <c r="T2194" s="1">
        <v>45330</v>
      </c>
      <c r="U2194">
        <v>-25.8</v>
      </c>
      <c r="V2194">
        <v>-25.8</v>
      </c>
    </row>
    <row r="2195" spans="1:22" x14ac:dyDescent="0.3">
      <c r="A2195" t="s">
        <v>4783</v>
      </c>
      <c r="B2195" t="s">
        <v>4784</v>
      </c>
      <c r="C2195" t="s">
        <v>2979</v>
      </c>
      <c r="D2195" t="s">
        <v>221</v>
      </c>
      <c r="E2195" t="s">
        <v>15</v>
      </c>
      <c r="J2195" s="1">
        <v>45439</v>
      </c>
      <c r="K2195">
        <v>645</v>
      </c>
      <c r="L2195" t="s">
        <v>4787</v>
      </c>
      <c r="M2195">
        <v>14</v>
      </c>
      <c r="N2195" t="str">
        <f>VLOOKUP(M2195,[1]LOJA!$A:$B,2,0)</f>
        <v>S IA</v>
      </c>
      <c r="O2195">
        <v>207</v>
      </c>
      <c r="P2195" t="str">
        <f>VLOOKUP(O2195,[1]OPERADORES!$A:$B,2,0)</f>
        <v>KETILE SABRINE</v>
      </c>
      <c r="Q2195">
        <v>4</v>
      </c>
      <c r="S2195" t="s">
        <v>4788</v>
      </c>
      <c r="T2195" s="1">
        <v>45439</v>
      </c>
      <c r="U2195">
        <v>-0.77</v>
      </c>
      <c r="V2195">
        <v>-0.77</v>
      </c>
    </row>
    <row r="2196" spans="1:22" x14ac:dyDescent="0.3">
      <c r="A2196" t="s">
        <v>4783</v>
      </c>
      <c r="B2196" t="s">
        <v>4784</v>
      </c>
      <c r="C2196" t="s">
        <v>2979</v>
      </c>
      <c r="D2196" t="s">
        <v>221</v>
      </c>
      <c r="E2196" t="s">
        <v>15</v>
      </c>
      <c r="J2196" s="1">
        <v>45475</v>
      </c>
      <c r="K2196">
        <v>609</v>
      </c>
      <c r="L2196" t="s">
        <v>4789</v>
      </c>
      <c r="M2196">
        <v>14</v>
      </c>
      <c r="N2196" t="str">
        <f>VLOOKUP(M2196,[1]LOJA!$A:$B,2,0)</f>
        <v>S IA</v>
      </c>
      <c r="O2196">
        <v>207</v>
      </c>
      <c r="P2196" t="str">
        <f>VLOOKUP(O2196,[1]OPERADORES!$A:$B,2,0)</f>
        <v>KETILE SABRINE</v>
      </c>
      <c r="Q2196">
        <v>4</v>
      </c>
      <c r="S2196" t="s">
        <v>4788</v>
      </c>
      <c r="T2196" s="1">
        <v>45475</v>
      </c>
      <c r="U2196">
        <v>-0.32</v>
      </c>
      <c r="V2196">
        <v>-0.32</v>
      </c>
    </row>
    <row r="2197" spans="1:22" x14ac:dyDescent="0.3">
      <c r="A2197" t="s">
        <v>4783</v>
      </c>
      <c r="B2197" t="s">
        <v>4784</v>
      </c>
      <c r="C2197" t="s">
        <v>2979</v>
      </c>
      <c r="D2197" t="s">
        <v>221</v>
      </c>
      <c r="E2197" t="s">
        <v>15</v>
      </c>
      <c r="J2197" s="1">
        <v>45482</v>
      </c>
      <c r="K2197">
        <v>602</v>
      </c>
      <c r="L2197" t="s">
        <v>4790</v>
      </c>
      <c r="M2197">
        <v>14</v>
      </c>
      <c r="N2197" t="str">
        <f>VLOOKUP(M2197,[1]LOJA!$A:$B,2,0)</f>
        <v>S IA</v>
      </c>
      <c r="O2197">
        <v>207</v>
      </c>
      <c r="P2197" t="str">
        <f>VLOOKUP(O2197,[1]OPERADORES!$A:$B,2,0)</f>
        <v>KETILE SABRINE</v>
      </c>
      <c r="Q2197">
        <v>4</v>
      </c>
      <c r="S2197" t="s">
        <v>4788</v>
      </c>
      <c r="T2197" s="1">
        <v>45482</v>
      </c>
      <c r="U2197">
        <v>-0.11</v>
      </c>
      <c r="V2197">
        <v>-0.11</v>
      </c>
    </row>
    <row r="2198" spans="1:22" x14ac:dyDescent="0.3">
      <c r="A2198" t="s">
        <v>4791</v>
      </c>
      <c r="B2198" t="s">
        <v>4792</v>
      </c>
      <c r="C2198" t="s">
        <v>13</v>
      </c>
      <c r="D2198" t="s">
        <v>6145</v>
      </c>
      <c r="E2198" t="s">
        <v>15</v>
      </c>
      <c r="J2198" s="1">
        <v>45852</v>
      </c>
      <c r="K2198">
        <v>232</v>
      </c>
      <c r="L2198" t="s">
        <v>4793</v>
      </c>
      <c r="M2198">
        <v>4</v>
      </c>
      <c r="N2198" t="str">
        <f>VLOOKUP(M2198,[1]LOJA!$A:$B,2,0)</f>
        <v>ADE</v>
      </c>
      <c r="O2198">
        <v>84</v>
      </c>
      <c r="P2198" t="str">
        <f>VLOOKUP(O2198,[1]OPERADORES!$A:$B,2,0)</f>
        <v>JEICY AZEVEDO</v>
      </c>
      <c r="Q2198">
        <v>4</v>
      </c>
      <c r="S2198" t="s">
        <v>4794</v>
      </c>
      <c r="T2198" s="1">
        <v>45852</v>
      </c>
      <c r="U2198">
        <v>-9.1</v>
      </c>
      <c r="V2198">
        <v>-9.1</v>
      </c>
    </row>
    <row r="2199" spans="1:22" x14ac:dyDescent="0.3">
      <c r="A2199" t="s">
        <v>4791</v>
      </c>
      <c r="B2199" t="s">
        <v>4792</v>
      </c>
      <c r="C2199" t="s">
        <v>13</v>
      </c>
      <c r="D2199" t="s">
        <v>6145</v>
      </c>
      <c r="E2199" t="s">
        <v>15</v>
      </c>
      <c r="J2199" s="1">
        <v>46057</v>
      </c>
      <c r="K2199">
        <v>27</v>
      </c>
      <c r="L2199" t="s">
        <v>4795</v>
      </c>
      <c r="M2199">
        <v>4</v>
      </c>
      <c r="N2199" t="str">
        <f>VLOOKUP(M2199,[1]LOJA!$A:$B,2,0)</f>
        <v>ADE</v>
      </c>
      <c r="O2199">
        <v>247</v>
      </c>
      <c r="P2199" t="str">
        <f>VLOOKUP(O2199,[1]OPERADORES!$A:$B,2,0)</f>
        <v>TATIELE BRITO</v>
      </c>
      <c r="Q2199">
        <v>4</v>
      </c>
      <c r="S2199" t="s">
        <v>4794</v>
      </c>
      <c r="T2199" s="1">
        <v>46057</v>
      </c>
      <c r="U2199">
        <v>-2.2000000000000002</v>
      </c>
      <c r="V2199">
        <v>-2.2000000000000002</v>
      </c>
    </row>
    <row r="2200" spans="1:22" x14ac:dyDescent="0.3">
      <c r="A2200" t="s">
        <v>4796</v>
      </c>
      <c r="B2200" t="s">
        <v>4797</v>
      </c>
      <c r="C2200" t="s">
        <v>226</v>
      </c>
      <c r="D2200" t="s">
        <v>6146</v>
      </c>
      <c r="E2200" t="s">
        <v>15</v>
      </c>
      <c r="J2200" s="1">
        <v>45342</v>
      </c>
      <c r="K2200">
        <v>742</v>
      </c>
      <c r="L2200" t="s">
        <v>4798</v>
      </c>
      <c r="M2200">
        <v>14</v>
      </c>
      <c r="N2200" t="str">
        <f>VLOOKUP(M2200,[1]LOJA!$A:$B,2,0)</f>
        <v>S IA</v>
      </c>
      <c r="O2200">
        <v>207</v>
      </c>
      <c r="P2200" t="str">
        <f>VLOOKUP(O2200,[1]OPERADORES!$A:$B,2,0)</f>
        <v>KETILE SABRINE</v>
      </c>
      <c r="Q2200">
        <v>4</v>
      </c>
      <c r="S2200" t="s">
        <v>4799</v>
      </c>
      <c r="T2200" s="1">
        <v>45342</v>
      </c>
      <c r="U2200">
        <v>-27</v>
      </c>
      <c r="V2200">
        <v>-27</v>
      </c>
    </row>
    <row r="2201" spans="1:22" x14ac:dyDescent="0.3">
      <c r="A2201" t="s">
        <v>4800</v>
      </c>
      <c r="B2201" t="s">
        <v>32</v>
      </c>
      <c r="C2201" t="s">
        <v>319</v>
      </c>
      <c r="D2201" t="s">
        <v>6147</v>
      </c>
      <c r="E2201" t="s">
        <v>15</v>
      </c>
      <c r="J2201" s="1">
        <v>45667</v>
      </c>
      <c r="K2201">
        <v>417</v>
      </c>
      <c r="L2201" t="s">
        <v>4801</v>
      </c>
      <c r="M2201">
        <v>9</v>
      </c>
      <c r="N2201" t="str">
        <f>VLOOKUP(M2201,[1]LOJA!$A:$B,2,0)</f>
        <v>ÚNICA</v>
      </c>
      <c r="O2201">
        <v>174</v>
      </c>
      <c r="P2201" t="str">
        <f>VLOOKUP(O2201,[1]OPERADORES!$A:$B,2,0)</f>
        <v>MIRIÃ LOBATO RODRIGUES</v>
      </c>
      <c r="Q2201">
        <v>4</v>
      </c>
      <c r="S2201" t="s">
        <v>4802</v>
      </c>
      <c r="T2201" s="1">
        <v>45667</v>
      </c>
      <c r="U2201">
        <v>-11.82</v>
      </c>
      <c r="V2201">
        <v>-11.82</v>
      </c>
    </row>
    <row r="2202" spans="1:22" x14ac:dyDescent="0.3">
      <c r="A2202" t="s">
        <v>4803</v>
      </c>
      <c r="B2202" t="s">
        <v>4804</v>
      </c>
      <c r="C2202" t="s">
        <v>324</v>
      </c>
      <c r="D2202" t="s">
        <v>4805</v>
      </c>
      <c r="E2202" t="s">
        <v>15</v>
      </c>
      <c r="J2202" s="1">
        <v>45925</v>
      </c>
      <c r="K2202">
        <v>159</v>
      </c>
      <c r="L2202" t="s">
        <v>4806</v>
      </c>
      <c r="M2202">
        <v>9</v>
      </c>
      <c r="N2202" t="str">
        <f>VLOOKUP(M2202,[1]LOJA!$A:$B,2,0)</f>
        <v>ÚNICA</v>
      </c>
      <c r="O2202">
        <v>174</v>
      </c>
      <c r="P2202" t="str">
        <f>VLOOKUP(O2202,[1]OPERADORES!$A:$B,2,0)</f>
        <v>MIRIÃ LOBATO RODRIGUES</v>
      </c>
      <c r="Q2202">
        <v>23</v>
      </c>
      <c r="R2202">
        <v>182760</v>
      </c>
      <c r="S2202" t="s">
        <v>51</v>
      </c>
      <c r="T2202" s="1">
        <v>45895</v>
      </c>
      <c r="U2202" s="2">
        <v>1448.59</v>
      </c>
      <c r="V2202" s="2">
        <v>1448.59</v>
      </c>
    </row>
    <row r="2203" spans="1:22" x14ac:dyDescent="0.3">
      <c r="A2203" t="s">
        <v>4803</v>
      </c>
      <c r="B2203" t="s">
        <v>4804</v>
      </c>
      <c r="C2203" t="s">
        <v>324</v>
      </c>
      <c r="D2203" t="s">
        <v>4805</v>
      </c>
      <c r="E2203" t="s">
        <v>15</v>
      </c>
      <c r="J2203" s="1">
        <v>45938</v>
      </c>
      <c r="K2203">
        <v>146</v>
      </c>
      <c r="L2203" t="s">
        <v>4807</v>
      </c>
      <c r="M2203">
        <v>9</v>
      </c>
      <c r="N2203" t="str">
        <f>VLOOKUP(M2203,[1]LOJA!$A:$B,2,0)</f>
        <v>ÚNICA</v>
      </c>
      <c r="O2203">
        <v>144</v>
      </c>
      <c r="P2203" t="str">
        <f>VLOOKUP(O2203,[1]OPERADORES!$A:$B,2,0)</f>
        <v>CINTIA DA SILVA CARLOS</v>
      </c>
      <c r="Q2203">
        <v>4</v>
      </c>
      <c r="S2203" t="s">
        <v>4808</v>
      </c>
      <c r="T2203" s="1">
        <v>45938</v>
      </c>
      <c r="U2203">
        <v>-89</v>
      </c>
      <c r="V2203">
        <v>-89</v>
      </c>
    </row>
    <row r="2204" spans="1:22" x14ac:dyDescent="0.3">
      <c r="A2204" t="s">
        <v>4803</v>
      </c>
      <c r="B2204" t="s">
        <v>4804</v>
      </c>
      <c r="C2204" t="s">
        <v>324</v>
      </c>
      <c r="D2204" t="s">
        <v>4805</v>
      </c>
      <c r="E2204" t="s">
        <v>15</v>
      </c>
      <c r="J2204" s="1">
        <v>45954</v>
      </c>
      <c r="K2204">
        <v>130</v>
      </c>
      <c r="L2204" t="s">
        <v>4809</v>
      </c>
      <c r="M2204">
        <v>9</v>
      </c>
      <c r="N2204" t="str">
        <f>VLOOKUP(M2204,[1]LOJA!$A:$B,2,0)</f>
        <v>ÚNICA</v>
      </c>
      <c r="O2204">
        <v>236</v>
      </c>
      <c r="P2204" t="str">
        <f>VLOOKUP(O2204,[1]OPERADORES!$A:$B,2,0)</f>
        <v>DANIEL</v>
      </c>
      <c r="Q2204">
        <v>23</v>
      </c>
      <c r="R2204">
        <v>190318</v>
      </c>
      <c r="S2204" t="s">
        <v>1445</v>
      </c>
      <c r="T2204" s="1">
        <v>45924</v>
      </c>
      <c r="U2204">
        <v>390.5</v>
      </c>
      <c r="V2204">
        <v>390.5</v>
      </c>
    </row>
    <row r="2205" spans="1:22" x14ac:dyDescent="0.3">
      <c r="A2205" t="s">
        <v>4803</v>
      </c>
      <c r="B2205" t="s">
        <v>4804</v>
      </c>
      <c r="C2205" t="s">
        <v>324</v>
      </c>
      <c r="D2205" t="s">
        <v>4805</v>
      </c>
      <c r="E2205" t="s">
        <v>15</v>
      </c>
      <c r="J2205" s="1">
        <v>45955</v>
      </c>
      <c r="K2205">
        <v>129</v>
      </c>
      <c r="L2205" t="s">
        <v>4810</v>
      </c>
      <c r="M2205">
        <v>9</v>
      </c>
      <c r="N2205" t="str">
        <f>VLOOKUP(M2205,[1]LOJA!$A:$B,2,0)</f>
        <v>ÚNICA</v>
      </c>
      <c r="O2205">
        <v>174</v>
      </c>
      <c r="P2205" t="str">
        <f>VLOOKUP(O2205,[1]OPERADORES!$A:$B,2,0)</f>
        <v>MIRIÃ LOBATO RODRIGUES</v>
      </c>
      <c r="Q2205">
        <v>23</v>
      </c>
      <c r="R2205">
        <v>182778</v>
      </c>
      <c r="S2205" t="s">
        <v>53</v>
      </c>
      <c r="T2205" s="1">
        <v>45895</v>
      </c>
      <c r="U2205" s="2">
        <v>1448.59</v>
      </c>
      <c r="V2205" s="2">
        <v>1448.59</v>
      </c>
    </row>
    <row r="2206" spans="1:22" x14ac:dyDescent="0.3">
      <c r="A2206" t="s">
        <v>4803</v>
      </c>
      <c r="B2206" t="s">
        <v>4804</v>
      </c>
      <c r="C2206" t="s">
        <v>324</v>
      </c>
      <c r="D2206" t="s">
        <v>4805</v>
      </c>
      <c r="E2206" t="s">
        <v>15</v>
      </c>
      <c r="J2206" s="1">
        <v>45956</v>
      </c>
      <c r="K2206">
        <v>128</v>
      </c>
      <c r="L2206" t="s">
        <v>4811</v>
      </c>
      <c r="M2206">
        <v>9</v>
      </c>
      <c r="N2206" t="str">
        <f>VLOOKUP(M2206,[1]LOJA!$A:$B,2,0)</f>
        <v>ÚNICA</v>
      </c>
      <c r="O2206">
        <v>174</v>
      </c>
      <c r="P2206" t="str">
        <f>VLOOKUP(O2206,[1]OPERADORES!$A:$B,2,0)</f>
        <v>MIRIÃ LOBATO RODRIGUES</v>
      </c>
      <c r="Q2206">
        <v>23</v>
      </c>
      <c r="R2206">
        <v>175566</v>
      </c>
      <c r="S2206" t="s">
        <v>55</v>
      </c>
      <c r="T2206" s="1">
        <v>45866</v>
      </c>
      <c r="U2206">
        <v>718.16</v>
      </c>
      <c r="V2206">
        <v>718.16</v>
      </c>
    </row>
    <row r="2207" spans="1:22" x14ac:dyDescent="0.3">
      <c r="A2207" t="s">
        <v>4803</v>
      </c>
      <c r="B2207" t="s">
        <v>4804</v>
      </c>
      <c r="C2207" t="s">
        <v>324</v>
      </c>
      <c r="D2207" t="s">
        <v>4805</v>
      </c>
      <c r="E2207" t="s">
        <v>15</v>
      </c>
      <c r="J2207" s="1">
        <v>45957</v>
      </c>
      <c r="K2207">
        <v>127</v>
      </c>
      <c r="L2207" t="s">
        <v>4812</v>
      </c>
      <c r="M2207">
        <v>9</v>
      </c>
      <c r="N2207" t="str">
        <f>VLOOKUP(M2207,[1]LOJA!$A:$B,2,0)</f>
        <v>ÚNICA</v>
      </c>
      <c r="O2207">
        <v>174</v>
      </c>
      <c r="P2207" t="str">
        <f>VLOOKUP(O2207,[1]OPERADORES!$A:$B,2,0)</f>
        <v>MIRIÃ LOBATO RODRIGUES</v>
      </c>
      <c r="Q2207">
        <v>23</v>
      </c>
      <c r="R2207">
        <v>175731</v>
      </c>
      <c r="S2207" t="s">
        <v>55</v>
      </c>
      <c r="T2207" s="1">
        <v>45867</v>
      </c>
      <c r="U2207">
        <v>469.8</v>
      </c>
      <c r="V2207">
        <v>469.8</v>
      </c>
    </row>
    <row r="2208" spans="1:22" x14ac:dyDescent="0.3">
      <c r="A2208" t="s">
        <v>4803</v>
      </c>
      <c r="B2208" t="s">
        <v>4804</v>
      </c>
      <c r="C2208" t="s">
        <v>324</v>
      </c>
      <c r="D2208" t="s">
        <v>4805</v>
      </c>
      <c r="E2208" t="s">
        <v>15</v>
      </c>
      <c r="J2208" s="1">
        <v>45960</v>
      </c>
      <c r="K2208">
        <v>124</v>
      </c>
      <c r="L2208" t="s">
        <v>4813</v>
      </c>
      <c r="M2208">
        <v>9</v>
      </c>
      <c r="N2208" t="str">
        <f>VLOOKUP(M2208,[1]LOJA!$A:$B,2,0)</f>
        <v>ÚNICA</v>
      </c>
      <c r="O2208">
        <v>174</v>
      </c>
      <c r="P2208" t="str">
        <f>VLOOKUP(O2208,[1]OPERADORES!$A:$B,2,0)</f>
        <v>MIRIÃ LOBATO RODRIGUES</v>
      </c>
      <c r="Q2208">
        <v>23</v>
      </c>
      <c r="R2208">
        <v>176432</v>
      </c>
      <c r="S2208" t="s">
        <v>55</v>
      </c>
      <c r="T2208" s="1">
        <v>45870</v>
      </c>
      <c r="U2208">
        <v>636.20000000000005</v>
      </c>
      <c r="V2208">
        <v>636.20000000000005</v>
      </c>
    </row>
    <row r="2209" spans="1:22" x14ac:dyDescent="0.3">
      <c r="A2209" t="s">
        <v>4803</v>
      </c>
      <c r="B2209" t="s">
        <v>4804</v>
      </c>
      <c r="C2209" t="s">
        <v>324</v>
      </c>
      <c r="D2209" t="s">
        <v>4805</v>
      </c>
      <c r="E2209" t="s">
        <v>15</v>
      </c>
      <c r="J2209" s="1">
        <v>45964</v>
      </c>
      <c r="K2209">
        <v>120</v>
      </c>
      <c r="L2209" t="s">
        <v>4814</v>
      </c>
      <c r="M2209">
        <v>9</v>
      </c>
      <c r="N2209" t="str">
        <f>VLOOKUP(M2209,[1]LOJA!$A:$B,2,0)</f>
        <v>ÚNICA</v>
      </c>
      <c r="O2209">
        <v>236</v>
      </c>
      <c r="P2209" t="str">
        <f>VLOOKUP(O2209,[1]OPERADORES!$A:$B,2,0)</f>
        <v>DANIEL</v>
      </c>
      <c r="Q2209">
        <v>23</v>
      </c>
      <c r="R2209">
        <v>185425</v>
      </c>
      <c r="S2209" t="s">
        <v>46</v>
      </c>
      <c r="T2209" s="1">
        <v>45904</v>
      </c>
      <c r="U2209">
        <v>235.89</v>
      </c>
      <c r="V2209">
        <v>235.89</v>
      </c>
    </row>
    <row r="2210" spans="1:22" x14ac:dyDescent="0.3">
      <c r="A2210" t="s">
        <v>4803</v>
      </c>
      <c r="B2210" t="s">
        <v>4804</v>
      </c>
      <c r="C2210" t="s">
        <v>324</v>
      </c>
      <c r="D2210" t="s">
        <v>4805</v>
      </c>
      <c r="E2210" t="s">
        <v>15</v>
      </c>
      <c r="J2210" s="1">
        <v>45964</v>
      </c>
      <c r="K2210">
        <v>120</v>
      </c>
      <c r="L2210" t="s">
        <v>4815</v>
      </c>
      <c r="M2210">
        <v>9</v>
      </c>
      <c r="N2210" t="str">
        <f>VLOOKUP(M2210,[1]LOJA!$A:$B,2,0)</f>
        <v>ÚNICA</v>
      </c>
      <c r="O2210">
        <v>236</v>
      </c>
      <c r="P2210" t="str">
        <f>VLOOKUP(O2210,[1]OPERADORES!$A:$B,2,0)</f>
        <v>DANIEL</v>
      </c>
      <c r="Q2210">
        <v>23</v>
      </c>
      <c r="R2210">
        <v>185631</v>
      </c>
      <c r="S2210" t="s">
        <v>53</v>
      </c>
      <c r="T2210" s="1">
        <v>45904</v>
      </c>
      <c r="U2210" s="2">
        <v>1345.87</v>
      </c>
      <c r="V2210" s="2">
        <v>1345.87</v>
      </c>
    </row>
    <row r="2211" spans="1:22" x14ac:dyDescent="0.3">
      <c r="A2211" t="s">
        <v>4803</v>
      </c>
      <c r="B2211" t="s">
        <v>4804</v>
      </c>
      <c r="C2211" t="s">
        <v>324</v>
      </c>
      <c r="D2211" t="s">
        <v>4805</v>
      </c>
      <c r="E2211" t="s">
        <v>15</v>
      </c>
      <c r="J2211" s="1">
        <v>45966</v>
      </c>
      <c r="K2211">
        <v>118</v>
      </c>
      <c r="L2211" t="s">
        <v>4816</v>
      </c>
      <c r="M2211">
        <v>9</v>
      </c>
      <c r="N2211" t="str">
        <f>VLOOKUP(M2211,[1]LOJA!$A:$B,2,0)</f>
        <v>ÚNICA</v>
      </c>
      <c r="O2211">
        <v>174</v>
      </c>
      <c r="P2211" t="str">
        <f>VLOOKUP(O2211,[1]OPERADORES!$A:$B,2,0)</f>
        <v>MIRIÃ LOBATO RODRIGUES</v>
      </c>
      <c r="Q2211">
        <v>23</v>
      </c>
      <c r="R2211">
        <v>193213</v>
      </c>
      <c r="S2211" t="s">
        <v>51</v>
      </c>
      <c r="T2211" s="1">
        <v>45936</v>
      </c>
      <c r="U2211" s="2">
        <v>2670.83</v>
      </c>
      <c r="V2211" s="2">
        <v>2670.83</v>
      </c>
    </row>
    <row r="2212" spans="1:22" x14ac:dyDescent="0.3">
      <c r="A2212" t="s">
        <v>4803</v>
      </c>
      <c r="B2212" t="s">
        <v>4804</v>
      </c>
      <c r="C2212" t="s">
        <v>324</v>
      </c>
      <c r="D2212" t="s">
        <v>4805</v>
      </c>
      <c r="E2212" t="s">
        <v>15</v>
      </c>
      <c r="J2212" s="1">
        <v>45967</v>
      </c>
      <c r="K2212">
        <v>117</v>
      </c>
      <c r="L2212" t="s">
        <v>4817</v>
      </c>
      <c r="M2212">
        <v>9</v>
      </c>
      <c r="N2212" t="str">
        <f>VLOOKUP(M2212,[1]LOJA!$A:$B,2,0)</f>
        <v>ÚNICA</v>
      </c>
      <c r="O2212">
        <v>236</v>
      </c>
      <c r="P2212" t="str">
        <f>VLOOKUP(O2212,[1]OPERADORES!$A:$B,2,0)</f>
        <v>DANIEL</v>
      </c>
      <c r="Q2212">
        <v>23</v>
      </c>
      <c r="R2212">
        <v>190615</v>
      </c>
      <c r="S2212" t="s">
        <v>972</v>
      </c>
      <c r="T2212" s="1">
        <v>45925</v>
      </c>
      <c r="U2212" s="2">
        <v>1431.99</v>
      </c>
      <c r="V2212" s="2">
        <v>1431.99</v>
      </c>
    </row>
    <row r="2213" spans="1:22" x14ac:dyDescent="0.3">
      <c r="A2213" t="s">
        <v>4803</v>
      </c>
      <c r="B2213" t="s">
        <v>4804</v>
      </c>
      <c r="C2213" t="s">
        <v>324</v>
      </c>
      <c r="D2213" t="s">
        <v>4805</v>
      </c>
      <c r="E2213" t="s">
        <v>15</v>
      </c>
      <c r="J2213" s="1">
        <v>45969</v>
      </c>
      <c r="K2213">
        <v>115</v>
      </c>
      <c r="L2213" t="s">
        <v>4818</v>
      </c>
      <c r="M2213">
        <v>9</v>
      </c>
      <c r="N2213" t="str">
        <f>VLOOKUP(M2213,[1]LOJA!$A:$B,2,0)</f>
        <v>ÚNICA</v>
      </c>
      <c r="O2213">
        <v>236</v>
      </c>
      <c r="P2213" t="str">
        <f>VLOOKUP(O2213,[1]OPERADORES!$A:$B,2,0)</f>
        <v>DANIEL</v>
      </c>
      <c r="Q2213">
        <v>23</v>
      </c>
      <c r="R2213">
        <v>186423</v>
      </c>
      <c r="S2213" t="s">
        <v>46</v>
      </c>
      <c r="T2213" s="1">
        <v>45909</v>
      </c>
      <c r="U2213">
        <v>374.22</v>
      </c>
      <c r="V2213">
        <v>374.22</v>
      </c>
    </row>
    <row r="2214" spans="1:22" x14ac:dyDescent="0.3">
      <c r="A2214" t="s">
        <v>4803</v>
      </c>
      <c r="B2214" t="s">
        <v>4804</v>
      </c>
      <c r="C2214" t="s">
        <v>324</v>
      </c>
      <c r="D2214" t="s">
        <v>4805</v>
      </c>
      <c r="E2214" t="s">
        <v>15</v>
      </c>
      <c r="J2214" s="1">
        <v>45977</v>
      </c>
      <c r="K2214">
        <v>107</v>
      </c>
      <c r="L2214" t="s">
        <v>4819</v>
      </c>
      <c r="M2214">
        <v>9</v>
      </c>
      <c r="N2214" t="str">
        <f>VLOOKUP(M2214,[1]LOJA!$A:$B,2,0)</f>
        <v>ÚNICA</v>
      </c>
      <c r="O2214">
        <v>236</v>
      </c>
      <c r="P2214" t="str">
        <f>VLOOKUP(O2214,[1]OPERADORES!$A:$B,2,0)</f>
        <v>DANIEL</v>
      </c>
      <c r="Q2214">
        <v>23</v>
      </c>
      <c r="R2214">
        <v>188650</v>
      </c>
      <c r="S2214" t="s">
        <v>53</v>
      </c>
      <c r="T2214" s="1">
        <v>45917</v>
      </c>
      <c r="U2214">
        <v>402.67</v>
      </c>
      <c r="V2214">
        <v>402.67</v>
      </c>
    </row>
    <row r="2215" spans="1:22" x14ac:dyDescent="0.3">
      <c r="A2215" t="s">
        <v>4803</v>
      </c>
      <c r="B2215" t="s">
        <v>4804</v>
      </c>
      <c r="C2215" t="s">
        <v>324</v>
      </c>
      <c r="D2215" t="s">
        <v>4805</v>
      </c>
      <c r="E2215" t="s">
        <v>15</v>
      </c>
      <c r="J2215" s="1">
        <v>45981</v>
      </c>
      <c r="K2215">
        <v>103</v>
      </c>
      <c r="L2215" t="s">
        <v>4820</v>
      </c>
      <c r="M2215">
        <v>9</v>
      </c>
      <c r="N2215" t="str">
        <f>VLOOKUP(M2215,[1]LOJA!$A:$B,2,0)</f>
        <v>ÚNICA</v>
      </c>
      <c r="O2215">
        <v>236</v>
      </c>
      <c r="P2215" t="str">
        <f>VLOOKUP(O2215,[1]OPERADORES!$A:$B,2,0)</f>
        <v>DANIEL</v>
      </c>
      <c r="Q2215">
        <v>23</v>
      </c>
      <c r="R2215">
        <v>190623</v>
      </c>
      <c r="S2215" t="s">
        <v>976</v>
      </c>
      <c r="T2215" s="1">
        <v>45925</v>
      </c>
      <c r="U2215" s="2">
        <v>1431.99</v>
      </c>
      <c r="V2215" s="2">
        <v>1431.99</v>
      </c>
    </row>
    <row r="2216" spans="1:22" x14ac:dyDescent="0.3">
      <c r="A2216" t="s">
        <v>4803</v>
      </c>
      <c r="B2216" t="s">
        <v>4804</v>
      </c>
      <c r="C2216" t="s">
        <v>324</v>
      </c>
      <c r="D2216" t="s">
        <v>4805</v>
      </c>
      <c r="E2216" t="s">
        <v>15</v>
      </c>
      <c r="J2216" s="1">
        <v>45984</v>
      </c>
      <c r="K2216">
        <v>100</v>
      </c>
      <c r="L2216" t="s">
        <v>4821</v>
      </c>
      <c r="M2216">
        <v>9</v>
      </c>
      <c r="N2216" t="str">
        <f>VLOOKUP(M2216,[1]LOJA!$A:$B,2,0)</f>
        <v>ÚNICA</v>
      </c>
      <c r="O2216">
        <v>236</v>
      </c>
      <c r="P2216" t="str">
        <f>VLOOKUP(O2216,[1]OPERADORES!$A:$B,2,0)</f>
        <v>DANIEL</v>
      </c>
      <c r="Q2216">
        <v>23</v>
      </c>
      <c r="R2216">
        <v>190326</v>
      </c>
      <c r="S2216" t="s">
        <v>46</v>
      </c>
      <c r="T2216" s="1">
        <v>45924</v>
      </c>
      <c r="U2216">
        <v>390.5</v>
      </c>
      <c r="V2216">
        <v>390.5</v>
      </c>
    </row>
    <row r="2217" spans="1:22" x14ac:dyDescent="0.3">
      <c r="A2217" t="s">
        <v>4803</v>
      </c>
      <c r="B2217" t="s">
        <v>4804</v>
      </c>
      <c r="C2217" t="s">
        <v>324</v>
      </c>
      <c r="D2217" t="s">
        <v>4805</v>
      </c>
      <c r="E2217" t="s">
        <v>15</v>
      </c>
      <c r="J2217" s="1">
        <v>45985</v>
      </c>
      <c r="K2217">
        <v>99</v>
      </c>
      <c r="L2217" t="s">
        <v>4822</v>
      </c>
      <c r="M2217">
        <v>9</v>
      </c>
      <c r="N2217" t="str">
        <f>VLOOKUP(M2217,[1]LOJA!$A:$B,2,0)</f>
        <v>ÚNICA</v>
      </c>
      <c r="O2217">
        <v>174</v>
      </c>
      <c r="P2217" t="str">
        <f>VLOOKUP(O2217,[1]OPERADORES!$A:$B,2,0)</f>
        <v>MIRIÃ LOBATO RODRIGUES</v>
      </c>
      <c r="Q2217">
        <v>23</v>
      </c>
      <c r="R2217">
        <v>182786</v>
      </c>
      <c r="S2217" t="s">
        <v>55</v>
      </c>
      <c r="T2217" s="1">
        <v>45895</v>
      </c>
      <c r="U2217" s="2">
        <v>1448.58</v>
      </c>
      <c r="V2217" s="2">
        <v>1448.58</v>
      </c>
    </row>
    <row r="2218" spans="1:22" x14ac:dyDescent="0.3">
      <c r="A2218" t="s">
        <v>4803</v>
      </c>
      <c r="B2218" t="s">
        <v>4804</v>
      </c>
      <c r="C2218" t="s">
        <v>324</v>
      </c>
      <c r="D2218" t="s">
        <v>4805</v>
      </c>
      <c r="E2218" t="s">
        <v>15</v>
      </c>
      <c r="J2218" s="1">
        <v>45994</v>
      </c>
      <c r="K2218">
        <v>90</v>
      </c>
      <c r="L2218" t="s">
        <v>4823</v>
      </c>
      <c r="M2218">
        <v>9</v>
      </c>
      <c r="N2218" t="str">
        <f>VLOOKUP(M2218,[1]LOJA!$A:$B,2,0)</f>
        <v>ÚNICA</v>
      </c>
      <c r="O2218">
        <v>236</v>
      </c>
      <c r="P2218" t="str">
        <f>VLOOKUP(O2218,[1]OPERADORES!$A:$B,2,0)</f>
        <v>DANIEL</v>
      </c>
      <c r="Q2218">
        <v>23</v>
      </c>
      <c r="R2218">
        <v>185649</v>
      </c>
      <c r="S2218" t="s">
        <v>55</v>
      </c>
      <c r="T2218" s="1">
        <v>45904</v>
      </c>
      <c r="U2218" s="2">
        <v>1345.86</v>
      </c>
      <c r="V2218" s="2">
        <v>1345.86</v>
      </c>
    </row>
    <row r="2219" spans="1:22" x14ac:dyDescent="0.3">
      <c r="A2219" t="s">
        <v>4803</v>
      </c>
      <c r="B2219" t="s">
        <v>4804</v>
      </c>
      <c r="C2219" t="s">
        <v>324</v>
      </c>
      <c r="D2219" t="s">
        <v>4805</v>
      </c>
      <c r="E2219" t="s">
        <v>15</v>
      </c>
      <c r="J2219" s="1">
        <v>45996</v>
      </c>
      <c r="K2219">
        <v>88</v>
      </c>
      <c r="L2219" t="s">
        <v>4824</v>
      </c>
      <c r="M2219">
        <v>9</v>
      </c>
      <c r="N2219" t="str">
        <f>VLOOKUP(M2219,[1]LOJA!$A:$B,2,0)</f>
        <v>ÚNICA</v>
      </c>
      <c r="O2219">
        <v>174</v>
      </c>
      <c r="P2219" t="str">
        <f>VLOOKUP(O2219,[1]OPERADORES!$A:$B,2,0)</f>
        <v>MIRIÃ LOBATO RODRIGUES</v>
      </c>
      <c r="Q2219">
        <v>23</v>
      </c>
      <c r="R2219">
        <v>193221</v>
      </c>
      <c r="S2219" t="s">
        <v>53</v>
      </c>
      <c r="T2219" s="1">
        <v>45936</v>
      </c>
      <c r="U2219" s="2">
        <v>2670.83</v>
      </c>
      <c r="V2219" s="2">
        <v>2670.83</v>
      </c>
    </row>
    <row r="2220" spans="1:22" x14ac:dyDescent="0.3">
      <c r="A2220" t="s">
        <v>4803</v>
      </c>
      <c r="B2220" t="s">
        <v>4804</v>
      </c>
      <c r="C2220" t="s">
        <v>324</v>
      </c>
      <c r="D2220" t="s">
        <v>4805</v>
      </c>
      <c r="E2220" t="s">
        <v>15</v>
      </c>
      <c r="J2220" s="1">
        <v>45997</v>
      </c>
      <c r="K2220">
        <v>87</v>
      </c>
      <c r="L2220" t="s">
        <v>4825</v>
      </c>
      <c r="M2220">
        <v>9</v>
      </c>
      <c r="N2220" t="str">
        <f>VLOOKUP(M2220,[1]LOJA!$A:$B,2,0)</f>
        <v>ÚNICA</v>
      </c>
      <c r="O2220">
        <v>236</v>
      </c>
      <c r="P2220" t="str">
        <f>VLOOKUP(O2220,[1]OPERADORES!$A:$B,2,0)</f>
        <v>DANIEL</v>
      </c>
      <c r="Q2220">
        <v>23</v>
      </c>
      <c r="R2220">
        <v>190631</v>
      </c>
      <c r="S2220" t="s">
        <v>780</v>
      </c>
      <c r="T2220" s="1">
        <v>45925</v>
      </c>
      <c r="U2220" s="2">
        <v>1431.99</v>
      </c>
      <c r="V2220" s="2">
        <v>1431.99</v>
      </c>
    </row>
    <row r="2221" spans="1:22" x14ac:dyDescent="0.3">
      <c r="A2221" t="s">
        <v>4803</v>
      </c>
      <c r="B2221" t="s">
        <v>4804</v>
      </c>
      <c r="C2221" t="s">
        <v>324</v>
      </c>
      <c r="D2221" t="s">
        <v>4805</v>
      </c>
      <c r="E2221" t="s">
        <v>15</v>
      </c>
      <c r="J2221" s="1">
        <v>46007</v>
      </c>
      <c r="K2221">
        <v>77</v>
      </c>
      <c r="L2221" t="s">
        <v>4826</v>
      </c>
      <c r="M2221">
        <v>9</v>
      </c>
      <c r="N2221" t="str">
        <f>VLOOKUP(M2221,[1]LOJA!$A:$B,2,0)</f>
        <v>ÚNICA</v>
      </c>
      <c r="O2221">
        <v>236</v>
      </c>
      <c r="P2221" t="str">
        <f>VLOOKUP(O2221,[1]OPERADORES!$A:$B,2,0)</f>
        <v>DANIEL</v>
      </c>
      <c r="Q2221">
        <v>23</v>
      </c>
      <c r="R2221">
        <v>188668</v>
      </c>
      <c r="S2221" t="s">
        <v>55</v>
      </c>
      <c r="T2221" s="1">
        <v>45917</v>
      </c>
      <c r="U2221">
        <v>402.66</v>
      </c>
      <c r="V2221">
        <v>402.66</v>
      </c>
    </row>
    <row r="2222" spans="1:22" x14ac:dyDescent="0.3">
      <c r="A2222" t="s">
        <v>4803</v>
      </c>
      <c r="B2222" t="s">
        <v>4804</v>
      </c>
      <c r="C2222" t="s">
        <v>324</v>
      </c>
      <c r="D2222" t="s">
        <v>4805</v>
      </c>
      <c r="E2222" t="s">
        <v>15</v>
      </c>
      <c r="J2222" s="1">
        <v>46026</v>
      </c>
      <c r="K2222">
        <v>58</v>
      </c>
      <c r="L2222" t="s">
        <v>4827</v>
      </c>
      <c r="M2222">
        <v>9</v>
      </c>
      <c r="N2222" t="str">
        <f>VLOOKUP(M2222,[1]LOJA!$A:$B,2,0)</f>
        <v>ÚNICA</v>
      </c>
      <c r="O2222">
        <v>174</v>
      </c>
      <c r="P2222" t="str">
        <f>VLOOKUP(O2222,[1]OPERADORES!$A:$B,2,0)</f>
        <v>MIRIÃ LOBATO RODRIGUES</v>
      </c>
      <c r="Q2222">
        <v>23</v>
      </c>
      <c r="R2222">
        <v>193239</v>
      </c>
      <c r="S2222" t="s">
        <v>55</v>
      </c>
      <c r="T2222" s="1">
        <v>45936</v>
      </c>
      <c r="U2222" s="2">
        <v>2670.82</v>
      </c>
      <c r="V2222" s="2">
        <v>2670.82</v>
      </c>
    </row>
    <row r="2223" spans="1:22" x14ac:dyDescent="0.3">
      <c r="A2223" t="s">
        <v>4828</v>
      </c>
      <c r="B2223" t="s">
        <v>4829</v>
      </c>
      <c r="C2223" t="s">
        <v>13</v>
      </c>
      <c r="D2223" t="s">
        <v>4830</v>
      </c>
      <c r="E2223" t="s">
        <v>15</v>
      </c>
      <c r="J2223" s="1">
        <v>44421</v>
      </c>
      <c r="K2223">
        <v>1663</v>
      </c>
      <c r="L2223" t="s">
        <v>4831</v>
      </c>
      <c r="M2223">
        <v>14</v>
      </c>
      <c r="N2223" t="str">
        <f>VLOOKUP(M2223,[1]LOJA!$A:$B,2,0)</f>
        <v>S IA</v>
      </c>
      <c r="O2223">
        <v>54</v>
      </c>
      <c r="P2223" t="str">
        <f>VLOOKUP(O2223,[1]OPERADORES!$A:$B,2,0)</f>
        <v>ROBSON</v>
      </c>
      <c r="Q2223">
        <v>4</v>
      </c>
      <c r="S2223" t="s">
        <v>4832</v>
      </c>
      <c r="T2223" s="1">
        <v>44421</v>
      </c>
      <c r="U2223">
        <v>-94.9</v>
      </c>
      <c r="V2223">
        <v>-94.9</v>
      </c>
    </row>
    <row r="2224" spans="1:22" x14ac:dyDescent="0.3">
      <c r="A2224" t="s">
        <v>4833</v>
      </c>
      <c r="B2224" t="s">
        <v>4834</v>
      </c>
      <c r="C2224" t="s">
        <v>13</v>
      </c>
      <c r="D2224" t="s">
        <v>6148</v>
      </c>
      <c r="E2224" t="s">
        <v>15</v>
      </c>
      <c r="J2224" s="1">
        <v>45978</v>
      </c>
      <c r="K2224">
        <v>106</v>
      </c>
      <c r="L2224" t="s">
        <v>4835</v>
      </c>
      <c r="M2224">
        <v>13</v>
      </c>
      <c r="N2224" t="str">
        <f>VLOOKUP(M2224,[1]LOJA!$A:$B,2,0)</f>
        <v>CEILÂNDIA</v>
      </c>
      <c r="O2224">
        <v>67</v>
      </c>
      <c r="P2224" t="str">
        <f>VLOOKUP(O2224,[1]OPERADORES!$A:$B,2,0)</f>
        <v>ERIKA</v>
      </c>
      <c r="Q2224">
        <v>10</v>
      </c>
      <c r="S2224" t="s">
        <v>4836</v>
      </c>
      <c r="T2224" s="1">
        <v>45978</v>
      </c>
      <c r="U2224">
        <v>-0.24</v>
      </c>
      <c r="V2224">
        <v>-0.24</v>
      </c>
    </row>
    <row r="2225" spans="1:22" x14ac:dyDescent="0.3">
      <c r="A2225" t="s">
        <v>4833</v>
      </c>
      <c r="B2225" t="s">
        <v>4834</v>
      </c>
      <c r="C2225" t="s">
        <v>13</v>
      </c>
      <c r="D2225" t="s">
        <v>6148</v>
      </c>
      <c r="E2225" t="s">
        <v>15</v>
      </c>
      <c r="J2225" s="1">
        <v>46068</v>
      </c>
      <c r="K2225">
        <v>16</v>
      </c>
      <c r="L2225" t="s">
        <v>6149</v>
      </c>
      <c r="M2225">
        <v>13</v>
      </c>
      <c r="N2225" t="str">
        <f>VLOOKUP(M2225,[1]LOJA!$A:$B,2,0)</f>
        <v>CEILÂNDIA</v>
      </c>
      <c r="O2225">
        <v>86</v>
      </c>
      <c r="P2225" t="str">
        <f>VLOOKUP(O2225,[1]OPERADORES!$A:$B,2,0)</f>
        <v>AMANDA</v>
      </c>
      <c r="Q2225">
        <v>7</v>
      </c>
      <c r="S2225" t="s">
        <v>87</v>
      </c>
      <c r="T2225" s="1">
        <v>46067</v>
      </c>
      <c r="U2225">
        <v>158.22</v>
      </c>
      <c r="V2225">
        <v>158.22</v>
      </c>
    </row>
    <row r="2226" spans="1:22" x14ac:dyDescent="0.3">
      <c r="A2226" t="s">
        <v>4837</v>
      </c>
      <c r="B2226" t="s">
        <v>4838</v>
      </c>
      <c r="C2226" t="s">
        <v>226</v>
      </c>
      <c r="D2226" t="s">
        <v>4839</v>
      </c>
      <c r="E2226" t="s">
        <v>15</v>
      </c>
      <c r="J2226" s="1">
        <v>44887</v>
      </c>
      <c r="K2226">
        <v>1197</v>
      </c>
      <c r="L2226" t="s">
        <v>4840</v>
      </c>
      <c r="M2226">
        <v>4</v>
      </c>
      <c r="N2226" t="str">
        <f>VLOOKUP(M2226,[1]LOJA!$A:$B,2,0)</f>
        <v>ADE</v>
      </c>
      <c r="O2226">
        <v>107</v>
      </c>
      <c r="P2226" t="str">
        <f>VLOOKUP(O2226,[1]OPERADORES!$A:$B,2,0)</f>
        <v>DAIANA PORTELA</v>
      </c>
      <c r="Q2226">
        <v>7</v>
      </c>
      <c r="S2226" t="s">
        <v>4841</v>
      </c>
      <c r="T2226" s="1">
        <v>44887</v>
      </c>
      <c r="U2226">
        <v>-1</v>
      </c>
      <c r="V2226">
        <v>-1</v>
      </c>
    </row>
    <row r="2227" spans="1:22" x14ac:dyDescent="0.3">
      <c r="A2227" t="s">
        <v>4837</v>
      </c>
      <c r="B2227" t="s">
        <v>4838</v>
      </c>
      <c r="C2227" t="s">
        <v>226</v>
      </c>
      <c r="D2227" t="s">
        <v>4839</v>
      </c>
      <c r="E2227" t="s">
        <v>15</v>
      </c>
      <c r="J2227" s="1">
        <v>44908</v>
      </c>
      <c r="K2227">
        <v>1176</v>
      </c>
      <c r="L2227" t="s">
        <v>4842</v>
      </c>
      <c r="M2227">
        <v>4</v>
      </c>
      <c r="N2227" t="str">
        <f>VLOOKUP(M2227,[1]LOJA!$A:$B,2,0)</f>
        <v>ADE</v>
      </c>
      <c r="O2227">
        <v>107</v>
      </c>
      <c r="P2227" t="str">
        <f>VLOOKUP(O2227,[1]OPERADORES!$A:$B,2,0)</f>
        <v>DAIANA PORTELA</v>
      </c>
      <c r="Q2227">
        <v>7</v>
      </c>
      <c r="S2227" t="s">
        <v>4843</v>
      </c>
      <c r="T2227" s="1">
        <v>44908</v>
      </c>
      <c r="U2227">
        <v>-0.3</v>
      </c>
      <c r="V2227">
        <v>-0.3</v>
      </c>
    </row>
    <row r="2228" spans="1:22" x14ac:dyDescent="0.3">
      <c r="A2228" t="s">
        <v>4844</v>
      </c>
      <c r="B2228" t="s">
        <v>4845</v>
      </c>
      <c r="C2228" t="s">
        <v>2464</v>
      </c>
      <c r="D2228" t="s">
        <v>4846</v>
      </c>
      <c r="E2228" t="s">
        <v>15</v>
      </c>
      <c r="J2228" s="1">
        <v>45672</v>
      </c>
      <c r="K2228">
        <v>412</v>
      </c>
      <c r="L2228" t="s">
        <v>4847</v>
      </c>
      <c r="M2228">
        <v>14</v>
      </c>
      <c r="N2228" t="str">
        <f>VLOOKUP(M2228,[1]LOJA!$A:$B,2,0)</f>
        <v>S IA</v>
      </c>
      <c r="O2228">
        <v>20</v>
      </c>
      <c r="P2228" t="str">
        <f>VLOOKUP(O2228,[1]OPERADORES!$A:$B,2,0)</f>
        <v>MAYARA</v>
      </c>
      <c r="Q2228">
        <v>12</v>
      </c>
      <c r="S2228" t="s">
        <v>4848</v>
      </c>
      <c r="T2228" s="1">
        <v>45659</v>
      </c>
      <c r="U2228">
        <v>0.17</v>
      </c>
      <c r="V2228">
        <v>0.17</v>
      </c>
    </row>
    <row r="2229" spans="1:22" x14ac:dyDescent="0.3">
      <c r="A2229" t="s">
        <v>4844</v>
      </c>
      <c r="B2229" t="s">
        <v>4845</v>
      </c>
      <c r="C2229" t="s">
        <v>2464</v>
      </c>
      <c r="D2229" t="s">
        <v>4846</v>
      </c>
      <c r="E2229" t="s">
        <v>15</v>
      </c>
      <c r="J2229" s="1">
        <v>45741</v>
      </c>
      <c r="K2229">
        <v>343</v>
      </c>
      <c r="L2229" t="s">
        <v>4849</v>
      </c>
      <c r="M2229">
        <v>14</v>
      </c>
      <c r="N2229" t="str">
        <f>VLOOKUP(M2229,[1]LOJA!$A:$B,2,0)</f>
        <v>S IA</v>
      </c>
      <c r="O2229">
        <v>212</v>
      </c>
      <c r="P2229" t="str">
        <f>VLOOKUP(O2229,[1]OPERADORES!$A:$B,2,0)</f>
        <v>YASMIN</v>
      </c>
      <c r="Q2229">
        <v>4</v>
      </c>
      <c r="S2229" t="s">
        <v>4850</v>
      </c>
      <c r="T2229" s="1">
        <v>45741</v>
      </c>
      <c r="U2229">
        <v>-0.03</v>
      </c>
      <c r="V2229">
        <v>-0.03</v>
      </c>
    </row>
    <row r="2230" spans="1:22" x14ac:dyDescent="0.3">
      <c r="A2230" t="s">
        <v>4851</v>
      </c>
      <c r="B2230" t="s">
        <v>4852</v>
      </c>
      <c r="C2230" t="s">
        <v>13</v>
      </c>
      <c r="D2230" t="s">
        <v>4853</v>
      </c>
      <c r="E2230" t="s">
        <v>15</v>
      </c>
      <c r="J2230" s="1">
        <v>45369</v>
      </c>
      <c r="K2230">
        <v>715</v>
      </c>
      <c r="L2230" t="s">
        <v>4854</v>
      </c>
      <c r="M2230">
        <v>9</v>
      </c>
      <c r="N2230" t="str">
        <f>VLOOKUP(M2230,[1]LOJA!$A:$B,2,0)</f>
        <v>ÚNICA</v>
      </c>
      <c r="O2230">
        <v>197</v>
      </c>
      <c r="P2230" t="str">
        <f>VLOOKUP(O2230,[1]OPERADORES!$A:$B,2,0)</f>
        <v xml:space="preserve">POLIANA LORRANE DE AMORIM </v>
      </c>
      <c r="Q2230">
        <v>23</v>
      </c>
      <c r="R2230">
        <v>67797</v>
      </c>
      <c r="S2230" t="s">
        <v>55</v>
      </c>
      <c r="T2230" s="1">
        <v>45279</v>
      </c>
      <c r="U2230">
        <v>485.31</v>
      </c>
      <c r="V2230">
        <v>485.31</v>
      </c>
    </row>
    <row r="2231" spans="1:22" x14ac:dyDescent="0.3">
      <c r="A2231" t="s">
        <v>4855</v>
      </c>
      <c r="B2231" t="s">
        <v>4856</v>
      </c>
      <c r="C2231" t="s">
        <v>1067</v>
      </c>
      <c r="D2231" t="s">
        <v>4857</v>
      </c>
      <c r="E2231" t="s">
        <v>15</v>
      </c>
      <c r="J2231" s="1">
        <v>45261</v>
      </c>
      <c r="K2231">
        <v>823</v>
      </c>
      <c r="L2231" t="s">
        <v>4858</v>
      </c>
      <c r="M2231">
        <v>9</v>
      </c>
      <c r="N2231" t="str">
        <f>VLOOKUP(M2231,[1]LOJA!$A:$B,2,0)</f>
        <v>ÚNICA</v>
      </c>
      <c r="O2231">
        <v>144</v>
      </c>
      <c r="P2231" t="str">
        <f>VLOOKUP(O2231,[1]OPERADORES!$A:$B,2,0)</f>
        <v>CINTIA DA SILVA CARLOS</v>
      </c>
      <c r="Q2231">
        <v>10</v>
      </c>
      <c r="S2231" t="s">
        <v>4859</v>
      </c>
      <c r="T2231" s="1">
        <v>45261</v>
      </c>
      <c r="U2231">
        <v>-2.5</v>
      </c>
      <c r="V2231">
        <v>-2.5</v>
      </c>
    </row>
    <row r="2232" spans="1:22" x14ac:dyDescent="0.3">
      <c r="A2232" t="s">
        <v>4860</v>
      </c>
      <c r="B2232" t="s">
        <v>4861</v>
      </c>
      <c r="C2232" t="s">
        <v>226</v>
      </c>
      <c r="D2232" t="s">
        <v>4862</v>
      </c>
      <c r="E2232" t="s">
        <v>15</v>
      </c>
      <c r="J2232" s="1">
        <v>45591</v>
      </c>
      <c r="K2232">
        <v>493</v>
      </c>
      <c r="L2232" t="s">
        <v>4863</v>
      </c>
      <c r="M2232">
        <v>4</v>
      </c>
      <c r="N2232" t="str">
        <f>VLOOKUP(M2232,[1]LOJA!$A:$B,2,0)</f>
        <v>ADE</v>
      </c>
      <c r="O2232">
        <v>132</v>
      </c>
      <c r="P2232" t="str">
        <f>VLOOKUP(O2232,[1]OPERADORES!$A:$B,2,0)</f>
        <v>PAMELA GONÇALVES ROSA</v>
      </c>
      <c r="Q2232">
        <v>7</v>
      </c>
      <c r="S2232" t="s">
        <v>87</v>
      </c>
      <c r="T2232" s="1">
        <v>45590</v>
      </c>
      <c r="U2232">
        <v>80</v>
      </c>
      <c r="V2232">
        <v>80</v>
      </c>
    </row>
    <row r="2233" spans="1:22" x14ac:dyDescent="0.3">
      <c r="A2233" t="s">
        <v>4860</v>
      </c>
      <c r="B2233" t="s">
        <v>4861</v>
      </c>
      <c r="C2233" t="s">
        <v>226</v>
      </c>
      <c r="D2233" t="s">
        <v>4862</v>
      </c>
      <c r="E2233" t="s">
        <v>15</v>
      </c>
      <c r="J2233" s="1">
        <v>45646</v>
      </c>
      <c r="K2233">
        <v>438</v>
      </c>
      <c r="L2233" t="s">
        <v>4864</v>
      </c>
      <c r="M2233">
        <v>4</v>
      </c>
      <c r="N2233" t="str">
        <f>VLOOKUP(M2233,[1]LOJA!$A:$B,2,0)</f>
        <v>ADE</v>
      </c>
      <c r="O2233">
        <v>226</v>
      </c>
      <c r="P2233" t="str">
        <f>VLOOKUP(O2233,[1]OPERADORES!$A:$B,2,0)</f>
        <v>MARIA FÉLIX</v>
      </c>
      <c r="Q2233">
        <v>4</v>
      </c>
      <c r="S2233" t="s">
        <v>4865</v>
      </c>
      <c r="T2233" s="1">
        <v>45646</v>
      </c>
      <c r="U2233">
        <v>-7.0000000000000007E-2</v>
      </c>
      <c r="V2233">
        <v>-7.0000000000000007E-2</v>
      </c>
    </row>
    <row r="2234" spans="1:22" x14ac:dyDescent="0.3">
      <c r="A2234" t="s">
        <v>4866</v>
      </c>
      <c r="B2234" t="s">
        <v>4867</v>
      </c>
      <c r="C2234" t="s">
        <v>848</v>
      </c>
      <c r="D2234" t="s">
        <v>6150</v>
      </c>
      <c r="E2234" t="s">
        <v>15</v>
      </c>
      <c r="J2234" s="1">
        <v>45069</v>
      </c>
      <c r="K2234">
        <v>1015</v>
      </c>
      <c r="L2234" t="s">
        <v>4868</v>
      </c>
      <c r="M2234">
        <v>15</v>
      </c>
      <c r="N2234" t="str">
        <f>VLOOKUP(M2234,[1]LOJA!$A:$B,2,0)</f>
        <v>UNAÍ</v>
      </c>
      <c r="O2234">
        <v>183</v>
      </c>
      <c r="P2234" t="str">
        <f>VLOOKUP(O2234,[1]OPERADORES!$A:$B,2,0)</f>
        <v>NADINE DE OLIVEIRA MORAIS</v>
      </c>
      <c r="Q2234">
        <v>4</v>
      </c>
      <c r="S2234" t="s">
        <v>4869</v>
      </c>
      <c r="T2234" s="1">
        <v>45069</v>
      </c>
      <c r="U2234">
        <v>-2.58</v>
      </c>
      <c r="V2234">
        <v>-2.58</v>
      </c>
    </row>
    <row r="2235" spans="1:22" x14ac:dyDescent="0.3">
      <c r="A2235" t="s">
        <v>4866</v>
      </c>
      <c r="B2235" t="s">
        <v>4867</v>
      </c>
      <c r="C2235" t="s">
        <v>848</v>
      </c>
      <c r="D2235" t="s">
        <v>6150</v>
      </c>
      <c r="E2235" t="s">
        <v>15</v>
      </c>
      <c r="J2235" s="1">
        <v>45856</v>
      </c>
      <c r="K2235">
        <v>228</v>
      </c>
      <c r="L2235" t="s">
        <v>4870</v>
      </c>
      <c r="M2235">
        <v>15</v>
      </c>
      <c r="N2235" t="str">
        <f>VLOOKUP(M2235,[1]LOJA!$A:$B,2,0)</f>
        <v>UNAÍ</v>
      </c>
      <c r="O2235">
        <v>232</v>
      </c>
      <c r="P2235" t="str">
        <f>VLOOKUP(O2235,[1]OPERADORES!$A:$B,2,0)</f>
        <v>JESSICA GUIMARÃES</v>
      </c>
      <c r="Q2235">
        <v>4</v>
      </c>
      <c r="S2235" t="s">
        <v>4871</v>
      </c>
      <c r="T2235" s="1">
        <v>45856</v>
      </c>
      <c r="U2235">
        <v>-1.34</v>
      </c>
      <c r="V2235">
        <v>-1.34</v>
      </c>
    </row>
    <row r="2236" spans="1:22" x14ac:dyDescent="0.3">
      <c r="A2236" t="s">
        <v>4866</v>
      </c>
      <c r="B2236" t="s">
        <v>4867</v>
      </c>
      <c r="C2236" t="s">
        <v>848</v>
      </c>
      <c r="D2236" t="s">
        <v>6150</v>
      </c>
      <c r="E2236" t="s">
        <v>15</v>
      </c>
      <c r="J2236" s="1">
        <v>46002</v>
      </c>
      <c r="K2236">
        <v>82</v>
      </c>
      <c r="L2236" t="s">
        <v>4872</v>
      </c>
      <c r="M2236">
        <v>15</v>
      </c>
      <c r="N2236" t="str">
        <f>VLOOKUP(M2236,[1]LOJA!$A:$B,2,0)</f>
        <v>UNAÍ</v>
      </c>
      <c r="O2236">
        <v>84</v>
      </c>
      <c r="P2236" t="str">
        <f>VLOOKUP(O2236,[1]OPERADORES!$A:$B,2,0)</f>
        <v>JEICY AZEVEDO</v>
      </c>
      <c r="Q2236">
        <v>26</v>
      </c>
      <c r="S2236" t="s">
        <v>4873</v>
      </c>
      <c r="T2236" s="1">
        <v>46002</v>
      </c>
      <c r="U2236" s="2">
        <v>-1414.47</v>
      </c>
      <c r="V2236" s="2">
        <v>-1414.47</v>
      </c>
    </row>
    <row r="2237" spans="1:22" x14ac:dyDescent="0.3">
      <c r="A2237" t="s">
        <v>4866</v>
      </c>
      <c r="B2237" t="s">
        <v>4867</v>
      </c>
      <c r="C2237" t="s">
        <v>848</v>
      </c>
      <c r="D2237" t="s">
        <v>6150</v>
      </c>
      <c r="E2237" t="s">
        <v>15</v>
      </c>
      <c r="J2237" s="1">
        <v>46070</v>
      </c>
      <c r="K2237">
        <v>14</v>
      </c>
      <c r="L2237" t="s">
        <v>6151</v>
      </c>
      <c r="M2237">
        <v>15</v>
      </c>
      <c r="N2237" t="str">
        <f>VLOOKUP(M2237,[1]LOJA!$A:$B,2,0)</f>
        <v>UNAÍ</v>
      </c>
      <c r="O2237">
        <v>183</v>
      </c>
      <c r="P2237" t="str">
        <f>VLOOKUP(O2237,[1]OPERADORES!$A:$B,2,0)</f>
        <v>NADINE DE OLIVEIRA MORAIS</v>
      </c>
      <c r="Q2237">
        <v>26</v>
      </c>
      <c r="R2237">
        <v>1000020338</v>
      </c>
      <c r="S2237" t="s">
        <v>53</v>
      </c>
      <c r="T2237" s="1">
        <v>46055</v>
      </c>
      <c r="U2237" s="2">
        <v>1868.47</v>
      </c>
      <c r="V2237" s="2">
        <v>1868.47</v>
      </c>
    </row>
    <row r="2238" spans="1:22" x14ac:dyDescent="0.3">
      <c r="A2238" t="s">
        <v>4874</v>
      </c>
      <c r="B2238" t="s">
        <v>4875</v>
      </c>
      <c r="C2238" t="s">
        <v>207</v>
      </c>
      <c r="D2238" t="s">
        <v>6152</v>
      </c>
      <c r="E2238" t="s">
        <v>15</v>
      </c>
      <c r="J2238" s="1">
        <v>44743</v>
      </c>
      <c r="K2238">
        <v>1341</v>
      </c>
      <c r="L2238" t="s">
        <v>4876</v>
      </c>
      <c r="M2238">
        <v>9</v>
      </c>
      <c r="N2238" t="str">
        <f>VLOOKUP(M2238,[1]LOJA!$A:$B,2,0)</f>
        <v>ÚNICA</v>
      </c>
      <c r="O2238">
        <v>145</v>
      </c>
      <c r="P2238" t="str">
        <f>VLOOKUP(O2238,[1]OPERADORES!$A:$B,2,0)</f>
        <v xml:space="preserve">FABRICIA </v>
      </c>
      <c r="Q2238">
        <v>4</v>
      </c>
      <c r="S2238" t="s">
        <v>4877</v>
      </c>
      <c r="T2238" s="1">
        <v>44743</v>
      </c>
      <c r="U2238">
        <v>-130</v>
      </c>
      <c r="V2238">
        <v>-130</v>
      </c>
    </row>
    <row r="2239" spans="1:22" x14ac:dyDescent="0.3">
      <c r="A2239" t="s">
        <v>4878</v>
      </c>
      <c r="B2239" t="s">
        <v>4879</v>
      </c>
      <c r="C2239" t="s">
        <v>43</v>
      </c>
      <c r="D2239" t="s">
        <v>4880</v>
      </c>
      <c r="E2239" t="s">
        <v>15</v>
      </c>
      <c r="J2239" s="1">
        <v>45513</v>
      </c>
      <c r="K2239">
        <v>571</v>
      </c>
      <c r="L2239" t="s">
        <v>4881</v>
      </c>
      <c r="M2239">
        <v>9</v>
      </c>
      <c r="N2239" t="str">
        <f>VLOOKUP(M2239,[1]LOJA!$A:$B,2,0)</f>
        <v>ÚNICA</v>
      </c>
      <c r="O2239">
        <v>49</v>
      </c>
      <c r="P2239" t="str">
        <f>VLOOKUP(O2239,[1]OPERADORES!$A:$B,2,0)</f>
        <v>WASHINGTON</v>
      </c>
      <c r="Q2239">
        <v>23</v>
      </c>
      <c r="R2239">
        <v>99840</v>
      </c>
      <c r="S2239" t="s">
        <v>87</v>
      </c>
      <c r="T2239" s="1">
        <v>45483</v>
      </c>
      <c r="U2239">
        <v>28.33</v>
      </c>
      <c r="V2239">
        <v>28.33</v>
      </c>
    </row>
    <row r="2240" spans="1:22" x14ac:dyDescent="0.3">
      <c r="A2240" t="s">
        <v>4882</v>
      </c>
      <c r="B2240" t="s">
        <v>4883</v>
      </c>
      <c r="C2240" t="s">
        <v>30</v>
      </c>
      <c r="D2240" t="s">
        <v>6153</v>
      </c>
      <c r="E2240" t="s">
        <v>15</v>
      </c>
      <c r="J2240" s="1">
        <v>46006</v>
      </c>
      <c r="K2240">
        <v>78</v>
      </c>
      <c r="L2240" t="s">
        <v>4884</v>
      </c>
      <c r="M2240">
        <v>9</v>
      </c>
      <c r="N2240" t="str">
        <f>VLOOKUP(M2240,[1]LOJA!$A:$B,2,0)</f>
        <v>ÚNICA</v>
      </c>
      <c r="O2240">
        <v>174</v>
      </c>
      <c r="P2240" t="str">
        <f>VLOOKUP(O2240,[1]OPERADORES!$A:$B,2,0)</f>
        <v>MIRIÃ LOBATO RODRIGUES</v>
      </c>
      <c r="Q2240">
        <v>4</v>
      </c>
      <c r="S2240" t="s">
        <v>4885</v>
      </c>
      <c r="T2240" s="1">
        <v>46006</v>
      </c>
      <c r="U2240">
        <v>-1</v>
      </c>
      <c r="V2240">
        <v>-1</v>
      </c>
    </row>
    <row r="2241" spans="1:22" x14ac:dyDescent="0.3">
      <c r="A2241" t="s">
        <v>4882</v>
      </c>
      <c r="B2241" t="s">
        <v>4883</v>
      </c>
      <c r="C2241" t="s">
        <v>30</v>
      </c>
      <c r="D2241" t="s">
        <v>6153</v>
      </c>
      <c r="E2241" t="s">
        <v>15</v>
      </c>
      <c r="J2241" s="1">
        <v>46062</v>
      </c>
      <c r="K2241">
        <v>22</v>
      </c>
      <c r="L2241" t="s">
        <v>4886</v>
      </c>
      <c r="M2241">
        <v>9</v>
      </c>
      <c r="N2241" t="str">
        <f>VLOOKUP(M2241,[1]LOJA!$A:$B,2,0)</f>
        <v>ÚNICA</v>
      </c>
      <c r="O2241">
        <v>144</v>
      </c>
      <c r="P2241" t="str">
        <f>VLOOKUP(O2241,[1]OPERADORES!$A:$B,2,0)</f>
        <v>CINTIA DA SILVA CARLOS</v>
      </c>
      <c r="Q2241">
        <v>4</v>
      </c>
      <c r="S2241" t="s">
        <v>4887</v>
      </c>
      <c r="T2241" s="1">
        <v>46062</v>
      </c>
      <c r="U2241">
        <v>-6.74</v>
      </c>
      <c r="V2241">
        <v>-6.74</v>
      </c>
    </row>
    <row r="2242" spans="1:22" x14ac:dyDescent="0.3">
      <c r="A2242" t="s">
        <v>4888</v>
      </c>
      <c r="B2242" t="s">
        <v>4889</v>
      </c>
      <c r="C2242" t="s">
        <v>30</v>
      </c>
      <c r="D2242" t="s">
        <v>6154</v>
      </c>
      <c r="E2242" t="s">
        <v>15</v>
      </c>
      <c r="J2242" s="1">
        <v>45481</v>
      </c>
      <c r="K2242">
        <v>603</v>
      </c>
      <c r="L2242" t="s">
        <v>4890</v>
      </c>
      <c r="M2242">
        <v>8</v>
      </c>
      <c r="N2242" t="str">
        <f>VLOOKUP(M2242,[1]LOJA!$A:$B,2,0)</f>
        <v>LUZIÂNIA</v>
      </c>
      <c r="O2242">
        <v>170</v>
      </c>
      <c r="P2242" t="str">
        <f>VLOOKUP(O2242,[1]OPERADORES!$A:$B,2,0)</f>
        <v>MARIA LUISA</v>
      </c>
      <c r="Q2242">
        <v>4</v>
      </c>
      <c r="S2242" t="s">
        <v>4891</v>
      </c>
      <c r="T2242" s="1">
        <v>45481</v>
      </c>
      <c r="U2242">
        <v>-20.63</v>
      </c>
      <c r="V2242">
        <v>-20.63</v>
      </c>
    </row>
    <row r="2243" spans="1:22" x14ac:dyDescent="0.3">
      <c r="A2243" t="s">
        <v>4892</v>
      </c>
      <c r="B2243" t="s">
        <v>4893</v>
      </c>
      <c r="C2243" t="s">
        <v>226</v>
      </c>
      <c r="D2243" t="s">
        <v>194</v>
      </c>
      <c r="E2243" t="s">
        <v>15</v>
      </c>
      <c r="J2243" s="1">
        <v>44999</v>
      </c>
      <c r="K2243">
        <v>1085</v>
      </c>
      <c r="L2243" t="s">
        <v>2449</v>
      </c>
      <c r="M2243">
        <v>13</v>
      </c>
      <c r="N2243" t="str">
        <f>VLOOKUP(M2243,[1]LOJA!$A:$B,2,0)</f>
        <v>CEILÂNDIA</v>
      </c>
      <c r="O2243">
        <v>67</v>
      </c>
      <c r="P2243" t="str">
        <f>VLOOKUP(O2243,[1]OPERADORES!$A:$B,2,0)</f>
        <v>ERIKA</v>
      </c>
      <c r="Q2243">
        <v>10</v>
      </c>
      <c r="S2243" t="s">
        <v>4894</v>
      </c>
      <c r="T2243" s="1">
        <v>44999</v>
      </c>
      <c r="U2243">
        <v>-0.3</v>
      </c>
      <c r="V2243">
        <v>-0.3</v>
      </c>
    </row>
    <row r="2244" spans="1:22" x14ac:dyDescent="0.3">
      <c r="A2244" t="s">
        <v>4895</v>
      </c>
      <c r="B2244" t="s">
        <v>4896</v>
      </c>
      <c r="C2244" t="s">
        <v>13</v>
      </c>
      <c r="D2244" t="s">
        <v>4897</v>
      </c>
      <c r="E2244" t="s">
        <v>15</v>
      </c>
      <c r="J2244" s="1">
        <v>45572</v>
      </c>
      <c r="K2244">
        <v>512</v>
      </c>
      <c r="L2244" t="s">
        <v>4898</v>
      </c>
      <c r="M2244">
        <v>13</v>
      </c>
      <c r="N2244" t="str">
        <f>VLOOKUP(M2244,[1]LOJA!$A:$B,2,0)</f>
        <v>CEILÂNDIA</v>
      </c>
      <c r="O2244">
        <v>67</v>
      </c>
      <c r="P2244" t="str">
        <f>VLOOKUP(O2244,[1]OPERADORES!$A:$B,2,0)</f>
        <v>ERIKA</v>
      </c>
      <c r="Q2244">
        <v>10</v>
      </c>
      <c r="S2244" t="s">
        <v>4899</v>
      </c>
      <c r="T2244" s="1">
        <v>45572</v>
      </c>
      <c r="U2244">
        <v>-3.2</v>
      </c>
      <c r="V2244">
        <v>-3.2</v>
      </c>
    </row>
    <row r="2245" spans="1:22" x14ac:dyDescent="0.3">
      <c r="A2245" t="s">
        <v>4900</v>
      </c>
      <c r="B2245" t="s">
        <v>32</v>
      </c>
      <c r="C2245" t="s">
        <v>13</v>
      </c>
      <c r="D2245" t="s">
        <v>4901</v>
      </c>
      <c r="E2245" t="s">
        <v>15</v>
      </c>
      <c r="J2245" s="1">
        <v>45441</v>
      </c>
      <c r="K2245">
        <v>643</v>
      </c>
      <c r="L2245" t="s">
        <v>4902</v>
      </c>
      <c r="M2245">
        <v>9</v>
      </c>
      <c r="N2245" t="str">
        <f>VLOOKUP(M2245,[1]LOJA!$A:$B,2,0)</f>
        <v>ÚNICA</v>
      </c>
      <c r="O2245">
        <v>145</v>
      </c>
      <c r="P2245" t="str">
        <f>VLOOKUP(O2245,[1]OPERADORES!$A:$B,2,0)</f>
        <v xml:space="preserve">FABRICIA </v>
      </c>
      <c r="Q2245">
        <v>4</v>
      </c>
      <c r="S2245" t="s">
        <v>4903</v>
      </c>
      <c r="T2245" s="1">
        <v>45441</v>
      </c>
      <c r="U2245">
        <v>-0.36</v>
      </c>
      <c r="V2245">
        <v>-0.36</v>
      </c>
    </row>
    <row r="2246" spans="1:22" x14ac:dyDescent="0.3">
      <c r="A2246" t="s">
        <v>4900</v>
      </c>
      <c r="B2246" t="s">
        <v>32</v>
      </c>
      <c r="C2246" t="s">
        <v>13</v>
      </c>
      <c r="D2246" t="s">
        <v>4901</v>
      </c>
      <c r="E2246" t="s">
        <v>15</v>
      </c>
      <c r="J2246" s="1">
        <v>45527</v>
      </c>
      <c r="K2246">
        <v>557</v>
      </c>
      <c r="L2246" t="s">
        <v>4904</v>
      </c>
      <c r="M2246">
        <v>9</v>
      </c>
      <c r="N2246" t="str">
        <f>VLOOKUP(M2246,[1]LOJA!$A:$B,2,0)</f>
        <v>ÚNICA</v>
      </c>
      <c r="O2246">
        <v>144</v>
      </c>
      <c r="P2246" t="str">
        <f>VLOOKUP(O2246,[1]OPERADORES!$A:$B,2,0)</f>
        <v>CINTIA DA SILVA CARLOS</v>
      </c>
      <c r="Q2246">
        <v>4</v>
      </c>
      <c r="S2246" t="s">
        <v>110</v>
      </c>
      <c r="T2246" s="1">
        <v>45527</v>
      </c>
      <c r="U2246" s="2">
        <v>-1259.8599999999999</v>
      </c>
      <c r="V2246" s="2">
        <v>-1259.8599999999999</v>
      </c>
    </row>
    <row r="2247" spans="1:22" x14ac:dyDescent="0.3">
      <c r="A2247" t="s">
        <v>4905</v>
      </c>
      <c r="B2247" t="s">
        <v>4906</v>
      </c>
      <c r="C2247" t="s">
        <v>13</v>
      </c>
      <c r="D2247" t="s">
        <v>4907</v>
      </c>
      <c r="E2247" t="s">
        <v>15</v>
      </c>
      <c r="J2247" s="1">
        <v>44491</v>
      </c>
      <c r="K2247">
        <v>1593</v>
      </c>
      <c r="L2247" t="s">
        <v>4908</v>
      </c>
      <c r="M2247">
        <v>14</v>
      </c>
      <c r="N2247" t="str">
        <f>VLOOKUP(M2247,[1]LOJA!$A:$B,2,0)</f>
        <v>S IA</v>
      </c>
      <c r="O2247">
        <v>60</v>
      </c>
      <c r="P2247" t="str">
        <f>VLOOKUP(O2247,[1]OPERADORES!$A:$B,2,0)</f>
        <v>ALEXANDRA</v>
      </c>
      <c r="Q2247">
        <v>4</v>
      </c>
      <c r="S2247" t="s">
        <v>4909</v>
      </c>
      <c r="T2247" s="1">
        <v>44491</v>
      </c>
      <c r="U2247">
        <v>-21.77</v>
      </c>
      <c r="V2247">
        <v>-21.77</v>
      </c>
    </row>
    <row r="2248" spans="1:22" x14ac:dyDescent="0.3">
      <c r="A2248" t="s">
        <v>4910</v>
      </c>
      <c r="B2248" t="s">
        <v>4911</v>
      </c>
      <c r="C2248" t="s">
        <v>13</v>
      </c>
      <c r="D2248" t="s">
        <v>4912</v>
      </c>
      <c r="E2248" t="s">
        <v>15</v>
      </c>
      <c r="J2248" s="1">
        <v>45975</v>
      </c>
      <c r="K2248">
        <v>109</v>
      </c>
      <c r="L2248" t="s">
        <v>109</v>
      </c>
      <c r="M2248">
        <v>9</v>
      </c>
      <c r="N2248" t="str">
        <f>VLOOKUP(M2248,[1]LOJA!$A:$B,2,0)</f>
        <v>ÚNICA</v>
      </c>
      <c r="O2248">
        <v>144</v>
      </c>
      <c r="P2248" t="str">
        <f>VLOOKUP(O2248,[1]OPERADORES!$A:$B,2,0)</f>
        <v>CINTIA DA SILVA CARLOS</v>
      </c>
      <c r="Q2248">
        <v>4</v>
      </c>
      <c r="S2248" t="s">
        <v>110</v>
      </c>
      <c r="T2248" s="1">
        <v>45975</v>
      </c>
      <c r="U2248">
        <v>-18</v>
      </c>
      <c r="V2248">
        <v>-18</v>
      </c>
    </row>
    <row r="2249" spans="1:22" x14ac:dyDescent="0.3">
      <c r="A2249" t="s">
        <v>4913</v>
      </c>
      <c r="B2249" t="s">
        <v>4914</v>
      </c>
      <c r="C2249" t="s">
        <v>13</v>
      </c>
      <c r="D2249" t="s">
        <v>137</v>
      </c>
      <c r="E2249" t="s">
        <v>15</v>
      </c>
      <c r="J2249" s="1">
        <v>45833</v>
      </c>
      <c r="K2249">
        <v>251</v>
      </c>
      <c r="L2249" t="s">
        <v>4915</v>
      </c>
      <c r="M2249">
        <v>4</v>
      </c>
      <c r="N2249" t="str">
        <f>VLOOKUP(M2249,[1]LOJA!$A:$B,2,0)</f>
        <v>ADE</v>
      </c>
      <c r="O2249">
        <v>226</v>
      </c>
      <c r="P2249" t="str">
        <f>VLOOKUP(O2249,[1]OPERADORES!$A:$B,2,0)</f>
        <v>MARIA FÉLIX</v>
      </c>
      <c r="Q2249">
        <v>4</v>
      </c>
      <c r="S2249" t="s">
        <v>4916</v>
      </c>
      <c r="T2249" s="1">
        <v>45833</v>
      </c>
      <c r="U2249">
        <v>-0.1</v>
      </c>
      <c r="V2249">
        <v>-0.1</v>
      </c>
    </row>
    <row r="2250" spans="1:22" x14ac:dyDescent="0.3">
      <c r="A2250" t="s">
        <v>4917</v>
      </c>
      <c r="B2250" t="s">
        <v>4918</v>
      </c>
      <c r="C2250" t="s">
        <v>13</v>
      </c>
      <c r="D2250" t="s">
        <v>4919</v>
      </c>
      <c r="E2250" t="s">
        <v>15</v>
      </c>
      <c r="J2250" s="1">
        <v>45776</v>
      </c>
      <c r="K2250">
        <v>308</v>
      </c>
      <c r="L2250" t="s">
        <v>4920</v>
      </c>
      <c r="M2250">
        <v>14</v>
      </c>
      <c r="N2250" t="str">
        <f>VLOOKUP(M2250,[1]LOJA!$A:$B,2,0)</f>
        <v>S IA</v>
      </c>
      <c r="O2250">
        <v>212</v>
      </c>
      <c r="P2250" t="str">
        <f>VLOOKUP(O2250,[1]OPERADORES!$A:$B,2,0)</f>
        <v>YASMIN</v>
      </c>
      <c r="Q2250">
        <v>4</v>
      </c>
      <c r="S2250" t="s">
        <v>4921</v>
      </c>
      <c r="T2250" s="1">
        <v>45776</v>
      </c>
      <c r="U2250">
        <v>-0.36</v>
      </c>
      <c r="V2250">
        <v>-0.36</v>
      </c>
    </row>
    <row r="2251" spans="1:22" x14ac:dyDescent="0.3">
      <c r="A2251" t="s">
        <v>4922</v>
      </c>
      <c r="B2251" t="s">
        <v>4923</v>
      </c>
      <c r="C2251" t="s">
        <v>848</v>
      </c>
      <c r="D2251" t="s">
        <v>6155</v>
      </c>
      <c r="E2251" t="s">
        <v>15</v>
      </c>
      <c r="J2251" s="1">
        <v>44862</v>
      </c>
      <c r="K2251">
        <v>1222</v>
      </c>
      <c r="L2251" t="s">
        <v>4924</v>
      </c>
      <c r="M2251">
        <v>4</v>
      </c>
      <c r="N2251" t="str">
        <f>VLOOKUP(M2251,[1]LOJA!$A:$B,2,0)</f>
        <v>ADE</v>
      </c>
      <c r="O2251">
        <v>109</v>
      </c>
      <c r="P2251" t="str">
        <f>VLOOKUP(O2251,[1]OPERADORES!$A:$B,2,0)</f>
        <v>LIVIA DE SOUZA</v>
      </c>
      <c r="Q2251">
        <v>7</v>
      </c>
      <c r="S2251" t="s">
        <v>4925</v>
      </c>
      <c r="T2251" s="1">
        <v>44832</v>
      </c>
      <c r="U2251" s="2">
        <v>4416.47</v>
      </c>
      <c r="V2251" s="2">
        <v>4416.47</v>
      </c>
    </row>
    <row r="2252" spans="1:22" x14ac:dyDescent="0.3">
      <c r="A2252" t="s">
        <v>4922</v>
      </c>
      <c r="B2252" t="s">
        <v>4923</v>
      </c>
      <c r="C2252" t="s">
        <v>848</v>
      </c>
      <c r="D2252" t="s">
        <v>6155</v>
      </c>
      <c r="E2252" t="s">
        <v>15</v>
      </c>
      <c r="J2252" s="1">
        <v>46042</v>
      </c>
      <c r="K2252">
        <v>42</v>
      </c>
      <c r="L2252" t="s">
        <v>4926</v>
      </c>
      <c r="M2252">
        <v>4</v>
      </c>
      <c r="N2252" t="str">
        <f>VLOOKUP(M2252,[1]LOJA!$A:$B,2,0)</f>
        <v>ADE</v>
      </c>
      <c r="O2252">
        <v>20</v>
      </c>
      <c r="P2252" t="str">
        <f>VLOOKUP(O2252,[1]OPERADORES!$A:$B,2,0)</f>
        <v>MAYARA</v>
      </c>
      <c r="Q2252">
        <v>12</v>
      </c>
      <c r="S2252" t="s">
        <v>4927</v>
      </c>
      <c r="T2252" s="1">
        <v>46028</v>
      </c>
      <c r="U2252">
        <v>256.89</v>
      </c>
      <c r="V2252">
        <v>256.89</v>
      </c>
    </row>
    <row r="2253" spans="1:22" x14ac:dyDescent="0.3">
      <c r="A2253" t="s">
        <v>4922</v>
      </c>
      <c r="B2253" t="s">
        <v>4923</v>
      </c>
      <c r="C2253" t="s">
        <v>848</v>
      </c>
      <c r="D2253" t="s">
        <v>6155</v>
      </c>
      <c r="E2253" t="s">
        <v>15</v>
      </c>
      <c r="J2253" s="1">
        <v>46073</v>
      </c>
      <c r="K2253">
        <v>11</v>
      </c>
      <c r="L2253" t="s">
        <v>6156</v>
      </c>
      <c r="M2253">
        <v>4</v>
      </c>
      <c r="N2253" t="str">
        <f>VLOOKUP(M2253,[1]LOJA!$A:$B,2,0)</f>
        <v>ADE</v>
      </c>
      <c r="O2253">
        <v>20</v>
      </c>
      <c r="P2253" t="str">
        <f>VLOOKUP(O2253,[1]OPERADORES!$A:$B,2,0)</f>
        <v>MAYARA</v>
      </c>
      <c r="Q2253">
        <v>12</v>
      </c>
      <c r="S2253" t="s">
        <v>6157</v>
      </c>
      <c r="T2253" s="1">
        <v>46056</v>
      </c>
      <c r="U2253" s="2">
        <v>5192.53</v>
      </c>
      <c r="V2253" s="2">
        <v>5192.53</v>
      </c>
    </row>
    <row r="2254" spans="1:22" x14ac:dyDescent="0.3">
      <c r="A2254" t="s">
        <v>6158</v>
      </c>
      <c r="B2254" t="s">
        <v>6159</v>
      </c>
      <c r="C2254" t="s">
        <v>324</v>
      </c>
      <c r="D2254" t="s">
        <v>6160</v>
      </c>
      <c r="E2254" t="s">
        <v>15</v>
      </c>
      <c r="J2254" s="1">
        <v>46084</v>
      </c>
      <c r="K2254">
        <v>0</v>
      </c>
      <c r="L2254" t="s">
        <v>6161</v>
      </c>
      <c r="M2254">
        <v>9</v>
      </c>
      <c r="N2254" t="str">
        <f>VLOOKUP(M2254,[1]LOJA!$A:$B,2,0)</f>
        <v>ÚNICA</v>
      </c>
      <c r="O2254">
        <v>236</v>
      </c>
      <c r="P2254" t="str">
        <f>VLOOKUP(O2254,[1]OPERADORES!$A:$B,2,0)</f>
        <v>DANIEL</v>
      </c>
      <c r="Q2254">
        <v>23</v>
      </c>
      <c r="R2254">
        <v>206197</v>
      </c>
      <c r="S2254" t="s">
        <v>55</v>
      </c>
      <c r="T2254" s="1">
        <v>45994</v>
      </c>
      <c r="U2254" s="2">
        <v>1069.3900000000001</v>
      </c>
      <c r="V2254" s="2">
        <v>1069.3900000000001</v>
      </c>
    </row>
    <row r="2255" spans="1:22" x14ac:dyDescent="0.3">
      <c r="A2255" t="s">
        <v>4928</v>
      </c>
      <c r="B2255" t="s">
        <v>32</v>
      </c>
      <c r="C2255" t="s">
        <v>43</v>
      </c>
      <c r="D2255" t="s">
        <v>137</v>
      </c>
      <c r="E2255" t="s">
        <v>15</v>
      </c>
      <c r="J2255" s="1">
        <v>45306</v>
      </c>
      <c r="K2255">
        <v>778</v>
      </c>
      <c r="L2255" t="s">
        <v>4929</v>
      </c>
      <c r="M2255">
        <v>13</v>
      </c>
      <c r="N2255" t="str">
        <f>VLOOKUP(M2255,[1]LOJA!$A:$B,2,0)</f>
        <v>CEILÂNDIA</v>
      </c>
      <c r="O2255">
        <v>209</v>
      </c>
      <c r="P2255" t="str">
        <f>VLOOKUP(O2255,[1]OPERADORES!$A:$B,2,0)</f>
        <v>MARIA WITHALINA CUNHA DE SOUZA</v>
      </c>
      <c r="Q2255">
        <v>4</v>
      </c>
      <c r="S2255" t="s">
        <v>4930</v>
      </c>
      <c r="T2255" s="1">
        <v>45306</v>
      </c>
      <c r="U2255">
        <v>-0.1</v>
      </c>
      <c r="V2255">
        <v>-0.1</v>
      </c>
    </row>
    <row r="2256" spans="1:22" x14ac:dyDescent="0.3">
      <c r="A2256" t="s">
        <v>4931</v>
      </c>
      <c r="B2256" t="s">
        <v>4932</v>
      </c>
      <c r="C2256" t="s">
        <v>1847</v>
      </c>
      <c r="D2256" t="s">
        <v>4933</v>
      </c>
      <c r="E2256" t="s">
        <v>15</v>
      </c>
      <c r="J2256" s="1">
        <v>44829</v>
      </c>
      <c r="K2256">
        <v>1255</v>
      </c>
      <c r="L2256" t="s">
        <v>4934</v>
      </c>
      <c r="M2256">
        <v>14</v>
      </c>
      <c r="N2256" t="str">
        <f>VLOOKUP(M2256,[1]LOJA!$A:$B,2,0)</f>
        <v>S IA</v>
      </c>
      <c r="O2256">
        <v>16</v>
      </c>
      <c r="P2256" t="str">
        <f>VLOOKUP(O2256,[1]OPERADORES!$A:$B,2,0)</f>
        <v>AYSLAN</v>
      </c>
      <c r="Q2256">
        <v>7</v>
      </c>
      <c r="S2256" t="s">
        <v>87</v>
      </c>
      <c r="T2256" s="1">
        <v>44799</v>
      </c>
      <c r="U2256">
        <v>37.9</v>
      </c>
      <c r="V2256">
        <v>37.9</v>
      </c>
    </row>
    <row r="2257" spans="1:22" x14ac:dyDescent="0.3">
      <c r="A2257" t="s">
        <v>4935</v>
      </c>
      <c r="B2257" t="s">
        <v>4936</v>
      </c>
      <c r="C2257" t="s">
        <v>13</v>
      </c>
      <c r="D2257" t="s">
        <v>1626</v>
      </c>
      <c r="E2257" t="s">
        <v>15</v>
      </c>
      <c r="J2257" s="1">
        <v>45849</v>
      </c>
      <c r="K2257">
        <v>235</v>
      </c>
      <c r="L2257" t="s">
        <v>4937</v>
      </c>
      <c r="M2257">
        <v>24</v>
      </c>
      <c r="N2257" t="str">
        <f>VLOOKUP(M2257,[1]LOJA!$A:$B,2,0)</f>
        <v>LUZIÂNIA</v>
      </c>
      <c r="O2257">
        <v>170</v>
      </c>
      <c r="P2257" t="str">
        <f>VLOOKUP(O2257,[1]OPERADORES!$A:$B,2,0)</f>
        <v>MARIA LUISA</v>
      </c>
      <c r="Q2257">
        <v>4</v>
      </c>
      <c r="S2257" t="s">
        <v>4938</v>
      </c>
      <c r="T2257" s="1">
        <v>45849</v>
      </c>
      <c r="U2257">
        <v>-3</v>
      </c>
      <c r="V2257">
        <v>-3</v>
      </c>
    </row>
    <row r="2258" spans="1:22" x14ac:dyDescent="0.3">
      <c r="A2258" t="s">
        <v>4939</v>
      </c>
      <c r="B2258" t="s">
        <v>4940</v>
      </c>
      <c r="C2258" t="s">
        <v>226</v>
      </c>
      <c r="D2258" t="s">
        <v>4941</v>
      </c>
      <c r="E2258" t="s">
        <v>15</v>
      </c>
      <c r="J2258" s="1">
        <v>46036</v>
      </c>
      <c r="K2258">
        <v>48</v>
      </c>
      <c r="L2258" t="s">
        <v>4942</v>
      </c>
      <c r="M2258">
        <v>9</v>
      </c>
      <c r="N2258" t="str">
        <f>VLOOKUP(M2258,[1]LOJA!$A:$B,2,0)</f>
        <v>ÚNICA</v>
      </c>
      <c r="O2258">
        <v>230</v>
      </c>
      <c r="P2258" t="str">
        <f>VLOOKUP(O2258,[1]OPERADORES!$A:$B,2,0)</f>
        <v>SÔNIA</v>
      </c>
      <c r="Q2258">
        <v>23</v>
      </c>
      <c r="R2258">
        <v>208490</v>
      </c>
      <c r="S2258" t="s">
        <v>51</v>
      </c>
      <c r="T2258" s="1">
        <v>46006</v>
      </c>
      <c r="U2258">
        <v>646.35</v>
      </c>
      <c r="V2258">
        <v>646.35</v>
      </c>
    </row>
    <row r="2259" spans="1:22" x14ac:dyDescent="0.3">
      <c r="A2259" t="s">
        <v>4939</v>
      </c>
      <c r="B2259" t="s">
        <v>4940</v>
      </c>
      <c r="C2259" t="s">
        <v>226</v>
      </c>
      <c r="D2259" t="s">
        <v>4941</v>
      </c>
      <c r="E2259" t="s">
        <v>15</v>
      </c>
      <c r="J2259" s="1">
        <v>46046</v>
      </c>
      <c r="K2259">
        <v>38</v>
      </c>
      <c r="L2259" t="s">
        <v>4943</v>
      </c>
      <c r="M2259">
        <v>9</v>
      </c>
      <c r="N2259" t="str">
        <f>VLOOKUP(M2259,[1]LOJA!$A:$B,2,0)</f>
        <v>ÚNICA</v>
      </c>
      <c r="O2259">
        <v>230</v>
      </c>
      <c r="P2259" t="str">
        <f>VLOOKUP(O2259,[1]OPERADORES!$A:$B,2,0)</f>
        <v>SÔNIA</v>
      </c>
      <c r="Q2259">
        <v>23</v>
      </c>
      <c r="R2259">
        <v>190755</v>
      </c>
      <c r="S2259" t="s">
        <v>780</v>
      </c>
      <c r="T2259" s="1">
        <v>45926</v>
      </c>
      <c r="U2259">
        <v>279.43</v>
      </c>
      <c r="V2259">
        <v>279.43</v>
      </c>
    </row>
    <row r="2260" spans="1:22" x14ac:dyDescent="0.3">
      <c r="A2260" t="s">
        <v>4939</v>
      </c>
      <c r="B2260" t="s">
        <v>4940</v>
      </c>
      <c r="C2260" t="s">
        <v>226</v>
      </c>
      <c r="D2260" t="s">
        <v>4941</v>
      </c>
      <c r="E2260" t="s">
        <v>15</v>
      </c>
      <c r="J2260" s="1">
        <v>46060</v>
      </c>
      <c r="K2260">
        <v>24</v>
      </c>
      <c r="L2260" t="s">
        <v>4944</v>
      </c>
      <c r="M2260">
        <v>9</v>
      </c>
      <c r="N2260" t="str">
        <f>VLOOKUP(M2260,[1]LOJA!$A:$B,2,0)</f>
        <v>ÚNICA</v>
      </c>
      <c r="O2260">
        <v>230</v>
      </c>
      <c r="P2260" t="str">
        <f>VLOOKUP(O2260,[1]OPERADORES!$A:$B,2,0)</f>
        <v>SÔNIA</v>
      </c>
      <c r="Q2260">
        <v>23</v>
      </c>
      <c r="R2260">
        <v>212104</v>
      </c>
      <c r="S2260" t="s">
        <v>1169</v>
      </c>
      <c r="T2260" s="1">
        <v>46030</v>
      </c>
      <c r="U2260">
        <v>500.8</v>
      </c>
      <c r="V2260">
        <v>500.8</v>
      </c>
    </row>
    <row r="2261" spans="1:22" x14ac:dyDescent="0.3">
      <c r="A2261" t="s">
        <v>4939</v>
      </c>
      <c r="B2261" t="s">
        <v>4940</v>
      </c>
      <c r="C2261" t="s">
        <v>226</v>
      </c>
      <c r="D2261" t="s">
        <v>4941</v>
      </c>
      <c r="E2261" t="s">
        <v>15</v>
      </c>
      <c r="J2261" s="1">
        <v>46066</v>
      </c>
      <c r="K2261">
        <v>18</v>
      </c>
      <c r="L2261" t="s">
        <v>6162</v>
      </c>
      <c r="M2261">
        <v>9</v>
      </c>
      <c r="N2261" t="str">
        <f>VLOOKUP(M2261,[1]LOJA!$A:$B,2,0)</f>
        <v>ÚNICA</v>
      </c>
      <c r="O2261">
        <v>230</v>
      </c>
      <c r="P2261" t="str">
        <f>VLOOKUP(O2261,[1]OPERADORES!$A:$B,2,0)</f>
        <v>SÔNIA</v>
      </c>
      <c r="Q2261">
        <v>23</v>
      </c>
      <c r="R2261">
        <v>208508</v>
      </c>
      <c r="S2261" t="s">
        <v>53</v>
      </c>
      <c r="T2261" s="1">
        <v>46006</v>
      </c>
      <c r="U2261">
        <v>646.35</v>
      </c>
      <c r="V2261">
        <v>646.35</v>
      </c>
    </row>
    <row r="2262" spans="1:22" x14ac:dyDescent="0.3">
      <c r="A2262" t="s">
        <v>4945</v>
      </c>
      <c r="B2262" t="s">
        <v>4946</v>
      </c>
      <c r="C2262" t="s">
        <v>293</v>
      </c>
      <c r="D2262" t="s">
        <v>6163</v>
      </c>
      <c r="E2262" t="s">
        <v>15</v>
      </c>
      <c r="J2262" s="1">
        <v>46083</v>
      </c>
      <c r="K2262">
        <v>1</v>
      </c>
      <c r="L2262" t="s">
        <v>6164</v>
      </c>
      <c r="M2262">
        <v>24</v>
      </c>
      <c r="N2262" t="str">
        <f>VLOOKUP(M2262,[1]LOJA!$A:$B,2,0)</f>
        <v>LUZIÂNIA</v>
      </c>
      <c r="O2262">
        <v>192</v>
      </c>
      <c r="P2262" t="str">
        <f>VLOOKUP(O2262,[1]OPERADORES!$A:$B,2,0)</f>
        <v>CIDA</v>
      </c>
      <c r="Q2262">
        <v>27</v>
      </c>
      <c r="R2262">
        <v>1000020303</v>
      </c>
      <c r="S2262" t="s">
        <v>87</v>
      </c>
      <c r="T2262" s="1">
        <v>46053</v>
      </c>
      <c r="U2262">
        <v>540.5</v>
      </c>
      <c r="V2262">
        <v>540.5</v>
      </c>
    </row>
    <row r="2263" spans="1:22" x14ac:dyDescent="0.3">
      <c r="A2263" t="s">
        <v>4947</v>
      </c>
      <c r="B2263" t="s">
        <v>4948</v>
      </c>
      <c r="C2263" t="s">
        <v>13</v>
      </c>
      <c r="D2263" t="s">
        <v>4949</v>
      </c>
      <c r="E2263" t="s">
        <v>15</v>
      </c>
      <c r="J2263" s="1">
        <v>44931</v>
      </c>
      <c r="K2263">
        <v>1153</v>
      </c>
      <c r="L2263" t="s">
        <v>4950</v>
      </c>
      <c r="M2263">
        <v>1</v>
      </c>
      <c r="N2263" t="str">
        <f>VLOOKUP(M2263,[1]LOJA!$A:$B,2,0)</f>
        <v>GUARÁ</v>
      </c>
      <c r="O2263">
        <v>132</v>
      </c>
      <c r="P2263" t="str">
        <f>VLOOKUP(O2263,[1]OPERADORES!$A:$B,2,0)</f>
        <v>PAMELA GONÇALVES ROSA</v>
      </c>
      <c r="Q2263">
        <v>4</v>
      </c>
      <c r="S2263" t="s">
        <v>4951</v>
      </c>
      <c r="T2263" s="1">
        <v>44931</v>
      </c>
      <c r="U2263">
        <v>-0.01</v>
      </c>
      <c r="V2263">
        <v>-0.01</v>
      </c>
    </row>
    <row r="2264" spans="1:22" x14ac:dyDescent="0.3">
      <c r="A2264" t="s">
        <v>4947</v>
      </c>
      <c r="B2264" t="s">
        <v>4948</v>
      </c>
      <c r="C2264" t="s">
        <v>13</v>
      </c>
      <c r="D2264" t="s">
        <v>4949</v>
      </c>
      <c r="E2264" t="s">
        <v>15</v>
      </c>
      <c r="J2264" s="1">
        <v>45076</v>
      </c>
      <c r="K2264">
        <v>1008</v>
      </c>
      <c r="L2264" t="s">
        <v>4952</v>
      </c>
      <c r="M2264">
        <v>1</v>
      </c>
      <c r="N2264" t="str">
        <f>VLOOKUP(M2264,[1]LOJA!$A:$B,2,0)</f>
        <v>GUARÁ</v>
      </c>
      <c r="O2264">
        <v>28</v>
      </c>
      <c r="P2264" t="str">
        <f>VLOOKUP(O2264,[1]OPERADORES!$A:$B,2,0)</f>
        <v>GABRIELA</v>
      </c>
      <c r="Q2264">
        <v>4</v>
      </c>
      <c r="S2264" t="s">
        <v>4953</v>
      </c>
      <c r="T2264" s="1">
        <v>45076</v>
      </c>
      <c r="U2264">
        <v>-7</v>
      </c>
      <c r="V2264">
        <v>-7</v>
      </c>
    </row>
    <row r="2265" spans="1:22" x14ac:dyDescent="0.3">
      <c r="A2265" t="s">
        <v>6165</v>
      </c>
      <c r="B2265" t="s">
        <v>6166</v>
      </c>
      <c r="C2265" t="s">
        <v>13</v>
      </c>
      <c r="D2265" t="s">
        <v>6167</v>
      </c>
      <c r="E2265" t="s">
        <v>15</v>
      </c>
      <c r="J2265" s="1">
        <v>46072</v>
      </c>
      <c r="K2265">
        <v>12</v>
      </c>
      <c r="L2265" t="s">
        <v>6168</v>
      </c>
      <c r="M2265">
        <v>12</v>
      </c>
      <c r="N2265" t="str">
        <f>VLOOKUP(M2265,[1]LOJA!$A:$B,2,0)</f>
        <v>SOFNORTE</v>
      </c>
      <c r="O2265">
        <v>60</v>
      </c>
      <c r="P2265" t="str">
        <f>VLOOKUP(O2265,[1]OPERADORES!$A:$B,2,0)</f>
        <v>ALEXANDRA</v>
      </c>
      <c r="Q2265">
        <v>4</v>
      </c>
      <c r="S2265" t="s">
        <v>6169</v>
      </c>
      <c r="T2265" s="1">
        <v>46072</v>
      </c>
      <c r="U2265">
        <v>-4.57</v>
      </c>
      <c r="V2265">
        <v>-4.57</v>
      </c>
    </row>
    <row r="2266" spans="1:22" x14ac:dyDescent="0.3">
      <c r="A2266" t="s">
        <v>6170</v>
      </c>
      <c r="B2266" t="s">
        <v>6171</v>
      </c>
      <c r="C2266" t="s">
        <v>13</v>
      </c>
      <c r="D2266" t="s">
        <v>6172</v>
      </c>
      <c r="E2266" t="s">
        <v>15</v>
      </c>
      <c r="J2266" s="1">
        <v>46084</v>
      </c>
      <c r="K2266">
        <v>0</v>
      </c>
      <c r="L2266" t="s">
        <v>6173</v>
      </c>
      <c r="M2266">
        <v>22</v>
      </c>
      <c r="N2266" t="str">
        <f>VLOOKUP(M2266,[1]LOJA!$A:$B,2,0)</f>
        <v>GUARÁ</v>
      </c>
      <c r="O2266">
        <v>238</v>
      </c>
      <c r="P2266" t="str">
        <f>VLOOKUP(O2266,[1]OPERADORES!$A:$B,2,0)</f>
        <v>BIANCA</v>
      </c>
      <c r="Q2266">
        <v>4</v>
      </c>
      <c r="S2266" t="s">
        <v>110</v>
      </c>
      <c r="T2266" s="1">
        <v>46084</v>
      </c>
      <c r="U2266">
        <v>-31.7</v>
      </c>
      <c r="V2266">
        <v>-31.7</v>
      </c>
    </row>
    <row r="2267" spans="1:22" x14ac:dyDescent="0.3">
      <c r="A2267" t="s">
        <v>4954</v>
      </c>
      <c r="B2267" t="s">
        <v>4955</v>
      </c>
      <c r="C2267" t="s">
        <v>13</v>
      </c>
      <c r="D2267" t="s">
        <v>2163</v>
      </c>
      <c r="E2267" t="s">
        <v>15</v>
      </c>
      <c r="J2267" s="1">
        <v>45056</v>
      </c>
      <c r="K2267">
        <v>1028</v>
      </c>
      <c r="L2267" t="s">
        <v>4956</v>
      </c>
      <c r="M2267">
        <v>16</v>
      </c>
      <c r="N2267" t="str">
        <f>VLOOKUP(M2267,[1]LOJA!$A:$B,2,0)</f>
        <v>AG LINDAS</v>
      </c>
      <c r="O2267">
        <v>126</v>
      </c>
      <c r="P2267" t="str">
        <f>VLOOKUP(O2267,[1]OPERADORES!$A:$B,2,0)</f>
        <v>CESAR OLIVIEIRA DE ARAUJO</v>
      </c>
      <c r="Q2267">
        <v>4</v>
      </c>
      <c r="S2267" t="s">
        <v>4957</v>
      </c>
      <c r="T2267" s="1">
        <v>45056</v>
      </c>
      <c r="U2267">
        <v>-24.5</v>
      </c>
      <c r="V2267">
        <v>-24.5</v>
      </c>
    </row>
    <row r="2268" spans="1:22" x14ac:dyDescent="0.3">
      <c r="A2268" t="s">
        <v>4954</v>
      </c>
      <c r="B2268" t="s">
        <v>4955</v>
      </c>
      <c r="C2268" t="s">
        <v>13</v>
      </c>
      <c r="D2268" t="s">
        <v>2163</v>
      </c>
      <c r="E2268" t="s">
        <v>15</v>
      </c>
      <c r="J2268" s="1">
        <v>45058</v>
      </c>
      <c r="K2268">
        <v>1026</v>
      </c>
      <c r="L2268" t="s">
        <v>3154</v>
      </c>
      <c r="M2268">
        <v>16</v>
      </c>
      <c r="N2268" t="str">
        <f>VLOOKUP(M2268,[1]LOJA!$A:$B,2,0)</f>
        <v>AG LINDAS</v>
      </c>
      <c r="O2268">
        <v>174</v>
      </c>
      <c r="P2268" t="str">
        <f>VLOOKUP(O2268,[1]OPERADORES!$A:$B,2,0)</f>
        <v>MIRIÃ LOBATO RODRIGUES</v>
      </c>
      <c r="Q2268">
        <v>4</v>
      </c>
      <c r="S2268" t="s">
        <v>110</v>
      </c>
      <c r="T2268" s="1">
        <v>45058</v>
      </c>
      <c r="U2268">
        <v>-15.5</v>
      </c>
      <c r="V2268">
        <v>-15.5</v>
      </c>
    </row>
    <row r="2269" spans="1:22" x14ac:dyDescent="0.3">
      <c r="A2269" t="s">
        <v>4958</v>
      </c>
      <c r="B2269" t="s">
        <v>4959</v>
      </c>
      <c r="C2269" t="s">
        <v>13</v>
      </c>
      <c r="D2269" t="s">
        <v>98</v>
      </c>
      <c r="E2269" t="s">
        <v>15</v>
      </c>
      <c r="J2269" s="1">
        <v>44888</v>
      </c>
      <c r="K2269">
        <v>1196</v>
      </c>
      <c r="L2269" t="s">
        <v>4960</v>
      </c>
      <c r="M2269">
        <v>13</v>
      </c>
      <c r="N2269" t="str">
        <f>VLOOKUP(M2269,[1]LOJA!$A:$B,2,0)</f>
        <v>CEILÂNDIA</v>
      </c>
      <c r="O2269">
        <v>67</v>
      </c>
      <c r="P2269" t="str">
        <f>VLOOKUP(O2269,[1]OPERADORES!$A:$B,2,0)</f>
        <v>ERIKA</v>
      </c>
      <c r="Q2269">
        <v>10</v>
      </c>
      <c r="S2269" t="s">
        <v>4961</v>
      </c>
      <c r="T2269" s="1">
        <v>44888</v>
      </c>
      <c r="U2269">
        <v>-2</v>
      </c>
      <c r="V2269">
        <v>-2</v>
      </c>
    </row>
    <row r="2270" spans="1:22" x14ac:dyDescent="0.3">
      <c r="A2270" t="s">
        <v>4962</v>
      </c>
      <c r="B2270" t="s">
        <v>32</v>
      </c>
      <c r="C2270" t="s">
        <v>13</v>
      </c>
      <c r="D2270" t="s">
        <v>280</v>
      </c>
      <c r="E2270" t="s">
        <v>15</v>
      </c>
      <c r="J2270" s="1">
        <v>45870</v>
      </c>
      <c r="K2270">
        <v>214</v>
      </c>
      <c r="L2270" t="s">
        <v>16</v>
      </c>
      <c r="M2270">
        <v>24</v>
      </c>
      <c r="N2270" t="str">
        <f>VLOOKUP(M2270,[1]LOJA!$A:$B,2,0)</f>
        <v>LUZIÂNIA</v>
      </c>
      <c r="O2270">
        <v>170</v>
      </c>
      <c r="P2270" t="str">
        <f>VLOOKUP(O2270,[1]OPERADORES!$A:$B,2,0)</f>
        <v>MARIA LUISA</v>
      </c>
      <c r="Q2270">
        <v>4</v>
      </c>
      <c r="S2270" t="s">
        <v>4963</v>
      </c>
      <c r="T2270" s="1">
        <v>45870</v>
      </c>
      <c r="U2270">
        <v>-1</v>
      </c>
      <c r="V2270">
        <v>-1</v>
      </c>
    </row>
    <row r="2271" spans="1:22" x14ac:dyDescent="0.3">
      <c r="A2271" t="s">
        <v>4964</v>
      </c>
      <c r="B2271" t="s">
        <v>4965</v>
      </c>
      <c r="C2271" t="s">
        <v>13</v>
      </c>
      <c r="D2271" t="s">
        <v>4966</v>
      </c>
      <c r="E2271" t="s">
        <v>15</v>
      </c>
      <c r="J2271" s="1">
        <v>44696</v>
      </c>
      <c r="K2271">
        <v>1388</v>
      </c>
      <c r="L2271" t="s">
        <v>4967</v>
      </c>
      <c r="M2271">
        <v>6</v>
      </c>
      <c r="N2271" t="str">
        <f>VLOOKUP(M2271,[1]LOJA!$A:$B,2,0)</f>
        <v>GAMA</v>
      </c>
      <c r="O2271">
        <v>20</v>
      </c>
      <c r="P2271" t="str">
        <f>VLOOKUP(O2271,[1]OPERADORES!$A:$B,2,0)</f>
        <v>MAYARA</v>
      </c>
      <c r="Q2271">
        <v>20</v>
      </c>
      <c r="R2271">
        <v>1000014736</v>
      </c>
      <c r="S2271" t="s">
        <v>4968</v>
      </c>
      <c r="T2271" s="1">
        <v>44683</v>
      </c>
      <c r="U2271" s="2">
        <v>3656.45</v>
      </c>
      <c r="V2271" s="2">
        <v>3656.45</v>
      </c>
    </row>
    <row r="2272" spans="1:22" x14ac:dyDescent="0.3">
      <c r="A2272" t="s">
        <v>4964</v>
      </c>
      <c r="B2272" t="s">
        <v>4965</v>
      </c>
      <c r="C2272" t="s">
        <v>13</v>
      </c>
      <c r="D2272" t="s">
        <v>4966</v>
      </c>
      <c r="E2272" t="s">
        <v>15</v>
      </c>
      <c r="J2272" s="1">
        <v>44727</v>
      </c>
      <c r="K2272">
        <v>1357</v>
      </c>
      <c r="L2272" t="s">
        <v>4969</v>
      </c>
      <c r="M2272">
        <v>6</v>
      </c>
      <c r="N2272" t="str">
        <f>VLOOKUP(M2272,[1]LOJA!$A:$B,2,0)</f>
        <v>GAMA</v>
      </c>
      <c r="O2272">
        <v>20</v>
      </c>
      <c r="P2272" t="str">
        <f>VLOOKUP(O2272,[1]OPERADORES!$A:$B,2,0)</f>
        <v>MAYARA</v>
      </c>
      <c r="Q2272">
        <v>20</v>
      </c>
      <c r="R2272">
        <v>1000014737</v>
      </c>
      <c r="S2272" t="s">
        <v>4970</v>
      </c>
      <c r="T2272" s="1">
        <v>44714</v>
      </c>
      <c r="U2272">
        <v>976.31</v>
      </c>
      <c r="V2272">
        <v>976.31</v>
      </c>
    </row>
    <row r="2273" spans="1:22" x14ac:dyDescent="0.3">
      <c r="A2273" t="s">
        <v>4971</v>
      </c>
      <c r="B2273" t="s">
        <v>4972</v>
      </c>
      <c r="C2273" t="s">
        <v>255</v>
      </c>
      <c r="D2273" t="s">
        <v>4973</v>
      </c>
      <c r="E2273" t="s">
        <v>15</v>
      </c>
      <c r="J2273" s="1">
        <v>45698</v>
      </c>
      <c r="K2273">
        <v>386</v>
      </c>
      <c r="L2273" t="s">
        <v>4974</v>
      </c>
      <c r="M2273">
        <v>9</v>
      </c>
      <c r="N2273" t="str">
        <f>VLOOKUP(M2273,[1]LOJA!$A:$B,2,0)</f>
        <v>ÚNICA</v>
      </c>
      <c r="O2273">
        <v>231</v>
      </c>
      <c r="P2273" t="str">
        <f>VLOOKUP(O2273,[1]OPERADORES!$A:$B,2,0)</f>
        <v>EDIJANE</v>
      </c>
      <c r="Q2273">
        <v>4</v>
      </c>
      <c r="S2273" t="s">
        <v>4975</v>
      </c>
      <c r="T2273" s="1">
        <v>45698</v>
      </c>
      <c r="U2273">
        <v>-49.4</v>
      </c>
      <c r="V2273">
        <v>-49.4</v>
      </c>
    </row>
    <row r="2274" spans="1:22" x14ac:dyDescent="0.3">
      <c r="A2274" t="s">
        <v>4976</v>
      </c>
      <c r="B2274" t="s">
        <v>4977</v>
      </c>
      <c r="C2274" t="s">
        <v>13</v>
      </c>
      <c r="D2274" t="s">
        <v>280</v>
      </c>
      <c r="E2274" t="s">
        <v>15</v>
      </c>
      <c r="J2274" s="1">
        <v>45280</v>
      </c>
      <c r="K2274">
        <v>804</v>
      </c>
      <c r="L2274" t="s">
        <v>4978</v>
      </c>
      <c r="M2274">
        <v>13</v>
      </c>
      <c r="N2274" t="str">
        <f>VLOOKUP(M2274,[1]LOJA!$A:$B,2,0)</f>
        <v>CEILÂNDIA</v>
      </c>
      <c r="O2274">
        <v>86</v>
      </c>
      <c r="P2274" t="str">
        <f>VLOOKUP(O2274,[1]OPERADORES!$A:$B,2,0)</f>
        <v>AMANDA</v>
      </c>
      <c r="Q2274">
        <v>7</v>
      </c>
      <c r="S2274" t="s">
        <v>4979</v>
      </c>
      <c r="T2274" s="1">
        <v>45280</v>
      </c>
      <c r="U2274">
        <v>-1</v>
      </c>
      <c r="V2274">
        <v>-1</v>
      </c>
    </row>
    <row r="2275" spans="1:22" x14ac:dyDescent="0.3">
      <c r="A2275" t="s">
        <v>4980</v>
      </c>
      <c r="B2275" t="s">
        <v>4981</v>
      </c>
      <c r="C2275" t="s">
        <v>13</v>
      </c>
      <c r="D2275" t="s">
        <v>4982</v>
      </c>
      <c r="E2275" t="s">
        <v>15</v>
      </c>
      <c r="J2275" s="1">
        <v>45884</v>
      </c>
      <c r="K2275">
        <v>200</v>
      </c>
      <c r="L2275" t="s">
        <v>4983</v>
      </c>
      <c r="M2275">
        <v>9</v>
      </c>
      <c r="N2275" t="str">
        <f>VLOOKUP(M2275,[1]LOJA!$A:$B,2,0)</f>
        <v>ÚNICA</v>
      </c>
      <c r="O2275">
        <v>84</v>
      </c>
      <c r="P2275" t="str">
        <f>VLOOKUP(O2275,[1]OPERADORES!$A:$B,2,0)</f>
        <v>JEICY AZEVEDO</v>
      </c>
      <c r="Q2275">
        <v>4</v>
      </c>
      <c r="S2275" t="s">
        <v>4984</v>
      </c>
      <c r="T2275" s="1">
        <v>45884</v>
      </c>
      <c r="U2275">
        <v>-50</v>
      </c>
      <c r="V2275">
        <v>-50</v>
      </c>
    </row>
    <row r="2276" spans="1:22" x14ac:dyDescent="0.3">
      <c r="A2276" t="s">
        <v>4985</v>
      </c>
      <c r="B2276" t="s">
        <v>4986</v>
      </c>
      <c r="C2276" t="s">
        <v>13</v>
      </c>
      <c r="D2276" t="s">
        <v>4987</v>
      </c>
      <c r="E2276" t="s">
        <v>15</v>
      </c>
      <c r="J2276" s="1">
        <v>45924</v>
      </c>
      <c r="K2276">
        <v>160</v>
      </c>
      <c r="L2276" t="s">
        <v>4988</v>
      </c>
      <c r="M2276">
        <v>13</v>
      </c>
      <c r="N2276" t="str">
        <f>VLOOKUP(M2276,[1]LOJA!$A:$B,2,0)</f>
        <v>CEILÂNDIA</v>
      </c>
      <c r="O2276">
        <v>67</v>
      </c>
      <c r="P2276" t="str">
        <f>VLOOKUP(O2276,[1]OPERADORES!$A:$B,2,0)</f>
        <v>ERIKA</v>
      </c>
      <c r="Q2276">
        <v>10</v>
      </c>
      <c r="S2276" t="s">
        <v>4989</v>
      </c>
      <c r="T2276" s="1">
        <v>45924</v>
      </c>
      <c r="U2276">
        <v>-0.03</v>
      </c>
      <c r="V2276">
        <v>-0.03</v>
      </c>
    </row>
    <row r="2277" spans="1:22" x14ac:dyDescent="0.3">
      <c r="A2277" t="s">
        <v>4985</v>
      </c>
      <c r="B2277" t="s">
        <v>4986</v>
      </c>
      <c r="C2277" t="s">
        <v>13</v>
      </c>
      <c r="D2277" t="s">
        <v>4987</v>
      </c>
      <c r="E2277" t="s">
        <v>15</v>
      </c>
      <c r="J2277" s="1">
        <v>46034</v>
      </c>
      <c r="K2277">
        <v>50</v>
      </c>
      <c r="L2277" t="s">
        <v>4990</v>
      </c>
      <c r="M2277">
        <v>13</v>
      </c>
      <c r="N2277" t="str">
        <f>VLOOKUP(M2277,[1]LOJA!$A:$B,2,0)</f>
        <v>CEILÂNDIA</v>
      </c>
      <c r="O2277">
        <v>67</v>
      </c>
      <c r="P2277" t="str">
        <f>VLOOKUP(O2277,[1]OPERADORES!$A:$B,2,0)</f>
        <v>ERIKA</v>
      </c>
      <c r="Q2277">
        <v>7</v>
      </c>
      <c r="S2277" t="s">
        <v>110</v>
      </c>
      <c r="T2277" s="1">
        <v>46034</v>
      </c>
      <c r="U2277">
        <v>-1</v>
      </c>
      <c r="V2277">
        <v>-1</v>
      </c>
    </row>
    <row r="2278" spans="1:22" x14ac:dyDescent="0.3">
      <c r="A2278" t="s">
        <v>4991</v>
      </c>
      <c r="B2278" t="s">
        <v>4992</v>
      </c>
      <c r="C2278" t="s">
        <v>13</v>
      </c>
      <c r="D2278" t="s">
        <v>6174</v>
      </c>
      <c r="E2278" t="s">
        <v>15</v>
      </c>
      <c r="J2278" s="1">
        <v>46045</v>
      </c>
      <c r="K2278">
        <v>39</v>
      </c>
      <c r="L2278" t="s">
        <v>4993</v>
      </c>
      <c r="M2278">
        <v>9</v>
      </c>
      <c r="N2278" t="str">
        <f>VLOOKUP(M2278,[1]LOJA!$A:$B,2,0)</f>
        <v>ÚNICA</v>
      </c>
      <c r="O2278">
        <v>144</v>
      </c>
      <c r="P2278" t="str">
        <f>VLOOKUP(O2278,[1]OPERADORES!$A:$B,2,0)</f>
        <v>CINTIA DA SILVA CARLOS</v>
      </c>
      <c r="Q2278">
        <v>4</v>
      </c>
      <c r="S2278" t="s">
        <v>4994</v>
      </c>
      <c r="T2278" s="1">
        <v>46045</v>
      </c>
      <c r="U2278">
        <v>-10</v>
      </c>
      <c r="V2278">
        <v>-10</v>
      </c>
    </row>
    <row r="2279" spans="1:22" x14ac:dyDescent="0.3">
      <c r="A2279" t="s">
        <v>4995</v>
      </c>
      <c r="B2279" t="s">
        <v>32</v>
      </c>
      <c r="C2279" t="s">
        <v>13</v>
      </c>
      <c r="D2279" t="s">
        <v>4996</v>
      </c>
      <c r="E2279" t="s">
        <v>15</v>
      </c>
      <c r="J2279" s="1">
        <v>45573</v>
      </c>
      <c r="K2279">
        <v>511</v>
      </c>
      <c r="L2279" t="s">
        <v>4997</v>
      </c>
      <c r="M2279">
        <v>14</v>
      </c>
      <c r="N2279" t="str">
        <f>VLOOKUP(M2279,[1]LOJA!$A:$B,2,0)</f>
        <v>S IA</v>
      </c>
      <c r="O2279">
        <v>227</v>
      </c>
      <c r="P2279" t="str">
        <f>VLOOKUP(O2279,[1]OPERADORES!$A:$B,2,0)</f>
        <v>WHALISSON</v>
      </c>
      <c r="Q2279">
        <v>4</v>
      </c>
      <c r="S2279" t="s">
        <v>4998</v>
      </c>
      <c r="T2279" s="1">
        <v>45573</v>
      </c>
      <c r="U2279">
        <v>-13.47</v>
      </c>
      <c r="V2279">
        <v>-13.47</v>
      </c>
    </row>
    <row r="2280" spans="1:22" x14ac:dyDescent="0.3">
      <c r="A2280" t="s">
        <v>4999</v>
      </c>
      <c r="B2280" t="s">
        <v>5000</v>
      </c>
      <c r="C2280" t="s">
        <v>13</v>
      </c>
      <c r="D2280" t="s">
        <v>1777</v>
      </c>
      <c r="E2280" t="s">
        <v>15</v>
      </c>
      <c r="J2280" s="1">
        <v>44711</v>
      </c>
      <c r="K2280">
        <v>1373</v>
      </c>
      <c r="L2280" t="s">
        <v>5001</v>
      </c>
      <c r="M2280">
        <v>14</v>
      </c>
      <c r="N2280" t="str">
        <f>VLOOKUP(M2280,[1]LOJA!$A:$B,2,0)</f>
        <v>S IA</v>
      </c>
      <c r="O2280">
        <v>84</v>
      </c>
      <c r="P2280" t="str">
        <f>VLOOKUP(O2280,[1]OPERADORES!$A:$B,2,0)</f>
        <v>JEICY AZEVEDO</v>
      </c>
      <c r="Q2280">
        <v>4</v>
      </c>
      <c r="S2280" t="s">
        <v>5002</v>
      </c>
      <c r="T2280" s="1">
        <v>44711</v>
      </c>
      <c r="U2280">
        <v>-0.04</v>
      </c>
      <c r="V2280">
        <v>-0.04</v>
      </c>
    </row>
    <row r="2281" spans="1:22" x14ac:dyDescent="0.3">
      <c r="A2281" t="s">
        <v>5003</v>
      </c>
      <c r="B2281" t="s">
        <v>5004</v>
      </c>
      <c r="C2281" t="s">
        <v>13</v>
      </c>
      <c r="D2281" t="s">
        <v>5005</v>
      </c>
      <c r="E2281" t="s">
        <v>15</v>
      </c>
      <c r="J2281" s="1">
        <v>45623</v>
      </c>
      <c r="K2281">
        <v>461</v>
      </c>
      <c r="L2281" t="s">
        <v>5006</v>
      </c>
      <c r="M2281">
        <v>8</v>
      </c>
      <c r="N2281" t="str">
        <f>VLOOKUP(M2281,[1]LOJA!$A:$B,2,0)</f>
        <v>LUZIÂNIA</v>
      </c>
      <c r="O2281">
        <v>170</v>
      </c>
      <c r="P2281" t="str">
        <f>VLOOKUP(O2281,[1]OPERADORES!$A:$B,2,0)</f>
        <v>MARIA LUISA</v>
      </c>
      <c r="Q2281">
        <v>4</v>
      </c>
      <c r="S2281" t="s">
        <v>5007</v>
      </c>
      <c r="T2281" s="1">
        <v>45621</v>
      </c>
      <c r="U2281">
        <v>-0.65</v>
      </c>
      <c r="V2281">
        <v>-0.65</v>
      </c>
    </row>
    <row r="2282" spans="1:22" x14ac:dyDescent="0.3">
      <c r="A2282" t="s">
        <v>5003</v>
      </c>
      <c r="B2282" t="s">
        <v>5004</v>
      </c>
      <c r="C2282" t="s">
        <v>13</v>
      </c>
      <c r="D2282" t="s">
        <v>5005</v>
      </c>
      <c r="E2282" t="s">
        <v>15</v>
      </c>
      <c r="J2282" s="1">
        <v>45635</v>
      </c>
      <c r="K2282">
        <v>449</v>
      </c>
      <c r="L2282" t="s">
        <v>5008</v>
      </c>
      <c r="M2282">
        <v>8</v>
      </c>
      <c r="N2282" t="str">
        <f>VLOOKUP(M2282,[1]LOJA!$A:$B,2,0)</f>
        <v>LUZIÂNIA</v>
      </c>
      <c r="O2282">
        <v>170</v>
      </c>
      <c r="P2282" t="str">
        <f>VLOOKUP(O2282,[1]OPERADORES!$A:$B,2,0)</f>
        <v>MARIA LUISA</v>
      </c>
      <c r="Q2282">
        <v>4</v>
      </c>
      <c r="S2282" t="s">
        <v>5009</v>
      </c>
      <c r="T2282" s="1">
        <v>45635</v>
      </c>
      <c r="U2282">
        <v>-68</v>
      </c>
      <c r="V2282">
        <v>-68</v>
      </c>
    </row>
    <row r="2283" spans="1:22" x14ac:dyDescent="0.3">
      <c r="A2283" t="s">
        <v>5010</v>
      </c>
      <c r="B2283" t="s">
        <v>5011</v>
      </c>
      <c r="C2283" t="s">
        <v>13</v>
      </c>
      <c r="D2283" t="s">
        <v>5012</v>
      </c>
      <c r="E2283" t="s">
        <v>15</v>
      </c>
      <c r="J2283" s="1">
        <v>44875</v>
      </c>
      <c r="K2283">
        <v>1209</v>
      </c>
      <c r="L2283" t="s">
        <v>5013</v>
      </c>
      <c r="M2283">
        <v>4</v>
      </c>
      <c r="N2283" t="str">
        <f>VLOOKUP(M2283,[1]LOJA!$A:$B,2,0)</f>
        <v>ADE</v>
      </c>
      <c r="O2283">
        <v>109</v>
      </c>
      <c r="P2283" t="str">
        <f>VLOOKUP(O2283,[1]OPERADORES!$A:$B,2,0)</f>
        <v>LIVIA DE SOUZA</v>
      </c>
      <c r="Q2283">
        <v>4</v>
      </c>
      <c r="S2283" t="s">
        <v>5014</v>
      </c>
      <c r="T2283" s="1">
        <v>44875</v>
      </c>
      <c r="U2283">
        <v>-77</v>
      </c>
      <c r="V2283">
        <v>-77</v>
      </c>
    </row>
    <row r="2284" spans="1:22" x14ac:dyDescent="0.3">
      <c r="A2284" t="s">
        <v>5010</v>
      </c>
      <c r="B2284" t="s">
        <v>5011</v>
      </c>
      <c r="C2284" t="s">
        <v>13</v>
      </c>
      <c r="D2284" t="s">
        <v>5012</v>
      </c>
      <c r="E2284" t="s">
        <v>15</v>
      </c>
      <c r="J2284" s="1">
        <v>44875</v>
      </c>
      <c r="K2284">
        <v>1209</v>
      </c>
      <c r="L2284" t="s">
        <v>5015</v>
      </c>
      <c r="M2284">
        <v>4</v>
      </c>
      <c r="N2284" t="str">
        <f>VLOOKUP(M2284,[1]LOJA!$A:$B,2,0)</f>
        <v>ADE</v>
      </c>
      <c r="O2284">
        <v>107</v>
      </c>
      <c r="P2284" t="str">
        <f>VLOOKUP(O2284,[1]OPERADORES!$A:$B,2,0)</f>
        <v>DAIANA PORTELA</v>
      </c>
      <c r="Q2284">
        <v>7</v>
      </c>
      <c r="S2284" t="s">
        <v>5016</v>
      </c>
      <c r="T2284" s="1">
        <v>44875</v>
      </c>
      <c r="U2284">
        <v>-27</v>
      </c>
      <c r="V2284">
        <v>-27</v>
      </c>
    </row>
    <row r="2285" spans="1:22" x14ac:dyDescent="0.3">
      <c r="A2285" t="s">
        <v>5017</v>
      </c>
      <c r="B2285" t="s">
        <v>5018</v>
      </c>
      <c r="C2285" t="s">
        <v>30</v>
      </c>
      <c r="D2285" t="s">
        <v>5019</v>
      </c>
      <c r="E2285" t="s">
        <v>15</v>
      </c>
      <c r="J2285" s="1">
        <v>44951</v>
      </c>
      <c r="K2285">
        <v>1133</v>
      </c>
      <c r="L2285" t="s">
        <v>5020</v>
      </c>
      <c r="M2285">
        <v>14</v>
      </c>
      <c r="N2285" t="str">
        <f>VLOOKUP(M2285,[1]LOJA!$A:$B,2,0)</f>
        <v>S IA</v>
      </c>
      <c r="O2285">
        <v>16</v>
      </c>
      <c r="P2285" t="str">
        <f>VLOOKUP(O2285,[1]OPERADORES!$A:$B,2,0)</f>
        <v>AYSLAN</v>
      </c>
      <c r="Q2285">
        <v>4</v>
      </c>
      <c r="S2285" t="s">
        <v>5021</v>
      </c>
      <c r="T2285" s="1">
        <v>44951</v>
      </c>
      <c r="U2285">
        <v>-27.9</v>
      </c>
      <c r="V2285">
        <v>-27.9</v>
      </c>
    </row>
    <row r="2286" spans="1:22" x14ac:dyDescent="0.3">
      <c r="A2286" t="s">
        <v>5022</v>
      </c>
      <c r="B2286" t="s">
        <v>5023</v>
      </c>
      <c r="C2286" t="s">
        <v>207</v>
      </c>
      <c r="D2286" t="s">
        <v>6175</v>
      </c>
      <c r="E2286" t="s">
        <v>15</v>
      </c>
      <c r="J2286" s="1">
        <v>44503</v>
      </c>
      <c r="K2286">
        <v>1581</v>
      </c>
      <c r="L2286" t="s">
        <v>5024</v>
      </c>
      <c r="M2286">
        <v>1</v>
      </c>
      <c r="N2286" t="str">
        <f>VLOOKUP(M2286,[1]LOJA!$A:$B,2,0)</f>
        <v>GUARÁ</v>
      </c>
      <c r="O2286">
        <v>132</v>
      </c>
      <c r="P2286" t="str">
        <f>VLOOKUP(O2286,[1]OPERADORES!$A:$B,2,0)</f>
        <v>PAMELA GONÇALVES ROSA</v>
      </c>
      <c r="Q2286">
        <v>4</v>
      </c>
      <c r="S2286" t="s">
        <v>5025</v>
      </c>
      <c r="T2286" s="1">
        <v>44503</v>
      </c>
      <c r="U2286">
        <v>-10</v>
      </c>
      <c r="V2286">
        <v>-10</v>
      </c>
    </row>
    <row r="2287" spans="1:22" x14ac:dyDescent="0.3">
      <c r="A2287" t="s">
        <v>5022</v>
      </c>
      <c r="B2287" t="s">
        <v>5023</v>
      </c>
      <c r="C2287" t="s">
        <v>207</v>
      </c>
      <c r="D2287" t="s">
        <v>6175</v>
      </c>
      <c r="E2287" t="s">
        <v>15</v>
      </c>
      <c r="J2287" s="1">
        <v>46077</v>
      </c>
      <c r="K2287">
        <v>7</v>
      </c>
      <c r="L2287" t="s">
        <v>6176</v>
      </c>
      <c r="M2287">
        <v>22</v>
      </c>
      <c r="N2287" t="str">
        <f>VLOOKUP(M2287,[1]LOJA!$A:$B,2,0)</f>
        <v>GUARÁ</v>
      </c>
      <c r="O2287">
        <v>16</v>
      </c>
      <c r="P2287" t="str">
        <f>VLOOKUP(O2287,[1]OPERADORES!$A:$B,2,0)</f>
        <v>AYSLAN</v>
      </c>
      <c r="Q2287">
        <v>27</v>
      </c>
      <c r="R2287">
        <v>1000019700</v>
      </c>
      <c r="S2287" t="s">
        <v>46</v>
      </c>
      <c r="T2287" s="1">
        <v>46017</v>
      </c>
      <c r="U2287">
        <v>143.11000000000001</v>
      </c>
      <c r="V2287">
        <v>143.11000000000001</v>
      </c>
    </row>
    <row r="2288" spans="1:22" x14ac:dyDescent="0.3">
      <c r="A2288" t="s">
        <v>5022</v>
      </c>
      <c r="B2288" t="s">
        <v>5023</v>
      </c>
      <c r="C2288" t="s">
        <v>207</v>
      </c>
      <c r="D2288" t="s">
        <v>6175</v>
      </c>
      <c r="E2288" t="s">
        <v>15</v>
      </c>
      <c r="J2288" s="1">
        <v>46078</v>
      </c>
      <c r="K2288">
        <v>6</v>
      </c>
      <c r="L2288" t="s">
        <v>6177</v>
      </c>
      <c r="M2288">
        <v>22</v>
      </c>
      <c r="N2288" t="str">
        <f>VLOOKUP(M2288,[1]LOJA!$A:$B,2,0)</f>
        <v>GUARÁ</v>
      </c>
      <c r="O2288">
        <v>16</v>
      </c>
      <c r="P2288" t="str">
        <f>VLOOKUP(O2288,[1]OPERADORES!$A:$B,2,0)</f>
        <v>AYSLAN</v>
      </c>
      <c r="Q2288">
        <v>27</v>
      </c>
      <c r="R2288">
        <v>1000020231</v>
      </c>
      <c r="S2288" t="s">
        <v>87</v>
      </c>
      <c r="T2288" s="1">
        <v>46048</v>
      </c>
      <c r="U2288">
        <v>122</v>
      </c>
      <c r="V2288">
        <v>122</v>
      </c>
    </row>
    <row r="2289" spans="1:22" x14ac:dyDescent="0.3">
      <c r="A2289" t="s">
        <v>5022</v>
      </c>
      <c r="B2289" t="s">
        <v>5023</v>
      </c>
      <c r="C2289" t="s">
        <v>207</v>
      </c>
      <c r="D2289" t="s">
        <v>6175</v>
      </c>
      <c r="E2289" t="s">
        <v>15</v>
      </c>
      <c r="J2289" s="1">
        <v>46081</v>
      </c>
      <c r="K2289">
        <v>3</v>
      </c>
      <c r="L2289" t="s">
        <v>6178</v>
      </c>
      <c r="M2289">
        <v>22</v>
      </c>
      <c r="N2289" t="str">
        <f>VLOOKUP(M2289,[1]LOJA!$A:$B,2,0)</f>
        <v>GUARÁ</v>
      </c>
      <c r="O2289">
        <v>93</v>
      </c>
      <c r="P2289" t="str">
        <f>VLOOKUP(O2289,[1]OPERADORES!$A:$B,2,0)</f>
        <v>PATRICIA</v>
      </c>
      <c r="Q2289">
        <v>27</v>
      </c>
      <c r="R2289">
        <v>1000020284</v>
      </c>
      <c r="S2289" t="s">
        <v>51</v>
      </c>
      <c r="T2289" s="1">
        <v>46051</v>
      </c>
      <c r="U2289">
        <v>313.35000000000002</v>
      </c>
      <c r="V2289">
        <v>313.35000000000002</v>
      </c>
    </row>
    <row r="2290" spans="1:22" x14ac:dyDescent="0.3">
      <c r="A2290" t="s">
        <v>5022</v>
      </c>
      <c r="B2290" t="s">
        <v>5023</v>
      </c>
      <c r="C2290" t="s">
        <v>207</v>
      </c>
      <c r="D2290" t="s">
        <v>6175</v>
      </c>
      <c r="E2290" t="s">
        <v>15</v>
      </c>
      <c r="J2290" s="1">
        <v>46081</v>
      </c>
      <c r="K2290">
        <v>3</v>
      </c>
      <c r="L2290" t="s">
        <v>6179</v>
      </c>
      <c r="M2290">
        <v>22</v>
      </c>
      <c r="N2290" t="str">
        <f>VLOOKUP(M2290,[1]LOJA!$A:$B,2,0)</f>
        <v>GUARÁ</v>
      </c>
      <c r="O2290">
        <v>93</v>
      </c>
      <c r="P2290" t="str">
        <f>VLOOKUP(O2290,[1]OPERADORES!$A:$B,2,0)</f>
        <v>PATRICIA</v>
      </c>
      <c r="Q2290">
        <v>27</v>
      </c>
      <c r="R2290">
        <v>1000020287</v>
      </c>
      <c r="S2290" t="s">
        <v>51</v>
      </c>
      <c r="T2290" s="1">
        <v>46051</v>
      </c>
      <c r="U2290">
        <v>249.67</v>
      </c>
      <c r="V2290">
        <v>249.67</v>
      </c>
    </row>
    <row r="2291" spans="1:22" x14ac:dyDescent="0.3">
      <c r="A2291" t="s">
        <v>5022</v>
      </c>
      <c r="B2291" t="s">
        <v>5023</v>
      </c>
      <c r="C2291" t="s">
        <v>207</v>
      </c>
      <c r="D2291" t="s">
        <v>6175</v>
      </c>
      <c r="E2291" t="s">
        <v>15</v>
      </c>
      <c r="J2291" s="1">
        <v>46084</v>
      </c>
      <c r="K2291">
        <v>0</v>
      </c>
      <c r="L2291" t="s">
        <v>6180</v>
      </c>
      <c r="M2291">
        <v>22</v>
      </c>
      <c r="N2291" t="str">
        <f>VLOOKUP(M2291,[1]LOJA!$A:$B,2,0)</f>
        <v>GUARÁ</v>
      </c>
      <c r="O2291">
        <v>16</v>
      </c>
      <c r="P2291" t="str">
        <f>VLOOKUP(O2291,[1]OPERADORES!$A:$B,2,0)</f>
        <v>AYSLAN</v>
      </c>
      <c r="Q2291">
        <v>27</v>
      </c>
      <c r="R2291">
        <v>1000019356</v>
      </c>
      <c r="S2291" t="s">
        <v>1526</v>
      </c>
      <c r="T2291" s="1">
        <v>45994</v>
      </c>
      <c r="U2291">
        <v>513.70000000000005</v>
      </c>
      <c r="V2291">
        <v>513.70000000000005</v>
      </c>
    </row>
    <row r="2292" spans="1:22" x14ac:dyDescent="0.3">
      <c r="A2292" t="s">
        <v>5026</v>
      </c>
      <c r="B2292" t="s">
        <v>2207</v>
      </c>
      <c r="C2292" t="s">
        <v>1067</v>
      </c>
      <c r="D2292" t="s">
        <v>5027</v>
      </c>
      <c r="E2292" t="s">
        <v>15</v>
      </c>
      <c r="J2292" s="1">
        <v>45294</v>
      </c>
      <c r="K2292">
        <v>790</v>
      </c>
      <c r="L2292" t="s">
        <v>5028</v>
      </c>
      <c r="M2292">
        <v>4</v>
      </c>
      <c r="N2292" t="str">
        <f>VLOOKUP(M2292,[1]LOJA!$A:$B,2,0)</f>
        <v>ADE</v>
      </c>
      <c r="O2292">
        <v>20</v>
      </c>
      <c r="P2292" t="str">
        <f>VLOOKUP(O2292,[1]OPERADORES!$A:$B,2,0)</f>
        <v>MAYARA</v>
      </c>
      <c r="Q2292">
        <v>20</v>
      </c>
      <c r="R2292">
        <v>1000010457</v>
      </c>
      <c r="S2292" t="s">
        <v>5029</v>
      </c>
      <c r="T2292" s="1">
        <v>45141</v>
      </c>
      <c r="U2292" s="2">
        <v>1824</v>
      </c>
      <c r="V2292" s="2">
        <v>1824</v>
      </c>
    </row>
    <row r="2293" spans="1:22" x14ac:dyDescent="0.3">
      <c r="A2293" t="s">
        <v>5030</v>
      </c>
      <c r="B2293" t="s">
        <v>5031</v>
      </c>
      <c r="C2293" t="s">
        <v>13</v>
      </c>
      <c r="D2293" t="s">
        <v>5032</v>
      </c>
      <c r="E2293" t="s">
        <v>15</v>
      </c>
      <c r="J2293" s="1">
        <v>44607</v>
      </c>
      <c r="K2293">
        <v>1477</v>
      </c>
      <c r="L2293" t="s">
        <v>5033</v>
      </c>
      <c r="M2293">
        <v>12</v>
      </c>
      <c r="N2293" t="str">
        <f>VLOOKUP(M2293,[1]LOJA!$A:$B,2,0)</f>
        <v>SOFNORTE</v>
      </c>
      <c r="O2293">
        <v>84</v>
      </c>
      <c r="P2293" t="str">
        <f>VLOOKUP(O2293,[1]OPERADORES!$A:$B,2,0)</f>
        <v>JEICY AZEVEDO</v>
      </c>
      <c r="Q2293">
        <v>12</v>
      </c>
      <c r="S2293" t="s">
        <v>5034</v>
      </c>
      <c r="T2293" s="1">
        <v>44596</v>
      </c>
      <c r="U2293" s="2">
        <v>5270.46</v>
      </c>
      <c r="V2293" s="2">
        <v>5270.46</v>
      </c>
    </row>
    <row r="2294" spans="1:22" x14ac:dyDescent="0.3">
      <c r="A2294" t="s">
        <v>6181</v>
      </c>
      <c r="B2294" t="s">
        <v>6182</v>
      </c>
      <c r="C2294" t="s">
        <v>13</v>
      </c>
      <c r="D2294" t="s">
        <v>3396</v>
      </c>
      <c r="E2294" t="s">
        <v>15</v>
      </c>
      <c r="J2294" s="1">
        <v>46084</v>
      </c>
      <c r="K2294">
        <v>0</v>
      </c>
      <c r="L2294" t="s">
        <v>6183</v>
      </c>
      <c r="M2294">
        <v>15</v>
      </c>
      <c r="N2294" t="str">
        <f>VLOOKUP(M2294,[1]LOJA!$A:$B,2,0)</f>
        <v>UNAÍ</v>
      </c>
      <c r="O2294">
        <v>232</v>
      </c>
      <c r="P2294" t="str">
        <f>VLOOKUP(O2294,[1]OPERADORES!$A:$B,2,0)</f>
        <v>JESSICA GUIMARÃES</v>
      </c>
      <c r="Q2294">
        <v>4</v>
      </c>
      <c r="S2294" t="s">
        <v>6184</v>
      </c>
      <c r="T2294" s="1">
        <v>46084</v>
      </c>
      <c r="U2294">
        <v>-4</v>
      </c>
      <c r="V2294">
        <v>-4</v>
      </c>
    </row>
    <row r="2295" spans="1:22" x14ac:dyDescent="0.3">
      <c r="A2295" t="s">
        <v>5035</v>
      </c>
      <c r="B2295" t="s">
        <v>32</v>
      </c>
      <c r="C2295" t="s">
        <v>13</v>
      </c>
      <c r="D2295" t="s">
        <v>6185</v>
      </c>
      <c r="E2295" t="s">
        <v>15</v>
      </c>
      <c r="J2295" s="1">
        <v>46082</v>
      </c>
      <c r="K2295">
        <v>2</v>
      </c>
      <c r="L2295" t="s">
        <v>6186</v>
      </c>
      <c r="M2295">
        <v>4</v>
      </c>
      <c r="N2295" t="str">
        <f>VLOOKUP(M2295,[1]LOJA!$A:$B,2,0)</f>
        <v>ADE</v>
      </c>
      <c r="O2295">
        <v>132</v>
      </c>
      <c r="P2295" t="str">
        <f>VLOOKUP(O2295,[1]OPERADORES!$A:$B,2,0)</f>
        <v>PAMELA GONÇALVES ROSA</v>
      </c>
      <c r="Q2295">
        <v>7</v>
      </c>
      <c r="S2295" t="s">
        <v>87</v>
      </c>
      <c r="T2295" s="1">
        <v>46052</v>
      </c>
      <c r="U2295">
        <v>32.520000000000003</v>
      </c>
      <c r="V2295">
        <v>32.520000000000003</v>
      </c>
    </row>
    <row r="2296" spans="1:22" x14ac:dyDescent="0.3">
      <c r="A2296" t="s">
        <v>5036</v>
      </c>
      <c r="B2296" t="s">
        <v>5037</v>
      </c>
      <c r="C2296" t="s">
        <v>297</v>
      </c>
      <c r="D2296" t="s">
        <v>6187</v>
      </c>
      <c r="E2296" t="s">
        <v>15</v>
      </c>
      <c r="J2296" s="1">
        <v>45188</v>
      </c>
      <c r="K2296">
        <v>896</v>
      </c>
      <c r="L2296" t="s">
        <v>5038</v>
      </c>
      <c r="M2296">
        <v>12</v>
      </c>
      <c r="N2296" t="str">
        <f>VLOOKUP(M2296,[1]LOJA!$A:$B,2,0)</f>
        <v>SOFNORTE</v>
      </c>
      <c r="O2296">
        <v>60</v>
      </c>
      <c r="P2296" t="str">
        <f>VLOOKUP(O2296,[1]OPERADORES!$A:$B,2,0)</f>
        <v>ALEXANDRA</v>
      </c>
      <c r="Q2296">
        <v>4</v>
      </c>
      <c r="S2296" t="s">
        <v>5039</v>
      </c>
      <c r="T2296" s="1">
        <v>45188</v>
      </c>
      <c r="U2296">
        <v>-3.28</v>
      </c>
      <c r="V2296">
        <v>-3.28</v>
      </c>
    </row>
    <row r="2297" spans="1:22" x14ac:dyDescent="0.3">
      <c r="A2297" t="s">
        <v>5036</v>
      </c>
      <c r="B2297" t="s">
        <v>5037</v>
      </c>
      <c r="C2297" t="s">
        <v>297</v>
      </c>
      <c r="D2297" t="s">
        <v>6187</v>
      </c>
      <c r="E2297" t="s">
        <v>15</v>
      </c>
      <c r="J2297" s="1">
        <v>45790</v>
      </c>
      <c r="K2297">
        <v>294</v>
      </c>
      <c r="L2297" t="s">
        <v>5040</v>
      </c>
      <c r="M2297">
        <v>12</v>
      </c>
      <c r="N2297" t="str">
        <f>VLOOKUP(M2297,[1]LOJA!$A:$B,2,0)</f>
        <v>SOFNORTE</v>
      </c>
      <c r="O2297">
        <v>209</v>
      </c>
      <c r="P2297" t="str">
        <f>VLOOKUP(O2297,[1]OPERADORES!$A:$B,2,0)</f>
        <v>MARIA WITHALINA CUNHA DE SOUZA</v>
      </c>
      <c r="Q2297">
        <v>4</v>
      </c>
      <c r="S2297" t="s">
        <v>5041</v>
      </c>
      <c r="T2297" s="1">
        <v>45790</v>
      </c>
      <c r="U2297">
        <v>-0.35</v>
      </c>
      <c r="V2297">
        <v>-0.35</v>
      </c>
    </row>
    <row r="2298" spans="1:22" x14ac:dyDescent="0.3">
      <c r="A2298" t="s">
        <v>5042</v>
      </c>
      <c r="B2298" t="s">
        <v>5043</v>
      </c>
      <c r="C2298" t="s">
        <v>2979</v>
      </c>
      <c r="D2298" t="s">
        <v>5044</v>
      </c>
      <c r="E2298" t="s">
        <v>15</v>
      </c>
      <c r="J2298" s="1">
        <v>45630</v>
      </c>
      <c r="K2298">
        <v>454</v>
      </c>
      <c r="L2298" t="s">
        <v>3538</v>
      </c>
      <c r="M2298">
        <v>14</v>
      </c>
      <c r="N2298" t="str">
        <f>VLOOKUP(M2298,[1]LOJA!$A:$B,2,0)</f>
        <v>S IA</v>
      </c>
      <c r="O2298">
        <v>54</v>
      </c>
      <c r="P2298" t="str">
        <f>VLOOKUP(O2298,[1]OPERADORES!$A:$B,2,0)</f>
        <v>ROBSON</v>
      </c>
      <c r="Q2298">
        <v>27</v>
      </c>
      <c r="R2298">
        <v>2000007825</v>
      </c>
      <c r="S2298" t="s">
        <v>5045</v>
      </c>
      <c r="T2298" s="1">
        <v>45576</v>
      </c>
      <c r="U2298">
        <v>315.2</v>
      </c>
      <c r="V2298">
        <v>315.2</v>
      </c>
    </row>
    <row r="2299" spans="1:22" x14ac:dyDescent="0.3">
      <c r="A2299" t="s">
        <v>6188</v>
      </c>
      <c r="B2299" t="s">
        <v>6189</v>
      </c>
      <c r="C2299" t="s">
        <v>13</v>
      </c>
      <c r="D2299" t="s">
        <v>6190</v>
      </c>
      <c r="E2299" t="s">
        <v>15</v>
      </c>
      <c r="J2299" s="1">
        <v>46084</v>
      </c>
      <c r="K2299">
        <v>0</v>
      </c>
      <c r="L2299" t="s">
        <v>6191</v>
      </c>
      <c r="M2299">
        <v>9</v>
      </c>
      <c r="N2299" t="str">
        <f>VLOOKUP(M2299,[1]LOJA!$A:$B,2,0)</f>
        <v>ÚNICA</v>
      </c>
      <c r="O2299">
        <v>236</v>
      </c>
      <c r="P2299" t="str">
        <f>VLOOKUP(O2299,[1]OPERADORES!$A:$B,2,0)</f>
        <v>DANIEL</v>
      </c>
      <c r="Q2299">
        <v>7</v>
      </c>
      <c r="S2299" t="s">
        <v>87</v>
      </c>
      <c r="T2299" s="1">
        <v>46083</v>
      </c>
      <c r="U2299">
        <v>256.72000000000003</v>
      </c>
      <c r="V2299">
        <v>256.72000000000003</v>
      </c>
    </row>
    <row r="2300" spans="1:22" x14ac:dyDescent="0.3">
      <c r="A2300" t="s">
        <v>5046</v>
      </c>
      <c r="B2300" t="s">
        <v>5047</v>
      </c>
      <c r="C2300" t="s">
        <v>13</v>
      </c>
      <c r="D2300" t="s">
        <v>5048</v>
      </c>
      <c r="E2300" t="s">
        <v>15</v>
      </c>
      <c r="J2300" s="1">
        <v>45633</v>
      </c>
      <c r="K2300">
        <v>451</v>
      </c>
      <c r="L2300" t="s">
        <v>5049</v>
      </c>
      <c r="M2300">
        <v>14</v>
      </c>
      <c r="N2300" t="str">
        <f>VLOOKUP(M2300,[1]LOJA!$A:$B,2,0)</f>
        <v>S IA</v>
      </c>
      <c r="O2300">
        <v>227</v>
      </c>
      <c r="P2300" t="str">
        <f>VLOOKUP(O2300,[1]OPERADORES!$A:$B,2,0)</f>
        <v>WHALISSON</v>
      </c>
      <c r="Q2300">
        <v>7</v>
      </c>
      <c r="S2300" t="s">
        <v>87</v>
      </c>
      <c r="T2300" s="1">
        <v>45632</v>
      </c>
      <c r="U2300">
        <v>120</v>
      </c>
      <c r="V2300">
        <v>120</v>
      </c>
    </row>
    <row r="2301" spans="1:22" x14ac:dyDescent="0.3">
      <c r="A2301" t="s">
        <v>5050</v>
      </c>
      <c r="B2301" t="s">
        <v>5051</v>
      </c>
      <c r="C2301" t="s">
        <v>297</v>
      </c>
      <c r="D2301" t="s">
        <v>6192</v>
      </c>
      <c r="E2301" t="s">
        <v>15</v>
      </c>
      <c r="J2301" s="1">
        <v>46082</v>
      </c>
      <c r="K2301">
        <v>2</v>
      </c>
      <c r="L2301" t="s">
        <v>6193</v>
      </c>
      <c r="M2301">
        <v>22</v>
      </c>
      <c r="N2301" t="str">
        <f>VLOOKUP(M2301,[1]LOJA!$A:$B,2,0)</f>
        <v>GUARÁ</v>
      </c>
      <c r="O2301">
        <v>93</v>
      </c>
      <c r="P2301" t="str">
        <f>VLOOKUP(O2301,[1]OPERADORES!$A:$B,2,0)</f>
        <v>PATRICIA</v>
      </c>
      <c r="Q2301">
        <v>27</v>
      </c>
      <c r="R2301">
        <v>1000020295</v>
      </c>
      <c r="S2301" t="s">
        <v>87</v>
      </c>
      <c r="T2301" s="1">
        <v>46052</v>
      </c>
      <c r="U2301">
        <v>137.69999999999999</v>
      </c>
      <c r="V2301">
        <v>137.69999999999999</v>
      </c>
    </row>
    <row r="2302" spans="1:22" x14ac:dyDescent="0.3">
      <c r="A2302" t="s">
        <v>5050</v>
      </c>
      <c r="B2302" t="s">
        <v>5051</v>
      </c>
      <c r="C2302" t="s">
        <v>297</v>
      </c>
      <c r="D2302" t="s">
        <v>6192</v>
      </c>
      <c r="E2302" t="s">
        <v>15</v>
      </c>
      <c r="J2302" s="1">
        <v>46084</v>
      </c>
      <c r="K2302">
        <v>0</v>
      </c>
      <c r="L2302" t="s">
        <v>6194</v>
      </c>
      <c r="M2302">
        <v>22</v>
      </c>
      <c r="N2302" t="str">
        <f>VLOOKUP(M2302,[1]LOJA!$A:$B,2,0)</f>
        <v>GUARÁ</v>
      </c>
      <c r="O2302">
        <v>93</v>
      </c>
      <c r="P2302" t="str">
        <f>VLOOKUP(O2302,[1]OPERADORES!$A:$B,2,0)</f>
        <v>PATRICIA</v>
      </c>
      <c r="Q2302">
        <v>27</v>
      </c>
      <c r="R2302">
        <v>1000019299</v>
      </c>
      <c r="S2302" t="s">
        <v>55</v>
      </c>
      <c r="T2302" s="1">
        <v>45994</v>
      </c>
      <c r="U2302">
        <v>274.56</v>
      </c>
      <c r="V2302">
        <v>274.56</v>
      </c>
    </row>
    <row r="2303" spans="1:22" x14ac:dyDescent="0.3">
      <c r="A2303" t="s">
        <v>5050</v>
      </c>
      <c r="B2303" t="s">
        <v>5051</v>
      </c>
      <c r="C2303" t="s">
        <v>297</v>
      </c>
      <c r="D2303" t="s">
        <v>6192</v>
      </c>
      <c r="E2303" t="s">
        <v>15</v>
      </c>
      <c r="J2303" s="1">
        <v>46084</v>
      </c>
      <c r="K2303">
        <v>0</v>
      </c>
      <c r="L2303" t="s">
        <v>6195</v>
      </c>
      <c r="M2303">
        <v>22</v>
      </c>
      <c r="N2303" t="str">
        <f>VLOOKUP(M2303,[1]LOJA!$A:$B,2,0)</f>
        <v>GUARÁ</v>
      </c>
      <c r="O2303">
        <v>93</v>
      </c>
      <c r="P2303" t="str">
        <f>VLOOKUP(O2303,[1]OPERADORES!$A:$B,2,0)</f>
        <v>PATRICIA</v>
      </c>
      <c r="Q2303">
        <v>27</v>
      </c>
      <c r="R2303">
        <v>1000019740</v>
      </c>
      <c r="S2303" t="s">
        <v>972</v>
      </c>
      <c r="T2303" s="1">
        <v>46024</v>
      </c>
      <c r="U2303">
        <v>312.70999999999998</v>
      </c>
      <c r="V2303">
        <v>312.70999999999998</v>
      </c>
    </row>
    <row r="2304" spans="1:22" x14ac:dyDescent="0.3">
      <c r="A2304" t="s">
        <v>5052</v>
      </c>
      <c r="B2304" t="s">
        <v>5053</v>
      </c>
      <c r="C2304" t="s">
        <v>226</v>
      </c>
      <c r="D2304" t="s">
        <v>6196</v>
      </c>
      <c r="E2304" t="s">
        <v>15</v>
      </c>
      <c r="J2304" s="1">
        <v>45924</v>
      </c>
      <c r="K2304">
        <v>160</v>
      </c>
      <c r="L2304" t="s">
        <v>5054</v>
      </c>
      <c r="M2304">
        <v>6</v>
      </c>
      <c r="N2304" t="str">
        <f>VLOOKUP(M2304,[1]LOJA!$A:$B,2,0)</f>
        <v>GAMA</v>
      </c>
      <c r="O2304">
        <v>241</v>
      </c>
      <c r="P2304" t="str">
        <f>VLOOKUP(O2304,[1]OPERADORES!$A:$B,2,0)</f>
        <v>PRISCILA</v>
      </c>
      <c r="Q2304">
        <v>4</v>
      </c>
      <c r="S2304" t="s">
        <v>5055</v>
      </c>
      <c r="T2304" s="1">
        <v>45924</v>
      </c>
      <c r="U2304">
        <v>-0.31</v>
      </c>
      <c r="V2304">
        <v>-0.31</v>
      </c>
    </row>
    <row r="2305" spans="1:22" x14ac:dyDescent="0.3">
      <c r="A2305" t="s">
        <v>5056</v>
      </c>
      <c r="B2305" t="s">
        <v>5057</v>
      </c>
      <c r="C2305" t="s">
        <v>324</v>
      </c>
      <c r="D2305" t="s">
        <v>5058</v>
      </c>
      <c r="E2305" t="s">
        <v>15</v>
      </c>
      <c r="J2305" s="1">
        <v>44800</v>
      </c>
      <c r="K2305">
        <v>1284</v>
      </c>
      <c r="L2305" t="s">
        <v>5059</v>
      </c>
      <c r="M2305">
        <v>14</v>
      </c>
      <c r="N2305" t="str">
        <f>VLOOKUP(M2305,[1]LOJA!$A:$B,2,0)</f>
        <v>S IA</v>
      </c>
      <c r="O2305">
        <v>20</v>
      </c>
      <c r="P2305" t="str">
        <f>VLOOKUP(O2305,[1]OPERADORES!$A:$B,2,0)</f>
        <v>MAYARA</v>
      </c>
      <c r="Q2305">
        <v>12</v>
      </c>
      <c r="S2305" t="s">
        <v>5060</v>
      </c>
      <c r="T2305" s="1">
        <v>44795</v>
      </c>
      <c r="U2305">
        <v>695.11</v>
      </c>
      <c r="V2305">
        <v>695.11</v>
      </c>
    </row>
    <row r="2306" spans="1:22" x14ac:dyDescent="0.3">
      <c r="A2306" t="s">
        <v>5056</v>
      </c>
      <c r="B2306" t="s">
        <v>5057</v>
      </c>
      <c r="C2306" t="s">
        <v>324</v>
      </c>
      <c r="D2306" t="s">
        <v>5058</v>
      </c>
      <c r="E2306" t="s">
        <v>15</v>
      </c>
      <c r="J2306" s="1">
        <v>45079</v>
      </c>
      <c r="K2306">
        <v>1005</v>
      </c>
      <c r="L2306" t="s">
        <v>5061</v>
      </c>
      <c r="M2306">
        <v>13</v>
      </c>
      <c r="N2306" t="str">
        <f>VLOOKUP(M2306,[1]LOJA!$A:$B,2,0)</f>
        <v>CEILÂNDIA</v>
      </c>
      <c r="O2306">
        <v>67</v>
      </c>
      <c r="P2306" t="str">
        <f>VLOOKUP(O2306,[1]OPERADORES!$A:$B,2,0)</f>
        <v>ERIKA</v>
      </c>
      <c r="Q2306">
        <v>4</v>
      </c>
      <c r="S2306" t="s">
        <v>5062</v>
      </c>
      <c r="T2306" s="1">
        <v>45079</v>
      </c>
      <c r="U2306">
        <v>-0.14000000000000001</v>
      </c>
      <c r="V2306">
        <v>-0.14000000000000001</v>
      </c>
    </row>
    <row r="2307" spans="1:22" x14ac:dyDescent="0.3">
      <c r="A2307" t="s">
        <v>5063</v>
      </c>
      <c r="B2307" t="s">
        <v>32</v>
      </c>
      <c r="C2307" t="s">
        <v>30</v>
      </c>
      <c r="D2307" t="s">
        <v>6197</v>
      </c>
      <c r="E2307" t="s">
        <v>15</v>
      </c>
      <c r="J2307" s="1">
        <v>46079</v>
      </c>
      <c r="K2307">
        <v>5</v>
      </c>
      <c r="L2307" t="s">
        <v>6198</v>
      </c>
      <c r="M2307">
        <v>12</v>
      </c>
      <c r="N2307" t="str">
        <f>VLOOKUP(M2307,[1]LOJA!$A:$B,2,0)</f>
        <v>SOFNORTE</v>
      </c>
      <c r="O2307">
        <v>209</v>
      </c>
      <c r="P2307" t="str">
        <f>VLOOKUP(O2307,[1]OPERADORES!$A:$B,2,0)</f>
        <v>MARIA WITHALINA CUNHA DE SOUZA</v>
      </c>
      <c r="Q2307">
        <v>4</v>
      </c>
      <c r="S2307" t="s">
        <v>6199</v>
      </c>
      <c r="T2307" s="1">
        <v>46079</v>
      </c>
      <c r="U2307">
        <v>-16.96</v>
      </c>
      <c r="V2307">
        <v>-16.96</v>
      </c>
    </row>
    <row r="2308" spans="1:22" x14ac:dyDescent="0.3">
      <c r="A2308" t="s">
        <v>5064</v>
      </c>
      <c r="B2308" t="s">
        <v>5065</v>
      </c>
      <c r="C2308" t="s">
        <v>207</v>
      </c>
      <c r="D2308" t="s">
        <v>5066</v>
      </c>
      <c r="E2308" t="s">
        <v>15</v>
      </c>
      <c r="J2308" s="1">
        <v>45474</v>
      </c>
      <c r="K2308">
        <v>610</v>
      </c>
      <c r="L2308" t="s">
        <v>5067</v>
      </c>
      <c r="M2308">
        <v>9</v>
      </c>
      <c r="N2308" t="str">
        <f>VLOOKUP(M2308,[1]LOJA!$A:$B,2,0)</f>
        <v>ÚNICA</v>
      </c>
      <c r="O2308">
        <v>174</v>
      </c>
      <c r="P2308" t="str">
        <f>VLOOKUP(O2308,[1]OPERADORES!$A:$B,2,0)</f>
        <v>MIRIÃ LOBATO RODRIGUES</v>
      </c>
      <c r="Q2308">
        <v>23</v>
      </c>
      <c r="R2308">
        <v>87951</v>
      </c>
      <c r="S2308" t="s">
        <v>5068</v>
      </c>
      <c r="T2308" s="1">
        <v>45414</v>
      </c>
      <c r="U2308" s="2">
        <v>1424.02</v>
      </c>
      <c r="V2308" s="2">
        <v>1424.02</v>
      </c>
    </row>
    <row r="2309" spans="1:22" x14ac:dyDescent="0.3">
      <c r="A2309" t="s">
        <v>5064</v>
      </c>
      <c r="B2309" t="s">
        <v>5065</v>
      </c>
      <c r="C2309" t="s">
        <v>207</v>
      </c>
      <c r="D2309" t="s">
        <v>5066</v>
      </c>
      <c r="E2309" t="s">
        <v>15</v>
      </c>
      <c r="J2309" s="1">
        <v>45504</v>
      </c>
      <c r="K2309">
        <v>580</v>
      </c>
      <c r="L2309" t="s">
        <v>5069</v>
      </c>
      <c r="M2309">
        <v>9</v>
      </c>
      <c r="N2309" t="str">
        <f>VLOOKUP(M2309,[1]LOJA!$A:$B,2,0)</f>
        <v>ÚNICA</v>
      </c>
      <c r="O2309">
        <v>174</v>
      </c>
      <c r="P2309" t="str">
        <f>VLOOKUP(O2309,[1]OPERADORES!$A:$B,2,0)</f>
        <v>MIRIÃ LOBATO RODRIGUES</v>
      </c>
      <c r="Q2309">
        <v>23</v>
      </c>
      <c r="R2309">
        <v>87969</v>
      </c>
      <c r="S2309" t="s">
        <v>55</v>
      </c>
      <c r="T2309" s="1">
        <v>45414</v>
      </c>
      <c r="U2309" s="2">
        <v>2424.02</v>
      </c>
      <c r="V2309" s="2">
        <v>2424.02</v>
      </c>
    </row>
    <row r="2310" spans="1:22" x14ac:dyDescent="0.3">
      <c r="A2310" t="s">
        <v>6200</v>
      </c>
      <c r="B2310" t="s">
        <v>6201</v>
      </c>
      <c r="C2310" t="s">
        <v>43</v>
      </c>
      <c r="D2310" t="s">
        <v>6202</v>
      </c>
      <c r="E2310" t="s">
        <v>15</v>
      </c>
      <c r="J2310" s="1">
        <v>46068</v>
      </c>
      <c r="K2310">
        <v>16</v>
      </c>
      <c r="L2310" t="s">
        <v>6203</v>
      </c>
      <c r="M2310">
        <v>13</v>
      </c>
      <c r="N2310" t="str">
        <f>VLOOKUP(M2310,[1]LOJA!$A:$B,2,0)</f>
        <v>CEILÂNDIA</v>
      </c>
      <c r="O2310">
        <v>86</v>
      </c>
      <c r="P2310" t="str">
        <f>VLOOKUP(O2310,[1]OPERADORES!$A:$B,2,0)</f>
        <v>AMANDA</v>
      </c>
      <c r="Q2310">
        <v>7</v>
      </c>
      <c r="S2310" t="s">
        <v>87</v>
      </c>
      <c r="T2310" s="1">
        <v>46030</v>
      </c>
      <c r="U2310">
        <v>146.81</v>
      </c>
      <c r="V2310">
        <v>146.81</v>
      </c>
    </row>
    <row r="2311" spans="1:22" x14ac:dyDescent="0.3">
      <c r="A2311" t="s">
        <v>5070</v>
      </c>
      <c r="B2311" t="s">
        <v>5071</v>
      </c>
      <c r="C2311" t="s">
        <v>13</v>
      </c>
      <c r="D2311" t="s">
        <v>5072</v>
      </c>
      <c r="E2311" t="s">
        <v>15</v>
      </c>
      <c r="J2311" s="1">
        <v>45946</v>
      </c>
      <c r="K2311">
        <v>138</v>
      </c>
      <c r="L2311" t="s">
        <v>5073</v>
      </c>
      <c r="M2311">
        <v>24</v>
      </c>
      <c r="N2311" t="str">
        <f>VLOOKUP(M2311,[1]LOJA!$A:$B,2,0)</f>
        <v>LUZIÂNIA</v>
      </c>
      <c r="O2311">
        <v>170</v>
      </c>
      <c r="P2311" t="str">
        <f>VLOOKUP(O2311,[1]OPERADORES!$A:$B,2,0)</f>
        <v>MARIA LUISA</v>
      </c>
      <c r="Q2311">
        <v>4</v>
      </c>
      <c r="S2311" t="s">
        <v>5074</v>
      </c>
      <c r="T2311" s="1">
        <v>45867</v>
      </c>
      <c r="U2311">
        <v>-24.04</v>
      </c>
      <c r="V2311">
        <v>-24.04</v>
      </c>
    </row>
    <row r="2312" spans="1:22" x14ac:dyDescent="0.3">
      <c r="A2312" t="s">
        <v>5075</v>
      </c>
      <c r="B2312" t="s">
        <v>32</v>
      </c>
      <c r="C2312" t="s">
        <v>13</v>
      </c>
      <c r="D2312" t="s">
        <v>5076</v>
      </c>
      <c r="E2312" t="s">
        <v>15</v>
      </c>
      <c r="J2312" s="1">
        <v>44877</v>
      </c>
      <c r="K2312">
        <v>1207</v>
      </c>
      <c r="L2312" t="s">
        <v>1569</v>
      </c>
      <c r="M2312">
        <v>13</v>
      </c>
      <c r="N2312" t="str">
        <f>VLOOKUP(M2312,[1]LOJA!$A:$B,2,0)</f>
        <v>CEILÂNDIA</v>
      </c>
      <c r="O2312">
        <v>67</v>
      </c>
      <c r="P2312" t="str">
        <f>VLOOKUP(O2312,[1]OPERADORES!$A:$B,2,0)</f>
        <v>ERIKA</v>
      </c>
      <c r="Q2312">
        <v>4</v>
      </c>
      <c r="S2312" t="s">
        <v>5077</v>
      </c>
      <c r="T2312" s="1">
        <v>44877</v>
      </c>
      <c r="U2312">
        <v>-0.21</v>
      </c>
      <c r="V2312">
        <v>-0.21</v>
      </c>
    </row>
    <row r="2313" spans="1:22" x14ac:dyDescent="0.3">
      <c r="A2313" t="s">
        <v>5078</v>
      </c>
      <c r="B2313" t="s">
        <v>5079</v>
      </c>
      <c r="C2313" t="s">
        <v>13</v>
      </c>
      <c r="D2313" t="s">
        <v>6204</v>
      </c>
      <c r="E2313" t="s">
        <v>15</v>
      </c>
      <c r="J2313" s="1">
        <v>44525</v>
      </c>
      <c r="K2313">
        <v>1559</v>
      </c>
      <c r="L2313" t="s">
        <v>5080</v>
      </c>
      <c r="M2313">
        <v>14</v>
      </c>
      <c r="N2313" t="str">
        <f>VLOOKUP(M2313,[1]LOJA!$A:$B,2,0)</f>
        <v>S IA</v>
      </c>
      <c r="O2313">
        <v>60</v>
      </c>
      <c r="P2313" t="str">
        <f>VLOOKUP(O2313,[1]OPERADORES!$A:$B,2,0)</f>
        <v>ALEXANDRA</v>
      </c>
      <c r="Q2313">
        <v>4</v>
      </c>
      <c r="S2313" t="s">
        <v>5081</v>
      </c>
      <c r="T2313" s="1">
        <v>44525</v>
      </c>
      <c r="U2313">
        <v>-4</v>
      </c>
      <c r="V2313">
        <v>-4</v>
      </c>
    </row>
    <row r="2314" spans="1:22" x14ac:dyDescent="0.3">
      <c r="A2314" t="s">
        <v>5082</v>
      </c>
      <c r="B2314" t="s">
        <v>5083</v>
      </c>
      <c r="C2314" t="s">
        <v>30</v>
      </c>
      <c r="D2314" t="s">
        <v>6205</v>
      </c>
      <c r="E2314" t="s">
        <v>15</v>
      </c>
      <c r="J2314" s="1">
        <v>46048</v>
      </c>
      <c r="K2314">
        <v>36</v>
      </c>
      <c r="L2314" t="s">
        <v>5084</v>
      </c>
      <c r="M2314">
        <v>9</v>
      </c>
      <c r="N2314" t="str">
        <f>VLOOKUP(M2314,[1]LOJA!$A:$B,2,0)</f>
        <v>ÚNICA</v>
      </c>
      <c r="O2314">
        <v>236</v>
      </c>
      <c r="P2314" t="str">
        <f>VLOOKUP(O2314,[1]OPERADORES!$A:$B,2,0)</f>
        <v>DANIEL</v>
      </c>
      <c r="Q2314">
        <v>4</v>
      </c>
      <c r="S2314" t="s">
        <v>5085</v>
      </c>
      <c r="T2314" s="1">
        <v>46048</v>
      </c>
      <c r="U2314">
        <v>-111.6</v>
      </c>
      <c r="V2314">
        <v>-111.6</v>
      </c>
    </row>
    <row r="2315" spans="1:22" x14ac:dyDescent="0.3">
      <c r="A2315" t="s">
        <v>5082</v>
      </c>
      <c r="B2315" t="s">
        <v>5083</v>
      </c>
      <c r="C2315" t="s">
        <v>30</v>
      </c>
      <c r="D2315" t="s">
        <v>6205</v>
      </c>
      <c r="E2315" t="s">
        <v>15</v>
      </c>
      <c r="J2315" s="1">
        <v>46078</v>
      </c>
      <c r="K2315">
        <v>6</v>
      </c>
      <c r="L2315" t="s">
        <v>6206</v>
      </c>
      <c r="M2315">
        <v>9</v>
      </c>
      <c r="N2315" t="str">
        <f>VLOOKUP(M2315,[1]LOJA!$A:$B,2,0)</f>
        <v>ÚNICA</v>
      </c>
      <c r="O2315">
        <v>236</v>
      </c>
      <c r="P2315" t="str">
        <f>VLOOKUP(O2315,[1]OPERADORES!$A:$B,2,0)</f>
        <v>DANIEL</v>
      </c>
      <c r="Q2315">
        <v>7</v>
      </c>
      <c r="S2315" t="s">
        <v>87</v>
      </c>
      <c r="T2315" s="1">
        <v>46048</v>
      </c>
      <c r="U2315">
        <v>111.6</v>
      </c>
      <c r="V2315">
        <v>111.6</v>
      </c>
    </row>
    <row r="2316" spans="1:22" x14ac:dyDescent="0.3">
      <c r="A2316" t="s">
        <v>5086</v>
      </c>
      <c r="B2316" t="s">
        <v>5087</v>
      </c>
      <c r="C2316" t="s">
        <v>13</v>
      </c>
      <c r="D2316" t="s">
        <v>2475</v>
      </c>
      <c r="E2316" t="s">
        <v>15</v>
      </c>
      <c r="J2316" s="1">
        <v>45992</v>
      </c>
      <c r="K2316">
        <v>92</v>
      </c>
      <c r="L2316" t="s">
        <v>5088</v>
      </c>
      <c r="M2316">
        <v>6</v>
      </c>
      <c r="N2316" t="str">
        <f>VLOOKUP(M2316,[1]LOJA!$A:$B,2,0)</f>
        <v>GAMA</v>
      </c>
      <c r="O2316">
        <v>246</v>
      </c>
      <c r="P2316" t="str">
        <f>VLOOKUP(O2316,[1]OPERADORES!$A:$B,2,0)</f>
        <v>VITORIA APARECIDA</v>
      </c>
      <c r="Q2316">
        <v>4</v>
      </c>
      <c r="S2316" t="s">
        <v>5089</v>
      </c>
      <c r="T2316" s="1">
        <v>45992</v>
      </c>
      <c r="U2316">
        <v>-0.67</v>
      </c>
      <c r="V2316">
        <v>-0.67</v>
      </c>
    </row>
    <row r="2317" spans="1:22" x14ac:dyDescent="0.3">
      <c r="A2317" t="s">
        <v>5090</v>
      </c>
      <c r="B2317" t="s">
        <v>5091</v>
      </c>
      <c r="C2317" t="s">
        <v>43</v>
      </c>
      <c r="D2317" t="s">
        <v>6207</v>
      </c>
      <c r="E2317" t="s">
        <v>15</v>
      </c>
      <c r="J2317" s="1">
        <v>45331</v>
      </c>
      <c r="K2317">
        <v>753</v>
      </c>
      <c r="L2317" t="s">
        <v>5092</v>
      </c>
      <c r="M2317">
        <v>9</v>
      </c>
      <c r="N2317" t="str">
        <f>VLOOKUP(M2317,[1]LOJA!$A:$B,2,0)</f>
        <v>ÚNICA</v>
      </c>
      <c r="O2317">
        <v>197</v>
      </c>
      <c r="P2317" t="str">
        <f>VLOOKUP(O2317,[1]OPERADORES!$A:$B,2,0)</f>
        <v xml:space="preserve">POLIANA LORRANE DE AMORIM </v>
      </c>
      <c r="Q2317">
        <v>4</v>
      </c>
      <c r="S2317" t="s">
        <v>5093</v>
      </c>
      <c r="T2317" s="1">
        <v>45331</v>
      </c>
      <c r="U2317">
        <v>-22.2</v>
      </c>
      <c r="V2317">
        <v>-22.2</v>
      </c>
    </row>
    <row r="2318" spans="1:22" x14ac:dyDescent="0.3">
      <c r="A2318" t="s">
        <v>5094</v>
      </c>
      <c r="B2318" t="s">
        <v>5095</v>
      </c>
      <c r="C2318" t="s">
        <v>324</v>
      </c>
      <c r="D2318" t="s">
        <v>5096</v>
      </c>
      <c r="E2318" t="s">
        <v>15</v>
      </c>
      <c r="J2318" s="1">
        <v>45930</v>
      </c>
      <c r="K2318">
        <v>154</v>
      </c>
      <c r="L2318" t="s">
        <v>5097</v>
      </c>
      <c r="M2318">
        <v>12</v>
      </c>
      <c r="N2318" t="str">
        <f>VLOOKUP(M2318,[1]LOJA!$A:$B,2,0)</f>
        <v>SOFNORTE</v>
      </c>
      <c r="O2318">
        <v>239</v>
      </c>
      <c r="P2318" t="str">
        <f>VLOOKUP(O2318,[1]OPERADORES!$A:$B,2,0)</f>
        <v>BRUNO</v>
      </c>
      <c r="Q2318">
        <v>7</v>
      </c>
      <c r="S2318" t="s">
        <v>87</v>
      </c>
      <c r="T2318" s="1">
        <v>45908</v>
      </c>
      <c r="U2318">
        <v>331.71</v>
      </c>
      <c r="V2318">
        <v>331.71</v>
      </c>
    </row>
    <row r="2319" spans="1:22" x14ac:dyDescent="0.3">
      <c r="A2319" t="s">
        <v>5094</v>
      </c>
      <c r="B2319" t="s">
        <v>5095</v>
      </c>
      <c r="C2319" t="s">
        <v>324</v>
      </c>
      <c r="D2319" t="s">
        <v>5096</v>
      </c>
      <c r="E2319" t="s">
        <v>15</v>
      </c>
      <c r="J2319" s="1">
        <v>46002</v>
      </c>
      <c r="K2319">
        <v>82</v>
      </c>
      <c r="L2319" t="s">
        <v>5098</v>
      </c>
      <c r="M2319">
        <v>12</v>
      </c>
      <c r="N2319" t="str">
        <f>VLOOKUP(M2319,[1]LOJA!$A:$B,2,0)</f>
        <v>SOFNORTE</v>
      </c>
      <c r="O2319">
        <v>209</v>
      </c>
      <c r="P2319" t="str">
        <f>VLOOKUP(O2319,[1]OPERADORES!$A:$B,2,0)</f>
        <v>MARIA WITHALINA CUNHA DE SOUZA</v>
      </c>
      <c r="Q2319">
        <v>4</v>
      </c>
      <c r="S2319" t="s">
        <v>5099</v>
      </c>
      <c r="T2319" s="1">
        <v>46002</v>
      </c>
      <c r="U2319">
        <v>-62.12</v>
      </c>
      <c r="V2319">
        <v>-62.12</v>
      </c>
    </row>
    <row r="2320" spans="1:22" x14ac:dyDescent="0.3">
      <c r="A2320" t="s">
        <v>5100</v>
      </c>
      <c r="B2320" t="s">
        <v>5101</v>
      </c>
      <c r="C2320" t="s">
        <v>207</v>
      </c>
      <c r="D2320" t="s">
        <v>6208</v>
      </c>
      <c r="E2320" t="s">
        <v>15</v>
      </c>
      <c r="J2320" s="1">
        <v>46000</v>
      </c>
      <c r="K2320">
        <v>84</v>
      </c>
      <c r="L2320" t="s">
        <v>5102</v>
      </c>
      <c r="M2320">
        <v>24</v>
      </c>
      <c r="N2320" t="str">
        <f>VLOOKUP(M2320,[1]LOJA!$A:$B,2,0)</f>
        <v>LUZIÂNIA</v>
      </c>
      <c r="O2320">
        <v>244</v>
      </c>
      <c r="P2320" t="str">
        <f>VLOOKUP(O2320,[1]OPERADORES!$A:$B,2,0)</f>
        <v>NATHALIA PEREIRA DA SILVA</v>
      </c>
      <c r="Q2320">
        <v>4</v>
      </c>
      <c r="S2320" t="s">
        <v>5103</v>
      </c>
      <c r="T2320" s="1">
        <v>46000</v>
      </c>
      <c r="U2320">
        <v>-0.01</v>
      </c>
      <c r="V2320">
        <v>-0.01</v>
      </c>
    </row>
    <row r="2321" spans="1:22" x14ac:dyDescent="0.3">
      <c r="A2321" t="s">
        <v>5104</v>
      </c>
      <c r="B2321" t="s">
        <v>5105</v>
      </c>
      <c r="C2321" t="s">
        <v>207</v>
      </c>
      <c r="D2321" t="s">
        <v>6209</v>
      </c>
      <c r="E2321" t="s">
        <v>15</v>
      </c>
      <c r="J2321" s="1">
        <v>45502</v>
      </c>
      <c r="K2321">
        <v>582</v>
      </c>
      <c r="L2321" t="s">
        <v>5106</v>
      </c>
      <c r="M2321">
        <v>9</v>
      </c>
      <c r="N2321" t="str">
        <f>VLOOKUP(M2321,[1]LOJA!$A:$B,2,0)</f>
        <v>ÚNICA</v>
      </c>
      <c r="O2321">
        <v>144</v>
      </c>
      <c r="P2321" t="str">
        <f>VLOOKUP(O2321,[1]OPERADORES!$A:$B,2,0)</f>
        <v>CINTIA DA SILVA CARLOS</v>
      </c>
      <c r="Q2321">
        <v>4</v>
      </c>
      <c r="S2321" t="s">
        <v>5107</v>
      </c>
      <c r="T2321" s="1">
        <v>45502</v>
      </c>
      <c r="U2321">
        <v>-5</v>
      </c>
      <c r="V2321">
        <v>-5</v>
      </c>
    </row>
    <row r="2322" spans="1:22" x14ac:dyDescent="0.3">
      <c r="A2322" t="s">
        <v>5108</v>
      </c>
      <c r="B2322" t="s">
        <v>5109</v>
      </c>
      <c r="C2322" t="s">
        <v>1067</v>
      </c>
      <c r="D2322" t="s">
        <v>6210</v>
      </c>
      <c r="E2322" t="s">
        <v>15</v>
      </c>
      <c r="J2322" s="1">
        <v>46062</v>
      </c>
      <c r="K2322">
        <v>22</v>
      </c>
      <c r="L2322" t="s">
        <v>5110</v>
      </c>
      <c r="M2322">
        <v>9</v>
      </c>
      <c r="N2322" t="str">
        <f>VLOOKUP(M2322,[1]LOJA!$A:$B,2,0)</f>
        <v>ÚNICA</v>
      </c>
      <c r="O2322">
        <v>135</v>
      </c>
      <c r="P2322" t="str">
        <f>VLOOKUP(O2322,[1]OPERADORES!$A:$B,2,0)</f>
        <v>SAMUEL DA COSTA F. CARVALHO</v>
      </c>
      <c r="Q2322">
        <v>4</v>
      </c>
      <c r="S2322" t="s">
        <v>5111</v>
      </c>
      <c r="T2322" s="1">
        <v>46062</v>
      </c>
      <c r="U2322" s="2">
        <v>-1061.6400000000001</v>
      </c>
      <c r="V2322" s="2">
        <v>-1061.6400000000001</v>
      </c>
    </row>
    <row r="2323" spans="1:22" x14ac:dyDescent="0.3">
      <c r="A2323" t="s">
        <v>5112</v>
      </c>
      <c r="B2323" t="s">
        <v>5113</v>
      </c>
      <c r="C2323" t="s">
        <v>13</v>
      </c>
      <c r="D2323" t="s">
        <v>5114</v>
      </c>
      <c r="E2323" t="s">
        <v>15</v>
      </c>
      <c r="J2323" s="1">
        <v>45946</v>
      </c>
      <c r="K2323">
        <v>138</v>
      </c>
      <c r="L2323" t="s">
        <v>5115</v>
      </c>
      <c r="M2323">
        <v>9</v>
      </c>
      <c r="N2323" t="str">
        <f>VLOOKUP(M2323,[1]LOJA!$A:$B,2,0)</f>
        <v>ÚNICA</v>
      </c>
      <c r="O2323">
        <v>197</v>
      </c>
      <c r="P2323" t="str">
        <f>VLOOKUP(O2323,[1]OPERADORES!$A:$B,2,0)</f>
        <v xml:space="preserve">POLIANA LORRANE DE AMORIM </v>
      </c>
      <c r="Q2323">
        <v>4</v>
      </c>
      <c r="S2323" t="s">
        <v>5116</v>
      </c>
      <c r="T2323" s="1">
        <v>45946</v>
      </c>
      <c r="U2323">
        <v>-4.6399999999999997</v>
      </c>
      <c r="V2323">
        <v>-4.6399999999999997</v>
      </c>
    </row>
    <row r="2324" spans="1:22" x14ac:dyDescent="0.3">
      <c r="A2324" t="s">
        <v>5117</v>
      </c>
      <c r="B2324" t="s">
        <v>5118</v>
      </c>
      <c r="C2324" t="s">
        <v>13</v>
      </c>
      <c r="D2324" t="s">
        <v>1500</v>
      </c>
      <c r="E2324" t="s">
        <v>15</v>
      </c>
      <c r="J2324" s="1">
        <v>45748</v>
      </c>
      <c r="K2324">
        <v>336</v>
      </c>
      <c r="L2324" t="s">
        <v>526</v>
      </c>
      <c r="M2324">
        <v>14</v>
      </c>
      <c r="N2324" t="str">
        <f>VLOOKUP(M2324,[1]LOJA!$A:$B,2,0)</f>
        <v>S IA</v>
      </c>
      <c r="O2324">
        <v>212</v>
      </c>
      <c r="P2324" t="str">
        <f>VLOOKUP(O2324,[1]OPERADORES!$A:$B,2,0)</f>
        <v>YASMIN</v>
      </c>
      <c r="Q2324">
        <v>4</v>
      </c>
      <c r="S2324" t="s">
        <v>5119</v>
      </c>
      <c r="T2324" s="1">
        <v>45748</v>
      </c>
      <c r="U2324">
        <v>-0.12</v>
      </c>
      <c r="V2324">
        <v>-0.12</v>
      </c>
    </row>
    <row r="2325" spans="1:22" x14ac:dyDescent="0.3">
      <c r="A2325" t="s">
        <v>5120</v>
      </c>
      <c r="B2325" t="s">
        <v>5121</v>
      </c>
      <c r="C2325" t="s">
        <v>13</v>
      </c>
      <c r="D2325" t="s">
        <v>5122</v>
      </c>
      <c r="E2325" t="s">
        <v>15</v>
      </c>
      <c r="J2325" s="1">
        <v>45114</v>
      </c>
      <c r="K2325">
        <v>970</v>
      </c>
      <c r="L2325" t="s">
        <v>5123</v>
      </c>
      <c r="M2325">
        <v>14</v>
      </c>
      <c r="N2325" t="str">
        <f>VLOOKUP(M2325,[1]LOJA!$A:$B,2,0)</f>
        <v>S IA</v>
      </c>
      <c r="O2325">
        <v>16</v>
      </c>
      <c r="P2325" t="str">
        <f>VLOOKUP(O2325,[1]OPERADORES!$A:$B,2,0)</f>
        <v>AYSLAN</v>
      </c>
      <c r="Q2325">
        <v>4</v>
      </c>
      <c r="S2325" t="s">
        <v>5124</v>
      </c>
      <c r="T2325" s="1">
        <v>45114</v>
      </c>
      <c r="U2325">
        <v>-1.8</v>
      </c>
      <c r="V2325">
        <v>-1.8</v>
      </c>
    </row>
    <row r="2326" spans="1:22" x14ac:dyDescent="0.3">
      <c r="A2326" t="s">
        <v>5125</v>
      </c>
      <c r="B2326" t="s">
        <v>5126</v>
      </c>
      <c r="C2326" t="s">
        <v>13</v>
      </c>
      <c r="D2326" t="s">
        <v>280</v>
      </c>
      <c r="E2326" t="s">
        <v>15</v>
      </c>
      <c r="J2326" s="1">
        <v>45408</v>
      </c>
      <c r="K2326">
        <v>676</v>
      </c>
      <c r="L2326" t="s">
        <v>5127</v>
      </c>
      <c r="M2326">
        <v>13</v>
      </c>
      <c r="N2326" t="str">
        <f>VLOOKUP(M2326,[1]LOJA!$A:$B,2,0)</f>
        <v>CEILÂNDIA</v>
      </c>
      <c r="O2326">
        <v>67</v>
      </c>
      <c r="P2326" t="str">
        <f>VLOOKUP(O2326,[1]OPERADORES!$A:$B,2,0)</f>
        <v>ERIKA</v>
      </c>
      <c r="Q2326">
        <v>4</v>
      </c>
      <c r="S2326" t="s">
        <v>5128</v>
      </c>
      <c r="T2326" s="1">
        <v>45408</v>
      </c>
      <c r="U2326">
        <v>-1</v>
      </c>
      <c r="V2326">
        <v>-1</v>
      </c>
    </row>
    <row r="2327" spans="1:22" x14ac:dyDescent="0.3">
      <c r="A2327" t="s">
        <v>5129</v>
      </c>
      <c r="B2327" t="s">
        <v>5130</v>
      </c>
      <c r="C2327" t="s">
        <v>13</v>
      </c>
      <c r="D2327" t="s">
        <v>5131</v>
      </c>
      <c r="E2327" t="s">
        <v>15</v>
      </c>
      <c r="J2327" s="1">
        <v>44789</v>
      </c>
      <c r="K2327">
        <v>1295</v>
      </c>
      <c r="L2327" t="s">
        <v>3824</v>
      </c>
      <c r="M2327">
        <v>14</v>
      </c>
      <c r="N2327" t="str">
        <f>VLOOKUP(M2327,[1]LOJA!$A:$B,2,0)</f>
        <v>S IA</v>
      </c>
      <c r="O2327">
        <v>144</v>
      </c>
      <c r="P2327" t="str">
        <f>VLOOKUP(O2327,[1]OPERADORES!$A:$B,2,0)</f>
        <v>CINTIA DA SILVA CARLOS</v>
      </c>
      <c r="Q2327">
        <v>4</v>
      </c>
      <c r="S2327" t="s">
        <v>142</v>
      </c>
      <c r="T2327" s="1">
        <v>44789</v>
      </c>
      <c r="U2327">
        <v>-0.69</v>
      </c>
      <c r="V2327">
        <v>-0.69</v>
      </c>
    </row>
    <row r="2328" spans="1:22" x14ac:dyDescent="0.3">
      <c r="A2328" t="s">
        <v>5132</v>
      </c>
      <c r="B2328" t="s">
        <v>5133</v>
      </c>
      <c r="C2328" t="s">
        <v>293</v>
      </c>
      <c r="D2328" t="s">
        <v>6211</v>
      </c>
      <c r="E2328" t="s">
        <v>15</v>
      </c>
      <c r="J2328" s="1">
        <v>45323</v>
      </c>
      <c r="K2328">
        <v>761</v>
      </c>
      <c r="L2328" t="s">
        <v>3154</v>
      </c>
      <c r="M2328">
        <v>22</v>
      </c>
      <c r="N2328" t="str">
        <f>VLOOKUP(M2328,[1]LOJA!$A:$B,2,0)</f>
        <v>GUARÁ</v>
      </c>
      <c r="O2328">
        <v>209</v>
      </c>
      <c r="P2328" t="str">
        <f>VLOOKUP(O2328,[1]OPERADORES!$A:$B,2,0)</f>
        <v>MARIA WITHALINA CUNHA DE SOUZA</v>
      </c>
      <c r="Q2328">
        <v>4</v>
      </c>
      <c r="S2328" t="s">
        <v>5134</v>
      </c>
      <c r="T2328" s="1">
        <v>45323</v>
      </c>
      <c r="U2328">
        <v>-2</v>
      </c>
      <c r="V2328">
        <v>-2</v>
      </c>
    </row>
    <row r="2329" spans="1:22" x14ac:dyDescent="0.3">
      <c r="A2329" t="s">
        <v>5135</v>
      </c>
      <c r="B2329" t="s">
        <v>5136</v>
      </c>
      <c r="C2329" t="s">
        <v>324</v>
      </c>
      <c r="D2329" t="s">
        <v>5137</v>
      </c>
      <c r="E2329" t="s">
        <v>15</v>
      </c>
      <c r="J2329" s="1">
        <v>45992</v>
      </c>
      <c r="K2329">
        <v>92</v>
      </c>
      <c r="L2329" t="s">
        <v>5138</v>
      </c>
      <c r="M2329">
        <v>9</v>
      </c>
      <c r="N2329" t="str">
        <f>VLOOKUP(M2329,[1]LOJA!$A:$B,2,0)</f>
        <v>ÚNICA</v>
      </c>
      <c r="O2329">
        <v>236</v>
      </c>
      <c r="P2329" t="str">
        <f>VLOOKUP(O2329,[1]OPERADORES!$A:$B,2,0)</f>
        <v>DANIEL</v>
      </c>
      <c r="Q2329">
        <v>23</v>
      </c>
      <c r="R2329">
        <v>184774</v>
      </c>
      <c r="S2329" t="s">
        <v>55</v>
      </c>
      <c r="T2329" s="1">
        <v>45902</v>
      </c>
      <c r="U2329">
        <v>315.82</v>
      </c>
      <c r="V2329">
        <v>315.82</v>
      </c>
    </row>
    <row r="2330" spans="1:22" x14ac:dyDescent="0.3">
      <c r="A2330" t="s">
        <v>5135</v>
      </c>
      <c r="B2330" t="s">
        <v>5136</v>
      </c>
      <c r="C2330" t="s">
        <v>324</v>
      </c>
      <c r="D2330" t="s">
        <v>5137</v>
      </c>
      <c r="E2330" t="s">
        <v>15</v>
      </c>
      <c r="J2330" s="1">
        <v>46019</v>
      </c>
      <c r="K2330">
        <v>65</v>
      </c>
      <c r="L2330" t="s">
        <v>5139</v>
      </c>
      <c r="M2330">
        <v>9</v>
      </c>
      <c r="N2330" t="str">
        <f>VLOOKUP(M2330,[1]LOJA!$A:$B,2,0)</f>
        <v>ÚNICA</v>
      </c>
      <c r="O2330">
        <v>174</v>
      </c>
      <c r="P2330" t="str">
        <f>VLOOKUP(O2330,[1]OPERADORES!$A:$B,2,0)</f>
        <v>MIRIÃ LOBATO RODRIGUES</v>
      </c>
      <c r="Q2330">
        <v>23</v>
      </c>
      <c r="R2330">
        <v>198345</v>
      </c>
      <c r="S2330" t="s">
        <v>53</v>
      </c>
      <c r="T2330" s="1">
        <v>45959</v>
      </c>
      <c r="U2330">
        <v>315.89999999999998</v>
      </c>
      <c r="V2330">
        <v>315.89999999999998</v>
      </c>
    </row>
    <row r="2331" spans="1:22" x14ac:dyDescent="0.3">
      <c r="A2331" t="s">
        <v>5135</v>
      </c>
      <c r="B2331" t="s">
        <v>5136</v>
      </c>
      <c r="C2331" t="s">
        <v>324</v>
      </c>
      <c r="D2331" t="s">
        <v>5137</v>
      </c>
      <c r="E2331" t="s">
        <v>15</v>
      </c>
      <c r="J2331" s="1">
        <v>46020</v>
      </c>
      <c r="K2331">
        <v>64</v>
      </c>
      <c r="L2331" t="s">
        <v>5140</v>
      </c>
      <c r="M2331">
        <v>9</v>
      </c>
      <c r="N2331" t="str">
        <f>VLOOKUP(M2331,[1]LOJA!$A:$B,2,0)</f>
        <v>ÚNICA</v>
      </c>
      <c r="O2331">
        <v>236</v>
      </c>
      <c r="P2331" t="str">
        <f>VLOOKUP(O2331,[1]OPERADORES!$A:$B,2,0)</f>
        <v>DANIEL</v>
      </c>
      <c r="Q2331">
        <v>23</v>
      </c>
      <c r="R2331">
        <v>191407</v>
      </c>
      <c r="S2331" t="s">
        <v>55</v>
      </c>
      <c r="T2331" s="1">
        <v>45930</v>
      </c>
      <c r="U2331">
        <v>255.43</v>
      </c>
      <c r="V2331">
        <v>255.43</v>
      </c>
    </row>
    <row r="2332" spans="1:22" x14ac:dyDescent="0.3">
      <c r="A2332" t="s">
        <v>5135</v>
      </c>
      <c r="B2332" t="s">
        <v>5136</v>
      </c>
      <c r="C2332" t="s">
        <v>324</v>
      </c>
      <c r="D2332" t="s">
        <v>5137</v>
      </c>
      <c r="E2332" t="s">
        <v>15</v>
      </c>
      <c r="J2332" s="1">
        <v>46020</v>
      </c>
      <c r="K2332">
        <v>64</v>
      </c>
      <c r="L2332" t="s">
        <v>5141</v>
      </c>
      <c r="M2332">
        <v>9</v>
      </c>
      <c r="N2332" t="str">
        <f>VLOOKUP(M2332,[1]LOJA!$A:$B,2,0)</f>
        <v>ÚNICA</v>
      </c>
      <c r="O2332">
        <v>174</v>
      </c>
      <c r="P2332" t="str">
        <f>VLOOKUP(O2332,[1]OPERADORES!$A:$B,2,0)</f>
        <v>MIRIÃ LOBATO RODRIGUES</v>
      </c>
      <c r="Q2332">
        <v>23</v>
      </c>
      <c r="R2332">
        <v>202667</v>
      </c>
      <c r="S2332" t="s">
        <v>1534</v>
      </c>
      <c r="T2332" s="1">
        <v>45975</v>
      </c>
      <c r="U2332">
        <v>747.85</v>
      </c>
      <c r="V2332">
        <v>747.85</v>
      </c>
    </row>
    <row r="2333" spans="1:22" x14ac:dyDescent="0.3">
      <c r="A2333" t="s">
        <v>5135</v>
      </c>
      <c r="B2333" t="s">
        <v>5136</v>
      </c>
      <c r="C2333" t="s">
        <v>324</v>
      </c>
      <c r="D2333" t="s">
        <v>5137</v>
      </c>
      <c r="E2333" t="s">
        <v>15</v>
      </c>
      <c r="J2333" s="1">
        <v>46029</v>
      </c>
      <c r="K2333">
        <v>55</v>
      </c>
      <c r="L2333" t="s">
        <v>5142</v>
      </c>
      <c r="M2333">
        <v>9</v>
      </c>
      <c r="N2333" t="str">
        <f>VLOOKUP(M2333,[1]LOJA!$A:$B,2,0)</f>
        <v>ÚNICA</v>
      </c>
      <c r="O2333">
        <v>174</v>
      </c>
      <c r="P2333" t="str">
        <f>VLOOKUP(O2333,[1]OPERADORES!$A:$B,2,0)</f>
        <v>MIRIÃ LOBATO RODRIGUES</v>
      </c>
      <c r="Q2333">
        <v>23</v>
      </c>
      <c r="R2333">
        <v>194245</v>
      </c>
      <c r="S2333" t="s">
        <v>55</v>
      </c>
      <c r="T2333" s="1">
        <v>45939</v>
      </c>
      <c r="U2333">
        <v>332.44</v>
      </c>
      <c r="V2333">
        <v>332.44</v>
      </c>
    </row>
    <row r="2334" spans="1:22" x14ac:dyDescent="0.3">
      <c r="A2334" t="s">
        <v>5135</v>
      </c>
      <c r="B2334" t="s">
        <v>5136</v>
      </c>
      <c r="C2334" t="s">
        <v>324</v>
      </c>
      <c r="D2334" t="s">
        <v>5137</v>
      </c>
      <c r="E2334" t="s">
        <v>15</v>
      </c>
      <c r="J2334" s="1">
        <v>46031</v>
      </c>
      <c r="K2334">
        <v>53</v>
      </c>
      <c r="L2334" t="s">
        <v>5143</v>
      </c>
      <c r="M2334">
        <v>9</v>
      </c>
      <c r="N2334" t="str">
        <f>VLOOKUP(M2334,[1]LOJA!$A:$B,2,0)</f>
        <v>ÚNICA</v>
      </c>
      <c r="O2334">
        <v>174</v>
      </c>
      <c r="P2334" t="str">
        <f>VLOOKUP(O2334,[1]OPERADORES!$A:$B,2,0)</f>
        <v>MIRIÃ LOBATO RODRIGUES</v>
      </c>
      <c r="Q2334">
        <v>23</v>
      </c>
      <c r="R2334">
        <v>201107</v>
      </c>
      <c r="S2334" t="s">
        <v>53</v>
      </c>
      <c r="T2334" s="1">
        <v>45971</v>
      </c>
      <c r="U2334">
        <v>400.47</v>
      </c>
      <c r="V2334">
        <v>400.47</v>
      </c>
    </row>
    <row r="2335" spans="1:22" x14ac:dyDescent="0.3">
      <c r="A2335" t="s">
        <v>5135</v>
      </c>
      <c r="B2335" t="s">
        <v>5136</v>
      </c>
      <c r="C2335" t="s">
        <v>324</v>
      </c>
      <c r="D2335" t="s">
        <v>5137</v>
      </c>
      <c r="E2335" t="s">
        <v>15</v>
      </c>
      <c r="J2335" s="1">
        <v>46035</v>
      </c>
      <c r="K2335">
        <v>49</v>
      </c>
      <c r="L2335" t="s">
        <v>5144</v>
      </c>
      <c r="M2335">
        <v>9</v>
      </c>
      <c r="N2335" t="str">
        <f>VLOOKUP(M2335,[1]LOJA!$A:$B,2,0)</f>
        <v>ÚNICA</v>
      </c>
      <c r="O2335">
        <v>174</v>
      </c>
      <c r="P2335" t="str">
        <f>VLOOKUP(O2335,[1]OPERADORES!$A:$B,2,0)</f>
        <v>MIRIÃ LOBATO RODRIGUES</v>
      </c>
      <c r="Q2335">
        <v>23</v>
      </c>
      <c r="R2335">
        <v>202675</v>
      </c>
      <c r="S2335" t="s">
        <v>1295</v>
      </c>
      <c r="T2335" s="1">
        <v>45975</v>
      </c>
      <c r="U2335">
        <v>747.85</v>
      </c>
      <c r="V2335">
        <v>747.85</v>
      </c>
    </row>
    <row r="2336" spans="1:22" x14ac:dyDescent="0.3">
      <c r="A2336" t="s">
        <v>5135</v>
      </c>
      <c r="B2336" t="s">
        <v>5136</v>
      </c>
      <c r="C2336" t="s">
        <v>324</v>
      </c>
      <c r="D2336" t="s">
        <v>5137</v>
      </c>
      <c r="E2336" t="s">
        <v>15</v>
      </c>
      <c r="J2336" s="1">
        <v>46039</v>
      </c>
      <c r="K2336">
        <v>45</v>
      </c>
      <c r="L2336" t="s">
        <v>5145</v>
      </c>
      <c r="M2336">
        <v>9</v>
      </c>
      <c r="N2336" t="str">
        <f>VLOOKUP(M2336,[1]LOJA!$A:$B,2,0)</f>
        <v>ÚNICA</v>
      </c>
      <c r="O2336">
        <v>174</v>
      </c>
      <c r="P2336" t="str">
        <f>VLOOKUP(O2336,[1]OPERADORES!$A:$B,2,0)</f>
        <v>MIRIÃ LOBATO RODRIGUES</v>
      </c>
      <c r="Q2336">
        <v>23</v>
      </c>
      <c r="R2336">
        <v>203152</v>
      </c>
      <c r="S2336" t="s">
        <v>53</v>
      </c>
      <c r="T2336" s="1">
        <v>45979</v>
      </c>
      <c r="U2336">
        <v>277.27999999999997</v>
      </c>
      <c r="V2336">
        <v>277.27999999999997</v>
      </c>
    </row>
    <row r="2337" spans="1:22" x14ac:dyDescent="0.3">
      <c r="A2337" t="s">
        <v>5135</v>
      </c>
      <c r="B2337" t="s">
        <v>5136</v>
      </c>
      <c r="C2337" t="s">
        <v>324</v>
      </c>
      <c r="D2337" t="s">
        <v>5137</v>
      </c>
      <c r="E2337" t="s">
        <v>15</v>
      </c>
      <c r="J2337" s="1">
        <v>46049</v>
      </c>
      <c r="K2337">
        <v>35</v>
      </c>
      <c r="L2337" t="s">
        <v>5146</v>
      </c>
      <c r="M2337">
        <v>9</v>
      </c>
      <c r="N2337" t="str">
        <f>VLOOKUP(M2337,[1]LOJA!$A:$B,2,0)</f>
        <v>ÚNICA</v>
      </c>
      <c r="O2337">
        <v>174</v>
      </c>
      <c r="P2337" t="str">
        <f>VLOOKUP(O2337,[1]OPERADORES!$A:$B,2,0)</f>
        <v>MIRIÃ LOBATO RODRIGUES</v>
      </c>
      <c r="Q2337">
        <v>23</v>
      </c>
      <c r="R2337">
        <v>198352</v>
      </c>
      <c r="S2337" t="s">
        <v>55</v>
      </c>
      <c r="T2337" s="1">
        <v>45959</v>
      </c>
      <c r="U2337">
        <v>315.89999999999998</v>
      </c>
      <c r="V2337">
        <v>315.89999999999998</v>
      </c>
    </row>
    <row r="2338" spans="1:22" x14ac:dyDescent="0.3">
      <c r="A2338" t="s">
        <v>5135</v>
      </c>
      <c r="B2338" t="s">
        <v>5136</v>
      </c>
      <c r="C2338" t="s">
        <v>324</v>
      </c>
      <c r="D2338" t="s">
        <v>5137</v>
      </c>
      <c r="E2338" t="s">
        <v>15</v>
      </c>
      <c r="J2338" s="1">
        <v>46050</v>
      </c>
      <c r="K2338">
        <v>34</v>
      </c>
      <c r="L2338" t="s">
        <v>5147</v>
      </c>
      <c r="M2338">
        <v>9</v>
      </c>
      <c r="N2338" t="str">
        <f>VLOOKUP(M2338,[1]LOJA!$A:$B,2,0)</f>
        <v>ÚNICA</v>
      </c>
      <c r="O2338">
        <v>174</v>
      </c>
      <c r="P2338" t="str">
        <f>VLOOKUP(O2338,[1]OPERADORES!$A:$B,2,0)</f>
        <v>MIRIÃ LOBATO RODRIGUES</v>
      </c>
      <c r="Q2338">
        <v>23</v>
      </c>
      <c r="R2338">
        <v>202683</v>
      </c>
      <c r="S2338" t="s">
        <v>1305</v>
      </c>
      <c r="T2338" s="1">
        <v>45975</v>
      </c>
      <c r="U2338">
        <v>747.85</v>
      </c>
      <c r="V2338">
        <v>747.85</v>
      </c>
    </row>
    <row r="2339" spans="1:22" x14ac:dyDescent="0.3">
      <c r="A2339" t="s">
        <v>5135</v>
      </c>
      <c r="B2339" t="s">
        <v>5136</v>
      </c>
      <c r="C2339" t="s">
        <v>324</v>
      </c>
      <c r="D2339" t="s">
        <v>5137</v>
      </c>
      <c r="E2339" t="s">
        <v>15</v>
      </c>
      <c r="J2339" s="1">
        <v>46061</v>
      </c>
      <c r="K2339">
        <v>23</v>
      </c>
      <c r="L2339" t="s">
        <v>5148</v>
      </c>
      <c r="M2339">
        <v>9</v>
      </c>
      <c r="N2339" t="str">
        <f>VLOOKUP(M2339,[1]LOJA!$A:$B,2,0)</f>
        <v>ÚNICA</v>
      </c>
      <c r="O2339">
        <v>174</v>
      </c>
      <c r="P2339" t="str">
        <f>VLOOKUP(O2339,[1]OPERADORES!$A:$B,2,0)</f>
        <v>MIRIÃ LOBATO RODRIGUES</v>
      </c>
      <c r="Q2339">
        <v>23</v>
      </c>
      <c r="R2339">
        <v>201115</v>
      </c>
      <c r="S2339" t="s">
        <v>55</v>
      </c>
      <c r="T2339" s="1">
        <v>45971</v>
      </c>
      <c r="U2339">
        <v>400.47</v>
      </c>
      <c r="V2339">
        <v>400.47</v>
      </c>
    </row>
    <row r="2340" spans="1:22" x14ac:dyDescent="0.3">
      <c r="A2340" t="s">
        <v>5135</v>
      </c>
      <c r="B2340" t="s">
        <v>5136</v>
      </c>
      <c r="C2340" t="s">
        <v>324</v>
      </c>
      <c r="D2340" t="s">
        <v>5137</v>
      </c>
      <c r="E2340" t="s">
        <v>15</v>
      </c>
      <c r="J2340" s="1">
        <v>46065</v>
      </c>
      <c r="K2340">
        <v>19</v>
      </c>
      <c r="L2340" t="s">
        <v>6212</v>
      </c>
      <c r="M2340">
        <v>9</v>
      </c>
      <c r="N2340" t="str">
        <f>VLOOKUP(M2340,[1]LOJA!$A:$B,2,0)</f>
        <v>ÚNICA</v>
      </c>
      <c r="O2340">
        <v>174</v>
      </c>
      <c r="P2340" t="str">
        <f>VLOOKUP(O2340,[1]OPERADORES!$A:$B,2,0)</f>
        <v>MIRIÃ LOBATO RODRIGUES</v>
      </c>
      <c r="Q2340">
        <v>23</v>
      </c>
      <c r="R2340">
        <v>202691</v>
      </c>
      <c r="S2340" t="s">
        <v>1145</v>
      </c>
      <c r="T2340" s="1">
        <v>45975</v>
      </c>
      <c r="U2340">
        <v>747.84</v>
      </c>
      <c r="V2340">
        <v>747.84</v>
      </c>
    </row>
    <row r="2341" spans="1:22" x14ac:dyDescent="0.3">
      <c r="A2341" t="s">
        <v>5135</v>
      </c>
      <c r="B2341" t="s">
        <v>5136</v>
      </c>
      <c r="C2341" t="s">
        <v>324</v>
      </c>
      <c r="D2341" t="s">
        <v>5137</v>
      </c>
      <c r="E2341" t="s">
        <v>15</v>
      </c>
      <c r="J2341" s="1">
        <v>46069</v>
      </c>
      <c r="K2341">
        <v>15</v>
      </c>
      <c r="L2341" t="s">
        <v>6213</v>
      </c>
      <c r="M2341">
        <v>9</v>
      </c>
      <c r="N2341" t="str">
        <f>VLOOKUP(M2341,[1]LOJA!$A:$B,2,0)</f>
        <v>ÚNICA</v>
      </c>
      <c r="O2341">
        <v>174</v>
      </c>
      <c r="P2341" t="str">
        <f>VLOOKUP(O2341,[1]OPERADORES!$A:$B,2,0)</f>
        <v>MIRIÃ LOBATO RODRIGUES</v>
      </c>
      <c r="Q2341">
        <v>23</v>
      </c>
      <c r="R2341">
        <v>203160</v>
      </c>
      <c r="S2341" t="s">
        <v>55</v>
      </c>
      <c r="T2341" s="1">
        <v>45979</v>
      </c>
      <c r="U2341">
        <v>277.27999999999997</v>
      </c>
      <c r="V2341">
        <v>277.27999999999997</v>
      </c>
    </row>
    <row r="2342" spans="1:22" x14ac:dyDescent="0.3">
      <c r="A2342" t="s">
        <v>5149</v>
      </c>
      <c r="B2342" t="s">
        <v>5150</v>
      </c>
      <c r="C2342" t="s">
        <v>13</v>
      </c>
      <c r="D2342" t="s">
        <v>5151</v>
      </c>
      <c r="E2342" t="s">
        <v>15</v>
      </c>
      <c r="J2342" s="1">
        <v>45680</v>
      </c>
      <c r="K2342">
        <v>404</v>
      </c>
      <c r="L2342" t="s">
        <v>5152</v>
      </c>
      <c r="M2342">
        <v>16</v>
      </c>
      <c r="N2342" t="str">
        <f>VLOOKUP(M2342,[1]LOJA!$A:$B,2,0)</f>
        <v>AG LINDAS</v>
      </c>
      <c r="O2342">
        <v>107</v>
      </c>
      <c r="P2342" t="str">
        <f>VLOOKUP(O2342,[1]OPERADORES!$A:$B,2,0)</f>
        <v>DAIANA PORTELA</v>
      </c>
      <c r="Q2342">
        <v>7</v>
      </c>
      <c r="S2342" t="s">
        <v>5153</v>
      </c>
      <c r="T2342" s="1">
        <v>45680</v>
      </c>
      <c r="U2342">
        <v>-100</v>
      </c>
      <c r="V2342">
        <v>-100</v>
      </c>
    </row>
    <row r="2343" spans="1:22" x14ac:dyDescent="0.3">
      <c r="A2343" t="s">
        <v>5149</v>
      </c>
      <c r="B2343" t="s">
        <v>5150</v>
      </c>
      <c r="C2343" t="s">
        <v>13</v>
      </c>
      <c r="D2343" t="s">
        <v>5151</v>
      </c>
      <c r="E2343" t="s">
        <v>15</v>
      </c>
      <c r="J2343" s="1">
        <v>45815</v>
      </c>
      <c r="K2343">
        <v>269</v>
      </c>
      <c r="L2343" t="s">
        <v>5154</v>
      </c>
      <c r="M2343">
        <v>16</v>
      </c>
      <c r="N2343" t="str">
        <f>VLOOKUP(M2343,[1]LOJA!$A:$B,2,0)</f>
        <v>AG LINDAS</v>
      </c>
      <c r="O2343">
        <v>107</v>
      </c>
      <c r="P2343" t="str">
        <f>VLOOKUP(O2343,[1]OPERADORES!$A:$B,2,0)</f>
        <v>DAIANA PORTELA</v>
      </c>
      <c r="Q2343">
        <v>7</v>
      </c>
      <c r="S2343" t="s">
        <v>5155</v>
      </c>
      <c r="T2343" s="1">
        <v>45782</v>
      </c>
      <c r="U2343">
        <v>-0.22</v>
      </c>
      <c r="V2343">
        <v>-0.22</v>
      </c>
    </row>
    <row r="2344" spans="1:22" x14ac:dyDescent="0.3">
      <c r="A2344" t="s">
        <v>5149</v>
      </c>
      <c r="B2344" t="s">
        <v>5150</v>
      </c>
      <c r="C2344" t="s">
        <v>13</v>
      </c>
      <c r="D2344" t="s">
        <v>5151</v>
      </c>
      <c r="E2344" t="s">
        <v>15</v>
      </c>
      <c r="J2344" s="1">
        <v>45831</v>
      </c>
      <c r="K2344">
        <v>253</v>
      </c>
      <c r="L2344" t="s">
        <v>5156</v>
      </c>
      <c r="M2344">
        <v>16</v>
      </c>
      <c r="N2344" t="str">
        <f>VLOOKUP(M2344,[1]LOJA!$A:$B,2,0)</f>
        <v>AG LINDAS</v>
      </c>
      <c r="O2344">
        <v>107</v>
      </c>
      <c r="P2344" t="str">
        <f>VLOOKUP(O2344,[1]OPERADORES!$A:$B,2,0)</f>
        <v>DAIANA PORTELA</v>
      </c>
      <c r="Q2344">
        <v>7</v>
      </c>
      <c r="S2344" t="s">
        <v>5157</v>
      </c>
      <c r="T2344" s="1">
        <v>45831</v>
      </c>
      <c r="U2344">
        <v>-0.46</v>
      </c>
      <c r="V2344">
        <v>-0.46</v>
      </c>
    </row>
    <row r="2345" spans="1:22" x14ac:dyDescent="0.3">
      <c r="A2345" t="s">
        <v>5158</v>
      </c>
      <c r="B2345" t="s">
        <v>5159</v>
      </c>
      <c r="C2345" t="s">
        <v>43</v>
      </c>
      <c r="D2345" t="s">
        <v>243</v>
      </c>
      <c r="E2345" t="s">
        <v>15</v>
      </c>
      <c r="J2345" s="1">
        <v>45460</v>
      </c>
      <c r="K2345">
        <v>624</v>
      </c>
      <c r="L2345" t="s">
        <v>5160</v>
      </c>
      <c r="M2345">
        <v>14</v>
      </c>
      <c r="N2345" t="str">
        <f>VLOOKUP(M2345,[1]LOJA!$A:$B,2,0)</f>
        <v>S IA</v>
      </c>
      <c r="O2345">
        <v>207</v>
      </c>
      <c r="P2345" t="str">
        <f>VLOOKUP(O2345,[1]OPERADORES!$A:$B,2,0)</f>
        <v>KETILE SABRINE</v>
      </c>
      <c r="Q2345">
        <v>4</v>
      </c>
      <c r="S2345" t="s">
        <v>5161</v>
      </c>
      <c r="T2345" s="1">
        <v>45460</v>
      </c>
      <c r="U2345">
        <v>-0.2</v>
      </c>
      <c r="V2345">
        <v>-0.2</v>
      </c>
    </row>
    <row r="2346" spans="1:22" x14ac:dyDescent="0.3">
      <c r="A2346" t="s">
        <v>5162</v>
      </c>
      <c r="B2346" t="s">
        <v>32</v>
      </c>
      <c r="C2346" t="s">
        <v>13</v>
      </c>
      <c r="D2346" t="s">
        <v>6214</v>
      </c>
      <c r="E2346" t="s">
        <v>15</v>
      </c>
      <c r="J2346" s="1">
        <v>46051</v>
      </c>
      <c r="K2346">
        <v>33</v>
      </c>
      <c r="L2346" t="s">
        <v>569</v>
      </c>
      <c r="M2346">
        <v>24</v>
      </c>
      <c r="N2346" t="str">
        <f>VLOOKUP(M2346,[1]LOJA!$A:$B,2,0)</f>
        <v>LUZIÂNIA</v>
      </c>
      <c r="O2346">
        <v>244</v>
      </c>
      <c r="P2346" t="str">
        <f>VLOOKUP(O2346,[1]OPERADORES!$A:$B,2,0)</f>
        <v>NATHALIA PEREIRA DA SILVA</v>
      </c>
      <c r="Q2346">
        <v>4</v>
      </c>
      <c r="S2346" t="s">
        <v>5163</v>
      </c>
      <c r="T2346" s="1">
        <v>46051</v>
      </c>
      <c r="U2346">
        <v>-0.2</v>
      </c>
      <c r="V2346">
        <v>-0.2</v>
      </c>
    </row>
    <row r="2347" spans="1:22" x14ac:dyDescent="0.3">
      <c r="A2347" t="s">
        <v>5162</v>
      </c>
      <c r="B2347" t="s">
        <v>32</v>
      </c>
      <c r="C2347" t="s">
        <v>13</v>
      </c>
      <c r="D2347" t="s">
        <v>6214</v>
      </c>
      <c r="E2347" t="s">
        <v>15</v>
      </c>
      <c r="J2347" s="1">
        <v>46057</v>
      </c>
      <c r="K2347">
        <v>27</v>
      </c>
      <c r="L2347" t="s">
        <v>1977</v>
      </c>
      <c r="M2347">
        <v>24</v>
      </c>
      <c r="N2347" t="str">
        <f>VLOOKUP(M2347,[1]LOJA!$A:$B,2,0)</f>
        <v>LUZIÂNIA</v>
      </c>
      <c r="O2347">
        <v>244</v>
      </c>
      <c r="P2347" t="str">
        <f>VLOOKUP(O2347,[1]OPERADORES!$A:$B,2,0)</f>
        <v>NATHALIA PEREIRA DA SILVA</v>
      </c>
      <c r="Q2347">
        <v>4</v>
      </c>
      <c r="S2347" t="s">
        <v>5163</v>
      </c>
      <c r="T2347" s="1">
        <v>46057</v>
      </c>
      <c r="U2347">
        <v>-3</v>
      </c>
      <c r="V2347">
        <v>-3</v>
      </c>
    </row>
    <row r="2348" spans="1:22" x14ac:dyDescent="0.3">
      <c r="A2348" t="s">
        <v>5164</v>
      </c>
      <c r="B2348" t="s">
        <v>32</v>
      </c>
      <c r="C2348" t="s">
        <v>13</v>
      </c>
      <c r="D2348" t="s">
        <v>5165</v>
      </c>
      <c r="E2348" t="s">
        <v>15</v>
      </c>
      <c r="J2348" s="1">
        <v>45863</v>
      </c>
      <c r="K2348">
        <v>221</v>
      </c>
      <c r="L2348" t="s">
        <v>5166</v>
      </c>
      <c r="M2348">
        <v>12</v>
      </c>
      <c r="N2348" t="str">
        <f>VLOOKUP(M2348,[1]LOJA!$A:$B,2,0)</f>
        <v>SOFNORTE</v>
      </c>
      <c r="O2348">
        <v>60</v>
      </c>
      <c r="P2348" t="str">
        <f>VLOOKUP(O2348,[1]OPERADORES!$A:$B,2,0)</f>
        <v>ALEXANDRA</v>
      </c>
      <c r="Q2348">
        <v>4</v>
      </c>
      <c r="S2348" t="s">
        <v>5167</v>
      </c>
      <c r="T2348" s="1">
        <v>45863</v>
      </c>
      <c r="U2348">
        <v>-37</v>
      </c>
      <c r="V2348">
        <v>-37</v>
      </c>
    </row>
    <row r="2349" spans="1:22" x14ac:dyDescent="0.3">
      <c r="A2349" t="s">
        <v>6215</v>
      </c>
      <c r="B2349" t="s">
        <v>6216</v>
      </c>
      <c r="C2349" t="s">
        <v>43</v>
      </c>
      <c r="D2349" t="s">
        <v>6217</v>
      </c>
      <c r="E2349" t="s">
        <v>15</v>
      </c>
      <c r="J2349" s="1">
        <v>46082</v>
      </c>
      <c r="K2349">
        <v>2</v>
      </c>
      <c r="L2349" t="s">
        <v>6218</v>
      </c>
      <c r="M2349">
        <v>13</v>
      </c>
      <c r="N2349" t="str">
        <f>VLOOKUP(M2349,[1]LOJA!$A:$B,2,0)</f>
        <v>CEILÂNDIA</v>
      </c>
      <c r="O2349">
        <v>86</v>
      </c>
      <c r="P2349" t="str">
        <f>VLOOKUP(O2349,[1]OPERADORES!$A:$B,2,0)</f>
        <v>AMANDA</v>
      </c>
      <c r="Q2349">
        <v>27</v>
      </c>
      <c r="R2349">
        <v>1000020300</v>
      </c>
      <c r="S2349" t="s">
        <v>1445</v>
      </c>
      <c r="T2349" s="1">
        <v>46052</v>
      </c>
      <c r="U2349">
        <v>279.7</v>
      </c>
      <c r="V2349">
        <v>279.7</v>
      </c>
    </row>
    <row r="2350" spans="1:22" x14ac:dyDescent="0.3">
      <c r="A2350" t="s">
        <v>5168</v>
      </c>
      <c r="B2350" t="s">
        <v>5169</v>
      </c>
      <c r="C2350" t="s">
        <v>5170</v>
      </c>
      <c r="D2350" t="s">
        <v>5171</v>
      </c>
      <c r="E2350" t="s">
        <v>15</v>
      </c>
      <c r="J2350" s="1">
        <v>44496</v>
      </c>
      <c r="K2350">
        <v>1588</v>
      </c>
      <c r="L2350" t="s">
        <v>5172</v>
      </c>
      <c r="M2350">
        <v>12</v>
      </c>
      <c r="N2350" t="str">
        <f>VLOOKUP(M2350,[1]LOJA!$A:$B,2,0)</f>
        <v>SOFNORTE</v>
      </c>
      <c r="O2350">
        <v>65</v>
      </c>
      <c r="P2350" t="str">
        <f>VLOOKUP(O2350,[1]OPERADORES!$A:$B,2,0)</f>
        <v>MICHAEL ALVES FERNANDES</v>
      </c>
      <c r="Q2350">
        <v>7</v>
      </c>
      <c r="S2350" t="s">
        <v>87</v>
      </c>
      <c r="T2350" s="1">
        <v>44495</v>
      </c>
      <c r="U2350">
        <v>223</v>
      </c>
      <c r="V2350">
        <v>223</v>
      </c>
    </row>
    <row r="2351" spans="1:22" x14ac:dyDescent="0.3">
      <c r="A2351" t="s">
        <v>5173</v>
      </c>
      <c r="B2351" t="s">
        <v>5174</v>
      </c>
      <c r="C2351" t="s">
        <v>1958</v>
      </c>
      <c r="D2351" t="s">
        <v>6219</v>
      </c>
      <c r="E2351" t="s">
        <v>15</v>
      </c>
      <c r="J2351" s="1">
        <v>45912</v>
      </c>
      <c r="K2351">
        <v>172</v>
      </c>
      <c r="L2351" t="s">
        <v>5175</v>
      </c>
      <c r="M2351">
        <v>14</v>
      </c>
      <c r="N2351" t="str">
        <f>VLOOKUP(M2351,[1]LOJA!$A:$B,2,0)</f>
        <v>S IA</v>
      </c>
      <c r="O2351">
        <v>207</v>
      </c>
      <c r="P2351" t="str">
        <f>VLOOKUP(O2351,[1]OPERADORES!$A:$B,2,0)</f>
        <v>KETILE SABRINE</v>
      </c>
      <c r="Q2351">
        <v>4</v>
      </c>
      <c r="S2351" t="s">
        <v>5176</v>
      </c>
      <c r="T2351" s="1">
        <v>45912</v>
      </c>
      <c r="U2351">
        <v>-10</v>
      </c>
      <c r="V2351">
        <v>-10</v>
      </c>
    </row>
    <row r="2352" spans="1:22" x14ac:dyDescent="0.3">
      <c r="A2352" t="s">
        <v>5177</v>
      </c>
      <c r="B2352" t="s">
        <v>32</v>
      </c>
      <c r="C2352" t="s">
        <v>293</v>
      </c>
      <c r="D2352" t="s">
        <v>6220</v>
      </c>
      <c r="E2352" t="s">
        <v>15</v>
      </c>
      <c r="J2352" s="1">
        <v>46029</v>
      </c>
      <c r="K2352">
        <v>55</v>
      </c>
      <c r="L2352" t="s">
        <v>5178</v>
      </c>
      <c r="M2352">
        <v>9</v>
      </c>
      <c r="N2352" t="str">
        <f>VLOOKUP(M2352,[1]LOJA!$A:$B,2,0)</f>
        <v>ÚNICA</v>
      </c>
      <c r="O2352">
        <v>197</v>
      </c>
      <c r="P2352" t="str">
        <f>VLOOKUP(O2352,[1]OPERADORES!$A:$B,2,0)</f>
        <v xml:space="preserve">POLIANA LORRANE DE AMORIM </v>
      </c>
      <c r="Q2352">
        <v>4</v>
      </c>
      <c r="S2352" t="s">
        <v>5179</v>
      </c>
      <c r="T2352" s="1">
        <v>46029</v>
      </c>
      <c r="U2352">
        <v>-61.03</v>
      </c>
      <c r="V2352">
        <v>-61.03</v>
      </c>
    </row>
    <row r="2353" spans="1:22" x14ac:dyDescent="0.3">
      <c r="A2353" t="s">
        <v>5180</v>
      </c>
      <c r="B2353" t="s">
        <v>5181</v>
      </c>
      <c r="C2353" t="s">
        <v>13</v>
      </c>
      <c r="D2353" t="s">
        <v>5182</v>
      </c>
      <c r="E2353" t="s">
        <v>15</v>
      </c>
      <c r="J2353" s="1">
        <v>45547</v>
      </c>
      <c r="K2353">
        <v>537</v>
      </c>
      <c r="L2353" t="s">
        <v>5183</v>
      </c>
      <c r="M2353">
        <v>4</v>
      </c>
      <c r="N2353" t="str">
        <f>VLOOKUP(M2353,[1]LOJA!$A:$B,2,0)</f>
        <v>ADE</v>
      </c>
      <c r="O2353">
        <v>132</v>
      </c>
      <c r="P2353" t="str">
        <f>VLOOKUP(O2353,[1]OPERADORES!$A:$B,2,0)</f>
        <v>PAMELA GONÇALVES ROSA</v>
      </c>
      <c r="Q2353">
        <v>4</v>
      </c>
      <c r="S2353" t="s">
        <v>5184</v>
      </c>
      <c r="T2353" s="1">
        <v>45547</v>
      </c>
      <c r="U2353">
        <v>-7.9</v>
      </c>
      <c r="V2353">
        <v>-7.9</v>
      </c>
    </row>
    <row r="2354" spans="1:22" x14ac:dyDescent="0.3">
      <c r="A2354" t="s">
        <v>5180</v>
      </c>
      <c r="B2354" t="s">
        <v>5181</v>
      </c>
      <c r="C2354" t="s">
        <v>13</v>
      </c>
      <c r="D2354" t="s">
        <v>5182</v>
      </c>
      <c r="E2354" t="s">
        <v>15</v>
      </c>
      <c r="J2354" s="1">
        <v>45807</v>
      </c>
      <c r="K2354">
        <v>277</v>
      </c>
      <c r="L2354" t="s">
        <v>5185</v>
      </c>
      <c r="M2354">
        <v>14</v>
      </c>
      <c r="N2354" t="str">
        <f>VLOOKUP(M2354,[1]LOJA!$A:$B,2,0)</f>
        <v>S IA</v>
      </c>
      <c r="O2354">
        <v>212</v>
      </c>
      <c r="P2354" t="str">
        <f>VLOOKUP(O2354,[1]OPERADORES!$A:$B,2,0)</f>
        <v>YASMIN</v>
      </c>
      <c r="Q2354">
        <v>4</v>
      </c>
      <c r="S2354" t="s">
        <v>5186</v>
      </c>
      <c r="T2354" s="1">
        <v>45807</v>
      </c>
      <c r="U2354">
        <v>-0.01</v>
      </c>
      <c r="V2354">
        <v>-0.01</v>
      </c>
    </row>
    <row r="2355" spans="1:22" x14ac:dyDescent="0.3">
      <c r="A2355" t="s">
        <v>5187</v>
      </c>
      <c r="B2355" t="s">
        <v>5188</v>
      </c>
      <c r="C2355" t="s">
        <v>13</v>
      </c>
      <c r="D2355" t="s">
        <v>137</v>
      </c>
      <c r="E2355" t="s">
        <v>15</v>
      </c>
      <c r="J2355" s="1">
        <v>45260</v>
      </c>
      <c r="K2355">
        <v>824</v>
      </c>
      <c r="L2355" t="s">
        <v>5189</v>
      </c>
      <c r="M2355">
        <v>4</v>
      </c>
      <c r="N2355" t="str">
        <f>VLOOKUP(M2355,[1]LOJA!$A:$B,2,0)</f>
        <v>ADE</v>
      </c>
      <c r="O2355">
        <v>132</v>
      </c>
      <c r="P2355" t="str">
        <f>VLOOKUP(O2355,[1]OPERADORES!$A:$B,2,0)</f>
        <v>PAMELA GONÇALVES ROSA</v>
      </c>
      <c r="Q2355">
        <v>4</v>
      </c>
      <c r="S2355" t="s">
        <v>5190</v>
      </c>
      <c r="T2355" s="1">
        <v>45197</v>
      </c>
      <c r="U2355">
        <v>-0.1</v>
      </c>
      <c r="V2355">
        <v>-0.1</v>
      </c>
    </row>
    <row r="2356" spans="1:22" x14ac:dyDescent="0.3">
      <c r="A2356" t="s">
        <v>5191</v>
      </c>
      <c r="B2356" t="s">
        <v>32</v>
      </c>
      <c r="C2356" t="s">
        <v>13</v>
      </c>
      <c r="D2356" t="s">
        <v>5192</v>
      </c>
      <c r="E2356" t="s">
        <v>15</v>
      </c>
      <c r="J2356" s="1">
        <v>45985</v>
      </c>
      <c r="K2356">
        <v>99</v>
      </c>
      <c r="L2356" t="s">
        <v>5193</v>
      </c>
      <c r="M2356">
        <v>4</v>
      </c>
      <c r="N2356" t="str">
        <f>VLOOKUP(M2356,[1]LOJA!$A:$B,2,0)</f>
        <v>ADE</v>
      </c>
      <c r="O2356">
        <v>109</v>
      </c>
      <c r="P2356" t="str">
        <f>VLOOKUP(O2356,[1]OPERADORES!$A:$B,2,0)</f>
        <v>LIVIA DE SOUZA</v>
      </c>
      <c r="Q2356">
        <v>4</v>
      </c>
      <c r="S2356" t="s">
        <v>5194</v>
      </c>
      <c r="T2356" s="1">
        <v>45985</v>
      </c>
      <c r="U2356">
        <v>-14.9</v>
      </c>
      <c r="V2356">
        <v>-14.9</v>
      </c>
    </row>
    <row r="2357" spans="1:22" x14ac:dyDescent="0.3">
      <c r="A2357" t="s">
        <v>5195</v>
      </c>
      <c r="B2357" t="s">
        <v>32</v>
      </c>
      <c r="C2357" t="s">
        <v>13</v>
      </c>
      <c r="D2357" t="s">
        <v>98</v>
      </c>
      <c r="E2357" t="s">
        <v>15</v>
      </c>
      <c r="J2357" s="1">
        <v>45950</v>
      </c>
      <c r="K2357">
        <v>134</v>
      </c>
      <c r="L2357" t="s">
        <v>5196</v>
      </c>
      <c r="M2357">
        <v>12</v>
      </c>
      <c r="N2357" t="str">
        <f>VLOOKUP(M2357,[1]LOJA!$A:$B,2,0)</f>
        <v>SOFNORTE</v>
      </c>
      <c r="O2357">
        <v>209</v>
      </c>
      <c r="P2357" t="str">
        <f>VLOOKUP(O2357,[1]OPERADORES!$A:$B,2,0)</f>
        <v>MARIA WITHALINA CUNHA DE SOUZA</v>
      </c>
      <c r="Q2357">
        <v>4</v>
      </c>
      <c r="S2357" t="s">
        <v>5197</v>
      </c>
      <c r="T2357" s="1">
        <v>45950</v>
      </c>
      <c r="U2357">
        <v>-2</v>
      </c>
      <c r="V2357">
        <v>-2</v>
      </c>
    </row>
    <row r="2358" spans="1:22" x14ac:dyDescent="0.3">
      <c r="A2358" t="s">
        <v>6221</v>
      </c>
      <c r="B2358" t="s">
        <v>6222</v>
      </c>
      <c r="C2358" t="s">
        <v>13</v>
      </c>
      <c r="D2358" t="s">
        <v>6223</v>
      </c>
      <c r="E2358" t="s">
        <v>15</v>
      </c>
      <c r="J2358" s="1">
        <v>46083</v>
      </c>
      <c r="K2358">
        <v>1</v>
      </c>
      <c r="L2358" t="s">
        <v>6224</v>
      </c>
      <c r="M2358">
        <v>16</v>
      </c>
      <c r="N2358" t="str">
        <f>VLOOKUP(M2358,[1]LOJA!$A:$B,2,0)</f>
        <v>AG LINDAS</v>
      </c>
      <c r="O2358">
        <v>107</v>
      </c>
      <c r="P2358" t="str">
        <f>VLOOKUP(O2358,[1]OPERADORES!$A:$B,2,0)</f>
        <v>DAIANA PORTELA</v>
      </c>
      <c r="Q2358">
        <v>7</v>
      </c>
      <c r="S2358" t="s">
        <v>6225</v>
      </c>
      <c r="T2358" s="1">
        <v>46083</v>
      </c>
      <c r="U2358" s="2">
        <v>-2000</v>
      </c>
      <c r="V2358" s="2">
        <v>-2000</v>
      </c>
    </row>
    <row r="2359" spans="1:22" x14ac:dyDescent="0.3">
      <c r="A2359" t="s">
        <v>5198</v>
      </c>
      <c r="B2359" t="s">
        <v>5199</v>
      </c>
      <c r="C2359" t="s">
        <v>13</v>
      </c>
      <c r="D2359" t="s">
        <v>5200</v>
      </c>
      <c r="E2359" t="s">
        <v>15</v>
      </c>
      <c r="J2359" s="1">
        <v>45630</v>
      </c>
      <c r="K2359">
        <v>454</v>
      </c>
      <c r="L2359" t="s">
        <v>5201</v>
      </c>
      <c r="M2359">
        <v>8</v>
      </c>
      <c r="N2359" t="str">
        <f>VLOOKUP(M2359,[1]LOJA!$A:$B,2,0)</f>
        <v>LUZIÂNIA</v>
      </c>
      <c r="O2359">
        <v>150</v>
      </c>
      <c r="P2359" t="str">
        <f>VLOOKUP(O2359,[1]OPERADORES!$A:$B,2,0)</f>
        <v>LUZIBERTO GOMES DA SILVA</v>
      </c>
      <c r="Q2359">
        <v>4</v>
      </c>
      <c r="S2359" t="s">
        <v>5202</v>
      </c>
      <c r="T2359" s="1">
        <v>45630</v>
      </c>
      <c r="U2359">
        <v>-577.83000000000004</v>
      </c>
      <c r="V2359">
        <v>-577.83000000000004</v>
      </c>
    </row>
    <row r="2360" spans="1:22" x14ac:dyDescent="0.3">
      <c r="A2360" t="s">
        <v>5203</v>
      </c>
      <c r="B2360" t="s">
        <v>5204</v>
      </c>
      <c r="C2360" t="s">
        <v>13</v>
      </c>
      <c r="D2360" t="s">
        <v>5205</v>
      </c>
      <c r="E2360" t="s">
        <v>15</v>
      </c>
      <c r="J2360" s="1">
        <v>44883</v>
      </c>
      <c r="K2360">
        <v>1201</v>
      </c>
      <c r="L2360" t="s">
        <v>5206</v>
      </c>
      <c r="M2360">
        <v>15</v>
      </c>
      <c r="N2360" t="str">
        <f>VLOOKUP(M2360,[1]LOJA!$A:$B,2,0)</f>
        <v>UNAÍ</v>
      </c>
      <c r="O2360">
        <v>20</v>
      </c>
      <c r="P2360" t="str">
        <f>VLOOKUP(O2360,[1]OPERADORES!$A:$B,2,0)</f>
        <v>MAYARA</v>
      </c>
      <c r="Q2360">
        <v>26</v>
      </c>
      <c r="R2360">
        <v>1000007561</v>
      </c>
      <c r="S2360" t="s">
        <v>5207</v>
      </c>
      <c r="T2360" s="1">
        <v>44823</v>
      </c>
      <c r="U2360" s="2">
        <v>1623</v>
      </c>
      <c r="V2360" s="2">
        <v>1623</v>
      </c>
    </row>
    <row r="2361" spans="1:22" x14ac:dyDescent="0.3">
      <c r="A2361" t="s">
        <v>5203</v>
      </c>
      <c r="B2361" t="s">
        <v>5204</v>
      </c>
      <c r="C2361" t="s">
        <v>13</v>
      </c>
      <c r="D2361" t="s">
        <v>5205</v>
      </c>
      <c r="E2361" t="s">
        <v>15</v>
      </c>
      <c r="J2361" s="1">
        <v>44913</v>
      </c>
      <c r="K2361">
        <v>1171</v>
      </c>
      <c r="L2361" t="s">
        <v>5208</v>
      </c>
      <c r="M2361">
        <v>15</v>
      </c>
      <c r="N2361" t="str">
        <f>VLOOKUP(M2361,[1]LOJA!$A:$B,2,0)</f>
        <v>UNAÍ</v>
      </c>
      <c r="O2361">
        <v>20</v>
      </c>
      <c r="P2361" t="str">
        <f>VLOOKUP(O2361,[1]OPERADORES!$A:$B,2,0)</f>
        <v>MAYARA</v>
      </c>
      <c r="Q2361">
        <v>26</v>
      </c>
      <c r="R2361">
        <v>1000007562</v>
      </c>
      <c r="S2361" t="s">
        <v>5209</v>
      </c>
      <c r="T2361" s="1">
        <v>44823</v>
      </c>
      <c r="U2361" s="2">
        <v>1623</v>
      </c>
      <c r="V2361" s="2">
        <v>1623</v>
      </c>
    </row>
    <row r="2362" spans="1:22" x14ac:dyDescent="0.3">
      <c r="A2362" t="s">
        <v>5203</v>
      </c>
      <c r="B2362" t="s">
        <v>5204</v>
      </c>
      <c r="C2362" t="s">
        <v>13</v>
      </c>
      <c r="D2362" t="s">
        <v>5205</v>
      </c>
      <c r="E2362" t="s">
        <v>15</v>
      </c>
      <c r="J2362" s="1">
        <v>44943</v>
      </c>
      <c r="K2362">
        <v>1141</v>
      </c>
      <c r="L2362" t="s">
        <v>5210</v>
      </c>
      <c r="M2362">
        <v>15</v>
      </c>
      <c r="N2362" t="str">
        <f>VLOOKUP(M2362,[1]LOJA!$A:$B,2,0)</f>
        <v>UNAÍ</v>
      </c>
      <c r="O2362">
        <v>20</v>
      </c>
      <c r="P2362" t="str">
        <f>VLOOKUP(O2362,[1]OPERADORES!$A:$B,2,0)</f>
        <v>MAYARA</v>
      </c>
      <c r="Q2362">
        <v>26</v>
      </c>
      <c r="R2362">
        <v>1000007563</v>
      </c>
      <c r="S2362" t="s">
        <v>5211</v>
      </c>
      <c r="T2362" s="1">
        <v>44823</v>
      </c>
      <c r="U2362" s="2">
        <v>1623</v>
      </c>
      <c r="V2362" s="2">
        <v>1623</v>
      </c>
    </row>
    <row r="2363" spans="1:22" x14ac:dyDescent="0.3">
      <c r="A2363" t="s">
        <v>5203</v>
      </c>
      <c r="B2363" t="s">
        <v>5204</v>
      </c>
      <c r="C2363" t="s">
        <v>13</v>
      </c>
      <c r="D2363" t="s">
        <v>5205</v>
      </c>
      <c r="E2363" t="s">
        <v>15</v>
      </c>
      <c r="J2363" s="1">
        <v>44973</v>
      </c>
      <c r="K2363">
        <v>1111</v>
      </c>
      <c r="L2363" t="s">
        <v>5212</v>
      </c>
      <c r="M2363">
        <v>15</v>
      </c>
      <c r="N2363" t="str">
        <f>VLOOKUP(M2363,[1]LOJA!$A:$B,2,0)</f>
        <v>UNAÍ</v>
      </c>
      <c r="O2363">
        <v>20</v>
      </c>
      <c r="P2363" t="str">
        <f>VLOOKUP(O2363,[1]OPERADORES!$A:$B,2,0)</f>
        <v>MAYARA</v>
      </c>
      <c r="Q2363">
        <v>26</v>
      </c>
      <c r="R2363">
        <v>1000007564</v>
      </c>
      <c r="S2363" t="s">
        <v>5213</v>
      </c>
      <c r="T2363" s="1">
        <v>44823</v>
      </c>
      <c r="U2363" s="2">
        <v>1623</v>
      </c>
      <c r="V2363" s="2">
        <v>1623</v>
      </c>
    </row>
    <row r="2364" spans="1:22" x14ac:dyDescent="0.3">
      <c r="A2364" t="s">
        <v>5203</v>
      </c>
      <c r="B2364" t="s">
        <v>5204</v>
      </c>
      <c r="C2364" t="s">
        <v>13</v>
      </c>
      <c r="D2364" t="s">
        <v>5205</v>
      </c>
      <c r="E2364" t="s">
        <v>15</v>
      </c>
      <c r="J2364" s="1">
        <v>45003</v>
      </c>
      <c r="K2364">
        <v>1081</v>
      </c>
      <c r="L2364" t="s">
        <v>5214</v>
      </c>
      <c r="M2364">
        <v>15</v>
      </c>
      <c r="N2364" t="str">
        <f>VLOOKUP(M2364,[1]LOJA!$A:$B,2,0)</f>
        <v>UNAÍ</v>
      </c>
      <c r="O2364">
        <v>20</v>
      </c>
      <c r="P2364" t="str">
        <f>VLOOKUP(O2364,[1]OPERADORES!$A:$B,2,0)</f>
        <v>MAYARA</v>
      </c>
      <c r="Q2364">
        <v>26</v>
      </c>
      <c r="R2364">
        <v>1000007565</v>
      </c>
      <c r="S2364" t="s">
        <v>5215</v>
      </c>
      <c r="T2364" s="1">
        <v>44823</v>
      </c>
      <c r="U2364" s="2">
        <v>1623</v>
      </c>
      <c r="V2364" s="2">
        <v>1623</v>
      </c>
    </row>
    <row r="2365" spans="1:22" x14ac:dyDescent="0.3">
      <c r="A2365" t="s">
        <v>5203</v>
      </c>
      <c r="B2365" t="s">
        <v>5204</v>
      </c>
      <c r="C2365" t="s">
        <v>13</v>
      </c>
      <c r="D2365" t="s">
        <v>5205</v>
      </c>
      <c r="E2365" t="s">
        <v>15</v>
      </c>
      <c r="J2365" s="1">
        <v>45033</v>
      </c>
      <c r="K2365">
        <v>1051</v>
      </c>
      <c r="L2365" t="s">
        <v>5216</v>
      </c>
      <c r="M2365">
        <v>15</v>
      </c>
      <c r="N2365" t="str">
        <f>VLOOKUP(M2365,[1]LOJA!$A:$B,2,0)</f>
        <v>UNAÍ</v>
      </c>
      <c r="O2365">
        <v>20</v>
      </c>
      <c r="P2365" t="str">
        <f>VLOOKUP(O2365,[1]OPERADORES!$A:$B,2,0)</f>
        <v>MAYARA</v>
      </c>
      <c r="Q2365">
        <v>26</v>
      </c>
      <c r="R2365">
        <v>1000007566</v>
      </c>
      <c r="S2365" t="s">
        <v>5217</v>
      </c>
      <c r="T2365" s="1">
        <v>44823</v>
      </c>
      <c r="U2365" s="2">
        <v>1623</v>
      </c>
      <c r="V2365" s="2">
        <v>1623</v>
      </c>
    </row>
    <row r="2366" spans="1:22" x14ac:dyDescent="0.3">
      <c r="A2366" t="s">
        <v>5203</v>
      </c>
      <c r="B2366" t="s">
        <v>5204</v>
      </c>
      <c r="C2366" t="s">
        <v>13</v>
      </c>
      <c r="D2366" t="s">
        <v>5205</v>
      </c>
      <c r="E2366" t="s">
        <v>15</v>
      </c>
      <c r="J2366" s="1">
        <v>45063</v>
      </c>
      <c r="K2366">
        <v>1021</v>
      </c>
      <c r="L2366" t="s">
        <v>5218</v>
      </c>
      <c r="M2366">
        <v>15</v>
      </c>
      <c r="N2366" t="str">
        <f>VLOOKUP(M2366,[1]LOJA!$A:$B,2,0)</f>
        <v>UNAÍ</v>
      </c>
      <c r="O2366">
        <v>20</v>
      </c>
      <c r="P2366" t="str">
        <f>VLOOKUP(O2366,[1]OPERADORES!$A:$B,2,0)</f>
        <v>MAYARA</v>
      </c>
      <c r="Q2366">
        <v>26</v>
      </c>
      <c r="R2366">
        <v>1000007567</v>
      </c>
      <c r="S2366" t="s">
        <v>5219</v>
      </c>
      <c r="T2366" s="1">
        <v>44823</v>
      </c>
      <c r="U2366" s="2">
        <v>1623</v>
      </c>
      <c r="V2366" s="2">
        <v>1623</v>
      </c>
    </row>
    <row r="2367" spans="1:22" x14ac:dyDescent="0.3">
      <c r="A2367" t="s">
        <v>5203</v>
      </c>
      <c r="B2367" t="s">
        <v>5204</v>
      </c>
      <c r="C2367" t="s">
        <v>13</v>
      </c>
      <c r="D2367" t="s">
        <v>5205</v>
      </c>
      <c r="E2367" t="s">
        <v>15</v>
      </c>
      <c r="J2367" s="1">
        <v>45214</v>
      </c>
      <c r="K2367">
        <v>870</v>
      </c>
      <c r="L2367" t="s">
        <v>5220</v>
      </c>
      <c r="M2367">
        <v>15</v>
      </c>
      <c r="N2367" t="str">
        <f>VLOOKUP(M2367,[1]LOJA!$A:$B,2,0)</f>
        <v>UNAÍ</v>
      </c>
      <c r="O2367">
        <v>140</v>
      </c>
      <c r="P2367" t="str">
        <f>VLOOKUP(O2367,[1]OPERADORES!$A:$B,2,0)</f>
        <v>KAREN NAYARA BORGES</v>
      </c>
      <c r="Q2367">
        <v>7</v>
      </c>
      <c r="S2367" t="s">
        <v>5221</v>
      </c>
      <c r="T2367" s="1">
        <v>45203</v>
      </c>
      <c r="U2367">
        <v>400</v>
      </c>
      <c r="V2367">
        <v>400</v>
      </c>
    </row>
    <row r="2368" spans="1:22" x14ac:dyDescent="0.3">
      <c r="A2368" t="s">
        <v>5222</v>
      </c>
      <c r="B2368" t="s">
        <v>5223</v>
      </c>
      <c r="C2368" t="s">
        <v>13</v>
      </c>
      <c r="D2368" t="s">
        <v>5224</v>
      </c>
      <c r="E2368" t="s">
        <v>15</v>
      </c>
      <c r="J2368" s="1">
        <v>46072</v>
      </c>
      <c r="K2368">
        <v>12</v>
      </c>
      <c r="L2368" t="s">
        <v>6226</v>
      </c>
      <c r="M2368">
        <v>16</v>
      </c>
      <c r="N2368" t="str">
        <f>VLOOKUP(M2368,[1]LOJA!$A:$B,2,0)</f>
        <v>AG LINDAS</v>
      </c>
      <c r="O2368">
        <v>107</v>
      </c>
      <c r="P2368" t="str">
        <f>VLOOKUP(O2368,[1]OPERADORES!$A:$B,2,0)</f>
        <v>DAIANA PORTELA</v>
      </c>
      <c r="Q2368">
        <v>7</v>
      </c>
      <c r="S2368" t="s">
        <v>5225</v>
      </c>
      <c r="T2368" s="1">
        <v>46072</v>
      </c>
      <c r="U2368">
        <v>-0.93</v>
      </c>
      <c r="V2368">
        <v>-0.93</v>
      </c>
    </row>
    <row r="2369" spans="1:22" x14ac:dyDescent="0.3">
      <c r="A2369" t="s">
        <v>6227</v>
      </c>
      <c r="B2369" t="s">
        <v>6228</v>
      </c>
      <c r="C2369" t="s">
        <v>207</v>
      </c>
      <c r="D2369" t="s">
        <v>6229</v>
      </c>
      <c r="E2369" t="s">
        <v>15</v>
      </c>
      <c r="J2369" s="1">
        <v>46073</v>
      </c>
      <c r="K2369">
        <v>11</v>
      </c>
      <c r="L2369" t="s">
        <v>6230</v>
      </c>
      <c r="M2369">
        <v>22</v>
      </c>
      <c r="N2369" t="str">
        <f>VLOOKUP(M2369,[1]LOJA!$A:$B,2,0)</f>
        <v>GUARÁ</v>
      </c>
      <c r="O2369">
        <v>20</v>
      </c>
      <c r="P2369" t="str">
        <f>VLOOKUP(O2369,[1]OPERADORES!$A:$B,2,0)</f>
        <v>MAYARA</v>
      </c>
      <c r="Q2369">
        <v>12</v>
      </c>
      <c r="S2369" t="s">
        <v>6231</v>
      </c>
      <c r="T2369" s="1">
        <v>46056</v>
      </c>
      <c r="U2369">
        <v>599.95000000000005</v>
      </c>
      <c r="V2369">
        <v>599.95000000000005</v>
      </c>
    </row>
    <row r="2370" spans="1:22" x14ac:dyDescent="0.3">
      <c r="A2370" t="s">
        <v>5226</v>
      </c>
      <c r="B2370" t="s">
        <v>5227</v>
      </c>
      <c r="C2370" t="s">
        <v>13</v>
      </c>
      <c r="D2370" t="s">
        <v>5228</v>
      </c>
      <c r="E2370" t="s">
        <v>15</v>
      </c>
      <c r="J2370" s="1">
        <v>45793</v>
      </c>
      <c r="K2370">
        <v>291</v>
      </c>
      <c r="L2370" t="s">
        <v>5229</v>
      </c>
      <c r="M2370">
        <v>14</v>
      </c>
      <c r="N2370" t="str">
        <f>VLOOKUP(M2370,[1]LOJA!$A:$B,2,0)</f>
        <v>S IA</v>
      </c>
      <c r="O2370">
        <v>54</v>
      </c>
      <c r="P2370" t="str">
        <f>VLOOKUP(O2370,[1]OPERADORES!$A:$B,2,0)</f>
        <v>ROBSON</v>
      </c>
      <c r="Q2370">
        <v>4</v>
      </c>
      <c r="S2370" t="s">
        <v>5230</v>
      </c>
      <c r="T2370" s="1">
        <v>45793</v>
      </c>
      <c r="U2370">
        <v>-0.28000000000000003</v>
      </c>
      <c r="V2370">
        <v>-0.28000000000000003</v>
      </c>
    </row>
    <row r="2371" spans="1:22" x14ac:dyDescent="0.3">
      <c r="A2371" t="s">
        <v>5231</v>
      </c>
      <c r="B2371" t="s">
        <v>5232</v>
      </c>
      <c r="C2371" t="s">
        <v>207</v>
      </c>
      <c r="D2371" t="s">
        <v>5233</v>
      </c>
      <c r="E2371" t="s">
        <v>15</v>
      </c>
      <c r="J2371" s="1">
        <v>45555</v>
      </c>
      <c r="K2371">
        <v>529</v>
      </c>
      <c r="L2371" t="s">
        <v>5234</v>
      </c>
      <c r="M2371">
        <v>6</v>
      </c>
      <c r="N2371" t="str">
        <f>VLOOKUP(M2371,[1]LOJA!$A:$B,2,0)</f>
        <v>GAMA</v>
      </c>
      <c r="O2371">
        <v>20</v>
      </c>
      <c r="P2371" t="str">
        <f>VLOOKUP(O2371,[1]OPERADORES!$A:$B,2,0)</f>
        <v>MAYARA</v>
      </c>
      <c r="Q2371">
        <v>12</v>
      </c>
      <c r="S2371" t="s">
        <v>5235</v>
      </c>
      <c r="T2371" s="1">
        <v>45540</v>
      </c>
      <c r="U2371">
        <v>394.48</v>
      </c>
      <c r="V2371">
        <v>394.48</v>
      </c>
    </row>
    <row r="2372" spans="1:22" x14ac:dyDescent="0.3">
      <c r="A2372" t="s">
        <v>5236</v>
      </c>
      <c r="B2372" t="s">
        <v>5237</v>
      </c>
      <c r="C2372" t="s">
        <v>43</v>
      </c>
      <c r="D2372" t="s">
        <v>137</v>
      </c>
      <c r="E2372" t="s">
        <v>15</v>
      </c>
      <c r="J2372" s="1">
        <v>44721</v>
      </c>
      <c r="K2372">
        <v>1363</v>
      </c>
      <c r="L2372" t="s">
        <v>5238</v>
      </c>
      <c r="M2372">
        <v>8</v>
      </c>
      <c r="N2372" t="str">
        <f>VLOOKUP(M2372,[1]LOJA!$A:$B,2,0)</f>
        <v>LUZIÂNIA</v>
      </c>
      <c r="O2372">
        <v>170</v>
      </c>
      <c r="P2372" t="str">
        <f>VLOOKUP(O2372,[1]OPERADORES!$A:$B,2,0)</f>
        <v>MARIA LUISA</v>
      </c>
      <c r="Q2372">
        <v>4</v>
      </c>
      <c r="S2372" t="s">
        <v>5239</v>
      </c>
      <c r="T2372" s="1">
        <v>44721</v>
      </c>
      <c r="U2372">
        <v>-0.1</v>
      </c>
      <c r="V2372">
        <v>-0.1</v>
      </c>
    </row>
    <row r="2373" spans="1:22" x14ac:dyDescent="0.3">
      <c r="A2373" t="s">
        <v>5240</v>
      </c>
      <c r="B2373" t="s">
        <v>5241</v>
      </c>
      <c r="C2373" t="s">
        <v>13</v>
      </c>
      <c r="D2373" t="s">
        <v>300</v>
      </c>
      <c r="E2373" t="s">
        <v>15</v>
      </c>
      <c r="J2373" s="1">
        <v>45866</v>
      </c>
      <c r="K2373">
        <v>218</v>
      </c>
      <c r="L2373" t="s">
        <v>5242</v>
      </c>
      <c r="M2373">
        <v>6</v>
      </c>
      <c r="N2373" t="str">
        <f>VLOOKUP(M2373,[1]LOJA!$A:$B,2,0)</f>
        <v>GAMA</v>
      </c>
      <c r="O2373">
        <v>241</v>
      </c>
      <c r="P2373" t="str">
        <f>VLOOKUP(O2373,[1]OPERADORES!$A:$B,2,0)</f>
        <v>PRISCILA</v>
      </c>
      <c r="Q2373">
        <v>4</v>
      </c>
      <c r="S2373" t="s">
        <v>5243</v>
      </c>
      <c r="T2373" s="1">
        <v>45866</v>
      </c>
      <c r="U2373">
        <v>-0.8</v>
      </c>
      <c r="V2373">
        <v>-0.8</v>
      </c>
    </row>
    <row r="2374" spans="1:22" x14ac:dyDescent="0.3">
      <c r="A2374" t="s">
        <v>5244</v>
      </c>
      <c r="B2374" t="s">
        <v>5245</v>
      </c>
      <c r="C2374" t="s">
        <v>30</v>
      </c>
      <c r="D2374" t="s">
        <v>5246</v>
      </c>
      <c r="E2374" t="s">
        <v>15</v>
      </c>
      <c r="J2374" s="1">
        <v>45989</v>
      </c>
      <c r="K2374">
        <v>95</v>
      </c>
      <c r="L2374" t="s">
        <v>5247</v>
      </c>
      <c r="M2374">
        <v>6</v>
      </c>
      <c r="N2374" t="str">
        <f>VLOOKUP(M2374,[1]LOJA!$A:$B,2,0)</f>
        <v>GAMA</v>
      </c>
      <c r="O2374">
        <v>246</v>
      </c>
      <c r="P2374" t="str">
        <f>VLOOKUP(O2374,[1]OPERADORES!$A:$B,2,0)</f>
        <v>VITORIA APARECIDA</v>
      </c>
      <c r="Q2374">
        <v>4</v>
      </c>
      <c r="S2374" t="s">
        <v>5248</v>
      </c>
      <c r="T2374" s="1">
        <v>45989</v>
      </c>
      <c r="U2374">
        <v>-0.01</v>
      </c>
      <c r="V2374">
        <v>-0.01</v>
      </c>
    </row>
    <row r="2375" spans="1:22" x14ac:dyDescent="0.3">
      <c r="A2375" t="s">
        <v>5249</v>
      </c>
      <c r="B2375" t="s">
        <v>5250</v>
      </c>
      <c r="C2375" t="s">
        <v>13</v>
      </c>
      <c r="D2375" t="s">
        <v>137</v>
      </c>
      <c r="E2375" t="s">
        <v>15</v>
      </c>
      <c r="J2375" s="1">
        <v>45363</v>
      </c>
      <c r="K2375">
        <v>721</v>
      </c>
      <c r="L2375" t="s">
        <v>5251</v>
      </c>
      <c r="M2375">
        <v>6</v>
      </c>
      <c r="N2375" t="str">
        <f>VLOOKUP(M2375,[1]LOJA!$A:$B,2,0)</f>
        <v>GAMA</v>
      </c>
      <c r="O2375">
        <v>98</v>
      </c>
      <c r="P2375" t="str">
        <f>VLOOKUP(O2375,[1]OPERADORES!$A:$B,2,0)</f>
        <v xml:space="preserve">ARIGLEICE </v>
      </c>
      <c r="Q2375">
        <v>4</v>
      </c>
      <c r="S2375" t="s">
        <v>5252</v>
      </c>
      <c r="T2375" s="1">
        <v>45357</v>
      </c>
      <c r="U2375">
        <v>-0.1</v>
      </c>
      <c r="V2375">
        <v>-0.1</v>
      </c>
    </row>
    <row r="2376" spans="1:22" x14ac:dyDescent="0.3">
      <c r="A2376" t="s">
        <v>5253</v>
      </c>
      <c r="B2376" t="s">
        <v>5254</v>
      </c>
      <c r="C2376" t="s">
        <v>13</v>
      </c>
      <c r="D2376" t="s">
        <v>1777</v>
      </c>
      <c r="E2376" t="s">
        <v>15</v>
      </c>
      <c r="J2376" s="1">
        <v>45919</v>
      </c>
      <c r="K2376">
        <v>165</v>
      </c>
      <c r="L2376" t="s">
        <v>5255</v>
      </c>
      <c r="M2376">
        <v>6</v>
      </c>
      <c r="N2376" t="str">
        <f>VLOOKUP(M2376,[1]LOJA!$A:$B,2,0)</f>
        <v>GAMA</v>
      </c>
      <c r="O2376">
        <v>241</v>
      </c>
      <c r="P2376" t="str">
        <f>VLOOKUP(O2376,[1]OPERADORES!$A:$B,2,0)</f>
        <v>PRISCILA</v>
      </c>
      <c r="Q2376">
        <v>4</v>
      </c>
      <c r="S2376" t="s">
        <v>5256</v>
      </c>
      <c r="T2376" s="1">
        <v>45917</v>
      </c>
      <c r="U2376">
        <v>-0.04</v>
      </c>
      <c r="V2376">
        <v>-0.04</v>
      </c>
    </row>
    <row r="2377" spans="1:22" x14ac:dyDescent="0.3">
      <c r="A2377" t="s">
        <v>5257</v>
      </c>
      <c r="B2377" t="s">
        <v>5258</v>
      </c>
      <c r="C2377" t="s">
        <v>226</v>
      </c>
      <c r="D2377" t="s">
        <v>6232</v>
      </c>
      <c r="E2377" t="s">
        <v>15</v>
      </c>
      <c r="J2377" s="1">
        <v>46036</v>
      </c>
      <c r="K2377">
        <v>48</v>
      </c>
      <c r="L2377" t="s">
        <v>5259</v>
      </c>
      <c r="M2377">
        <v>9</v>
      </c>
      <c r="N2377" t="str">
        <f>VLOOKUP(M2377,[1]LOJA!$A:$B,2,0)</f>
        <v>ÚNICA</v>
      </c>
      <c r="O2377">
        <v>174</v>
      </c>
      <c r="P2377" t="str">
        <f>VLOOKUP(O2377,[1]OPERADORES!$A:$B,2,0)</f>
        <v>MIRIÃ LOBATO RODRIGUES</v>
      </c>
      <c r="Q2377">
        <v>4</v>
      </c>
      <c r="S2377" t="s">
        <v>5260</v>
      </c>
      <c r="T2377" s="1">
        <v>46036</v>
      </c>
      <c r="U2377">
        <v>-63.5</v>
      </c>
      <c r="V2377">
        <v>-63.5</v>
      </c>
    </row>
    <row r="2378" spans="1:22" x14ac:dyDescent="0.3">
      <c r="A2378" t="s">
        <v>5257</v>
      </c>
      <c r="B2378" t="s">
        <v>5258</v>
      </c>
      <c r="C2378" t="s">
        <v>226</v>
      </c>
      <c r="D2378" t="s">
        <v>6232</v>
      </c>
      <c r="E2378" t="s">
        <v>15</v>
      </c>
      <c r="J2378" s="1">
        <v>46041</v>
      </c>
      <c r="K2378">
        <v>43</v>
      </c>
      <c r="L2378" t="s">
        <v>5261</v>
      </c>
      <c r="M2378">
        <v>9</v>
      </c>
      <c r="N2378" t="str">
        <f>VLOOKUP(M2378,[1]LOJA!$A:$B,2,0)</f>
        <v>ÚNICA</v>
      </c>
      <c r="O2378">
        <v>174</v>
      </c>
      <c r="P2378" t="str">
        <f>VLOOKUP(O2378,[1]OPERADORES!$A:$B,2,0)</f>
        <v>MIRIÃ LOBATO RODRIGUES</v>
      </c>
      <c r="Q2378">
        <v>4</v>
      </c>
      <c r="S2378" t="s">
        <v>5262</v>
      </c>
      <c r="T2378" s="1">
        <v>46041</v>
      </c>
      <c r="U2378">
        <v>-88.7</v>
      </c>
      <c r="V2378">
        <v>-88.7</v>
      </c>
    </row>
    <row r="2379" spans="1:22" x14ac:dyDescent="0.3">
      <c r="A2379" t="s">
        <v>5263</v>
      </c>
      <c r="B2379" t="s">
        <v>5264</v>
      </c>
      <c r="C2379" t="s">
        <v>13</v>
      </c>
      <c r="D2379" t="s">
        <v>98</v>
      </c>
      <c r="E2379" t="s">
        <v>15</v>
      </c>
      <c r="J2379" s="1">
        <v>45916</v>
      </c>
      <c r="K2379">
        <v>168</v>
      </c>
      <c r="L2379" t="s">
        <v>5265</v>
      </c>
      <c r="M2379">
        <v>6</v>
      </c>
      <c r="N2379" t="str">
        <f>VLOOKUP(M2379,[1]LOJA!$A:$B,2,0)</f>
        <v>GAMA</v>
      </c>
      <c r="O2379">
        <v>241</v>
      </c>
      <c r="P2379" t="str">
        <f>VLOOKUP(O2379,[1]OPERADORES!$A:$B,2,0)</f>
        <v>PRISCILA</v>
      </c>
      <c r="Q2379">
        <v>4</v>
      </c>
      <c r="S2379" t="s">
        <v>5266</v>
      </c>
      <c r="T2379" s="1">
        <v>45916</v>
      </c>
      <c r="U2379">
        <v>-2</v>
      </c>
      <c r="V2379">
        <v>-2</v>
      </c>
    </row>
    <row r="2380" spans="1:22" x14ac:dyDescent="0.3">
      <c r="A2380" t="s">
        <v>5267</v>
      </c>
      <c r="B2380" t="s">
        <v>5268</v>
      </c>
      <c r="C2380" t="s">
        <v>13</v>
      </c>
      <c r="D2380" t="s">
        <v>2163</v>
      </c>
      <c r="E2380" t="s">
        <v>15</v>
      </c>
      <c r="J2380" s="1">
        <v>45279</v>
      </c>
      <c r="K2380">
        <v>805</v>
      </c>
      <c r="L2380" t="s">
        <v>5269</v>
      </c>
      <c r="M2380">
        <v>8</v>
      </c>
      <c r="N2380" t="str">
        <f>VLOOKUP(M2380,[1]LOJA!$A:$B,2,0)</f>
        <v>LUZIÂNIA</v>
      </c>
      <c r="O2380">
        <v>192</v>
      </c>
      <c r="P2380" t="str">
        <f>VLOOKUP(O2380,[1]OPERADORES!$A:$B,2,0)</f>
        <v>CIDA</v>
      </c>
      <c r="Q2380">
        <v>4</v>
      </c>
      <c r="S2380" t="s">
        <v>5270</v>
      </c>
      <c r="T2380" s="1">
        <v>45279</v>
      </c>
      <c r="U2380">
        <v>-40</v>
      </c>
      <c r="V2380">
        <v>-40</v>
      </c>
    </row>
    <row r="2381" spans="1:22" x14ac:dyDescent="0.3">
      <c r="A2381" t="s">
        <v>5271</v>
      </c>
      <c r="B2381" t="s">
        <v>5272</v>
      </c>
      <c r="C2381" t="s">
        <v>13</v>
      </c>
      <c r="D2381" t="s">
        <v>5273</v>
      </c>
      <c r="E2381" t="s">
        <v>15</v>
      </c>
      <c r="J2381" s="1">
        <v>45973</v>
      </c>
      <c r="K2381">
        <v>111</v>
      </c>
      <c r="L2381" t="s">
        <v>5274</v>
      </c>
      <c r="M2381">
        <v>16</v>
      </c>
      <c r="N2381" t="str">
        <f>VLOOKUP(M2381,[1]LOJA!$A:$B,2,0)</f>
        <v>AG LINDAS</v>
      </c>
      <c r="O2381">
        <v>107</v>
      </c>
      <c r="P2381" t="str">
        <f>VLOOKUP(O2381,[1]OPERADORES!$A:$B,2,0)</f>
        <v>DAIANA PORTELA</v>
      </c>
      <c r="Q2381">
        <v>7</v>
      </c>
      <c r="S2381" t="s">
        <v>5275</v>
      </c>
      <c r="T2381" s="1">
        <v>45971</v>
      </c>
      <c r="U2381">
        <v>-1.9</v>
      </c>
      <c r="V2381">
        <v>-1.9</v>
      </c>
    </row>
    <row r="2382" spans="1:22" x14ac:dyDescent="0.3">
      <c r="A2382" t="s">
        <v>5276</v>
      </c>
      <c r="B2382" t="s">
        <v>5277</v>
      </c>
      <c r="C2382" t="s">
        <v>226</v>
      </c>
      <c r="D2382" t="s">
        <v>5278</v>
      </c>
      <c r="E2382" t="s">
        <v>15</v>
      </c>
      <c r="J2382" s="1">
        <v>46010</v>
      </c>
      <c r="K2382">
        <v>74</v>
      </c>
      <c r="L2382" t="s">
        <v>5279</v>
      </c>
      <c r="M2382">
        <v>9</v>
      </c>
      <c r="N2382" t="str">
        <f>VLOOKUP(M2382,[1]LOJA!$A:$B,2,0)</f>
        <v>ÚNICA</v>
      </c>
      <c r="O2382">
        <v>230</v>
      </c>
      <c r="P2382" t="str">
        <f>VLOOKUP(O2382,[1]OPERADORES!$A:$B,2,0)</f>
        <v>SÔNIA</v>
      </c>
      <c r="Q2382">
        <v>23</v>
      </c>
      <c r="R2382">
        <v>197602</v>
      </c>
      <c r="S2382" t="s">
        <v>53</v>
      </c>
      <c r="T2382" s="1">
        <v>45954</v>
      </c>
      <c r="U2382">
        <v>838.67</v>
      </c>
      <c r="V2382">
        <v>838.67</v>
      </c>
    </row>
    <row r="2383" spans="1:22" x14ac:dyDescent="0.3">
      <c r="A2383" t="s">
        <v>5276</v>
      </c>
      <c r="B2383" t="s">
        <v>5277</v>
      </c>
      <c r="C2383" t="s">
        <v>226</v>
      </c>
      <c r="D2383" t="s">
        <v>5278</v>
      </c>
      <c r="E2383" t="s">
        <v>15</v>
      </c>
      <c r="J2383" s="1">
        <v>46013</v>
      </c>
      <c r="K2383">
        <v>71</v>
      </c>
      <c r="L2383" t="s">
        <v>5280</v>
      </c>
      <c r="M2383">
        <v>9</v>
      </c>
      <c r="N2383" t="str">
        <f>VLOOKUP(M2383,[1]LOJA!$A:$B,2,0)</f>
        <v>ÚNICA</v>
      </c>
      <c r="O2383">
        <v>230</v>
      </c>
      <c r="P2383" t="str">
        <f>VLOOKUP(O2383,[1]OPERADORES!$A:$B,2,0)</f>
        <v>SÔNIA</v>
      </c>
      <c r="Q2383">
        <v>23</v>
      </c>
      <c r="R2383">
        <v>190961</v>
      </c>
      <c r="S2383" t="s">
        <v>55</v>
      </c>
      <c r="T2383" s="1">
        <v>45929</v>
      </c>
      <c r="U2383">
        <v>382.25</v>
      </c>
      <c r="V2383">
        <v>382.25</v>
      </c>
    </row>
    <row r="2384" spans="1:22" x14ac:dyDescent="0.3">
      <c r="A2384" t="s">
        <v>5276</v>
      </c>
      <c r="B2384" t="s">
        <v>5277</v>
      </c>
      <c r="C2384" t="s">
        <v>226</v>
      </c>
      <c r="D2384" t="s">
        <v>5278</v>
      </c>
      <c r="E2384" t="s">
        <v>15</v>
      </c>
      <c r="J2384" s="1">
        <v>46038</v>
      </c>
      <c r="K2384">
        <v>46</v>
      </c>
      <c r="L2384" t="s">
        <v>5281</v>
      </c>
      <c r="M2384">
        <v>9</v>
      </c>
      <c r="N2384" t="str">
        <f>VLOOKUP(M2384,[1]LOJA!$A:$B,2,0)</f>
        <v>ÚNICA</v>
      </c>
      <c r="O2384">
        <v>230</v>
      </c>
      <c r="P2384" t="str">
        <f>VLOOKUP(O2384,[1]OPERADORES!$A:$B,2,0)</f>
        <v>SÔNIA</v>
      </c>
      <c r="Q2384">
        <v>23</v>
      </c>
      <c r="R2384">
        <v>197610</v>
      </c>
      <c r="S2384" t="s">
        <v>55</v>
      </c>
      <c r="T2384" s="1">
        <v>45954</v>
      </c>
      <c r="U2384">
        <v>838.66</v>
      </c>
      <c r="V2384">
        <v>838.66</v>
      </c>
    </row>
    <row r="2385" spans="1:22" x14ac:dyDescent="0.3">
      <c r="A2385" t="s">
        <v>5282</v>
      </c>
      <c r="B2385" t="s">
        <v>5283</v>
      </c>
      <c r="C2385" t="s">
        <v>848</v>
      </c>
      <c r="D2385" t="s">
        <v>6233</v>
      </c>
      <c r="E2385" t="s">
        <v>15</v>
      </c>
      <c r="J2385" s="1">
        <v>46003</v>
      </c>
      <c r="K2385">
        <v>81</v>
      </c>
      <c r="L2385" t="s">
        <v>5284</v>
      </c>
      <c r="M2385">
        <v>12</v>
      </c>
      <c r="N2385" t="str">
        <f>VLOOKUP(M2385,[1]LOJA!$A:$B,2,0)</f>
        <v>SOFNORTE</v>
      </c>
      <c r="O2385">
        <v>209</v>
      </c>
      <c r="P2385" t="str">
        <f>VLOOKUP(O2385,[1]OPERADORES!$A:$B,2,0)</f>
        <v>MARIA WITHALINA CUNHA DE SOUZA</v>
      </c>
      <c r="Q2385">
        <v>4</v>
      </c>
      <c r="S2385" t="s">
        <v>6234</v>
      </c>
      <c r="T2385" s="1">
        <v>46003</v>
      </c>
      <c r="U2385">
        <v>-142.59</v>
      </c>
      <c r="V2385">
        <v>-142.59</v>
      </c>
    </row>
    <row r="2386" spans="1:22" x14ac:dyDescent="0.3">
      <c r="A2386" t="s">
        <v>5282</v>
      </c>
      <c r="B2386" t="s">
        <v>5283</v>
      </c>
      <c r="C2386" t="s">
        <v>848</v>
      </c>
      <c r="D2386" t="s">
        <v>6233</v>
      </c>
      <c r="E2386" t="s">
        <v>15</v>
      </c>
      <c r="J2386" s="1">
        <v>46079</v>
      </c>
      <c r="K2386">
        <v>5</v>
      </c>
      <c r="L2386" t="s">
        <v>6235</v>
      </c>
      <c r="M2386">
        <v>12</v>
      </c>
      <c r="N2386" t="str">
        <f>VLOOKUP(M2386,[1]LOJA!$A:$B,2,0)</f>
        <v>SOFNORTE</v>
      </c>
      <c r="O2386">
        <v>209</v>
      </c>
      <c r="P2386" t="str">
        <f>VLOOKUP(O2386,[1]OPERADORES!$A:$B,2,0)</f>
        <v>MARIA WITHALINA CUNHA DE SOUZA</v>
      </c>
      <c r="Q2386">
        <v>4</v>
      </c>
      <c r="S2386" t="s">
        <v>110</v>
      </c>
      <c r="T2386" s="1">
        <v>46079</v>
      </c>
      <c r="U2386">
        <v>-700</v>
      </c>
      <c r="V2386">
        <v>-700</v>
      </c>
    </row>
    <row r="2387" spans="1:22" x14ac:dyDescent="0.3">
      <c r="A2387" t="s">
        <v>5285</v>
      </c>
      <c r="B2387" t="s">
        <v>5286</v>
      </c>
      <c r="C2387" t="s">
        <v>5287</v>
      </c>
      <c r="D2387" t="s">
        <v>6236</v>
      </c>
      <c r="E2387" t="s">
        <v>15</v>
      </c>
      <c r="J2387" s="1">
        <v>45680</v>
      </c>
      <c r="K2387">
        <v>404</v>
      </c>
      <c r="L2387" t="s">
        <v>5288</v>
      </c>
      <c r="M2387">
        <v>6</v>
      </c>
      <c r="N2387" t="str">
        <f>VLOOKUP(M2387,[1]LOJA!$A:$B,2,0)</f>
        <v>GAMA</v>
      </c>
      <c r="O2387">
        <v>98</v>
      </c>
      <c r="P2387" t="str">
        <f>VLOOKUP(O2387,[1]OPERADORES!$A:$B,2,0)</f>
        <v xml:space="preserve">ARIGLEICE </v>
      </c>
      <c r="Q2387">
        <v>4</v>
      </c>
      <c r="S2387" t="s">
        <v>5289</v>
      </c>
      <c r="T2387" s="1">
        <v>45680</v>
      </c>
      <c r="U2387">
        <v>-0.45</v>
      </c>
      <c r="V2387">
        <v>-0.45</v>
      </c>
    </row>
    <row r="2388" spans="1:22" x14ac:dyDescent="0.3">
      <c r="A2388" t="s">
        <v>5290</v>
      </c>
    </row>
    <row r="2390" spans="1:22" x14ac:dyDescent="0.3">
      <c r="B2390" t="s">
        <v>5291</v>
      </c>
      <c r="C2390" t="s">
        <v>5292</v>
      </c>
    </row>
    <row r="2391" spans="1:22" x14ac:dyDescent="0.3">
      <c r="B2391" s="3">
        <v>44197</v>
      </c>
      <c r="C2391" s="2">
        <v>6572.22</v>
      </c>
    </row>
    <row r="2392" spans="1:22" x14ac:dyDescent="0.3">
      <c r="B2392" s="3">
        <v>44562</v>
      </c>
      <c r="C2392" s="2">
        <v>13268.17</v>
      </c>
    </row>
    <row r="2393" spans="1:22" x14ac:dyDescent="0.3">
      <c r="B2393" s="3">
        <v>44927</v>
      </c>
      <c r="C2393" s="2">
        <v>31738.46</v>
      </c>
    </row>
    <row r="2394" spans="1:22" x14ac:dyDescent="0.3">
      <c r="B2394" s="3">
        <v>45292</v>
      </c>
      <c r="C2394" s="2">
        <v>35799.019999999997</v>
      </c>
    </row>
    <row r="2395" spans="1:22" x14ac:dyDescent="0.3">
      <c r="B2395" s="3">
        <v>45658</v>
      </c>
      <c r="C2395" s="2">
        <v>7198.27</v>
      </c>
    </row>
    <row r="2396" spans="1:22" x14ac:dyDescent="0.3">
      <c r="B2396" s="3">
        <v>46023</v>
      </c>
      <c r="C2396" s="2">
        <v>50064.3</v>
      </c>
    </row>
    <row r="2397" spans="1:22" x14ac:dyDescent="0.3">
      <c r="B2397" s="3">
        <v>44228</v>
      </c>
      <c r="C2397" s="2">
        <v>1091.2</v>
      </c>
    </row>
    <row r="2398" spans="1:22" x14ac:dyDescent="0.3">
      <c r="B2398" s="3">
        <v>44593</v>
      </c>
      <c r="C2398" s="2">
        <v>14053.44</v>
      </c>
    </row>
    <row r="2399" spans="1:22" x14ac:dyDescent="0.3">
      <c r="B2399" s="3">
        <v>44958</v>
      </c>
      <c r="C2399" s="2">
        <v>33041.199999999997</v>
      </c>
    </row>
    <row r="2400" spans="1:22" x14ac:dyDescent="0.3">
      <c r="B2400" s="3">
        <v>45323</v>
      </c>
      <c r="C2400" s="2">
        <v>50079.99</v>
      </c>
    </row>
    <row r="2401" spans="2:3" x14ac:dyDescent="0.3">
      <c r="B2401" s="3">
        <v>45689</v>
      </c>
      <c r="C2401" s="2">
        <v>1382.12</v>
      </c>
    </row>
    <row r="2402" spans="2:3" x14ac:dyDescent="0.3">
      <c r="B2402" s="3">
        <v>46054</v>
      </c>
      <c r="C2402" s="2">
        <v>93699.29</v>
      </c>
    </row>
    <row r="2403" spans="2:3" x14ac:dyDescent="0.3">
      <c r="B2403" s="3">
        <v>44256</v>
      </c>
      <c r="C2403" s="2">
        <v>5216.76</v>
      </c>
    </row>
    <row r="2404" spans="2:3" x14ac:dyDescent="0.3">
      <c r="B2404" s="3">
        <v>44621</v>
      </c>
      <c r="C2404" s="2">
        <v>7314.84</v>
      </c>
    </row>
    <row r="2405" spans="2:3" x14ac:dyDescent="0.3">
      <c r="B2405" s="3">
        <v>44986</v>
      </c>
      <c r="C2405" s="2">
        <v>47915.56</v>
      </c>
    </row>
    <row r="2406" spans="2:3" x14ac:dyDescent="0.3">
      <c r="B2406" s="3">
        <v>45352</v>
      </c>
      <c r="C2406" s="2">
        <v>52206.33</v>
      </c>
    </row>
    <row r="2407" spans="2:3" x14ac:dyDescent="0.3">
      <c r="B2407" s="3">
        <v>45717</v>
      </c>
      <c r="C2407" s="2">
        <v>11709.83</v>
      </c>
    </row>
    <row r="2408" spans="2:3" x14ac:dyDescent="0.3">
      <c r="B2408" s="3">
        <v>44287</v>
      </c>
      <c r="C2408" s="2">
        <v>7715.54</v>
      </c>
    </row>
    <row r="2409" spans="2:3" x14ac:dyDescent="0.3">
      <c r="B2409" s="3">
        <v>44652</v>
      </c>
      <c r="C2409" s="2">
        <v>11596.75</v>
      </c>
    </row>
    <row r="2410" spans="2:3" x14ac:dyDescent="0.3">
      <c r="B2410" s="3">
        <v>45017</v>
      </c>
      <c r="C2410" s="2">
        <v>51276.83</v>
      </c>
    </row>
    <row r="2411" spans="2:3" x14ac:dyDescent="0.3">
      <c r="B2411" s="3">
        <v>45383</v>
      </c>
      <c r="C2411" s="2">
        <v>41638.199999999997</v>
      </c>
    </row>
    <row r="2412" spans="2:3" x14ac:dyDescent="0.3">
      <c r="B2412" s="3">
        <v>45748</v>
      </c>
      <c r="C2412" s="2">
        <v>16468.46</v>
      </c>
    </row>
    <row r="2413" spans="2:3" x14ac:dyDescent="0.3">
      <c r="B2413" s="3">
        <v>44317</v>
      </c>
      <c r="C2413" s="2">
        <v>3626.28</v>
      </c>
    </row>
    <row r="2414" spans="2:3" x14ac:dyDescent="0.3">
      <c r="B2414" s="3">
        <v>44682</v>
      </c>
      <c r="C2414" s="2">
        <v>42564.56</v>
      </c>
    </row>
    <row r="2415" spans="2:3" x14ac:dyDescent="0.3">
      <c r="B2415" s="3">
        <v>45047</v>
      </c>
      <c r="C2415" s="2">
        <v>-55219.89</v>
      </c>
    </row>
    <row r="2416" spans="2:3" x14ac:dyDescent="0.3">
      <c r="B2416" s="3">
        <v>45413</v>
      </c>
      <c r="C2416" s="2">
        <v>40738.519999999997</v>
      </c>
    </row>
    <row r="2417" spans="2:3" x14ac:dyDescent="0.3">
      <c r="B2417" s="3">
        <v>45778</v>
      </c>
      <c r="C2417" s="2">
        <v>18646.990000000002</v>
      </c>
    </row>
    <row r="2418" spans="2:3" x14ac:dyDescent="0.3">
      <c r="B2418" s="3">
        <v>44348</v>
      </c>
      <c r="C2418" s="2">
        <v>6928.71</v>
      </c>
    </row>
    <row r="2419" spans="2:3" x14ac:dyDescent="0.3">
      <c r="B2419" s="3">
        <v>44713</v>
      </c>
      <c r="C2419" s="2">
        <v>39710.519999999997</v>
      </c>
    </row>
    <row r="2420" spans="2:3" x14ac:dyDescent="0.3">
      <c r="B2420" s="3">
        <v>45078</v>
      </c>
      <c r="C2420" s="2">
        <v>16027.02</v>
      </c>
    </row>
    <row r="2421" spans="2:3" x14ac:dyDescent="0.3">
      <c r="B2421" s="3">
        <v>45444</v>
      </c>
      <c r="C2421" s="2">
        <v>43446.41</v>
      </c>
    </row>
    <row r="2422" spans="2:3" x14ac:dyDescent="0.3">
      <c r="B2422" s="3">
        <v>45809</v>
      </c>
      <c r="C2422" s="2">
        <v>17063.8</v>
      </c>
    </row>
    <row r="2423" spans="2:3" x14ac:dyDescent="0.3">
      <c r="B2423" s="3">
        <v>44378</v>
      </c>
      <c r="C2423" s="2">
        <v>9364.2800000000007</v>
      </c>
    </row>
    <row r="2424" spans="2:3" x14ac:dyDescent="0.3">
      <c r="B2424" s="3">
        <v>44743</v>
      </c>
      <c r="C2424" s="2">
        <v>15046.12</v>
      </c>
    </row>
    <row r="2425" spans="2:3" x14ac:dyDescent="0.3">
      <c r="B2425" s="3">
        <v>45108</v>
      </c>
      <c r="C2425" s="2">
        <v>2235.94</v>
      </c>
    </row>
    <row r="2426" spans="2:3" x14ac:dyDescent="0.3">
      <c r="B2426" s="3">
        <v>45474</v>
      </c>
      <c r="C2426" s="2">
        <v>37839.15</v>
      </c>
    </row>
    <row r="2427" spans="2:3" x14ac:dyDescent="0.3">
      <c r="B2427" s="3">
        <v>45839</v>
      </c>
      <c r="C2427" s="2">
        <v>9304.7199999999993</v>
      </c>
    </row>
    <row r="2428" spans="2:3" x14ac:dyDescent="0.3">
      <c r="B2428" s="3">
        <v>44409</v>
      </c>
      <c r="C2428" s="2">
        <v>17398.8</v>
      </c>
    </row>
    <row r="2429" spans="2:3" x14ac:dyDescent="0.3">
      <c r="B2429" s="3">
        <v>44774</v>
      </c>
      <c r="C2429" s="2">
        <v>10495.65</v>
      </c>
    </row>
    <row r="2430" spans="2:3" x14ac:dyDescent="0.3">
      <c r="B2430" s="3">
        <v>45139</v>
      </c>
      <c r="C2430" s="2">
        <v>19782.84</v>
      </c>
    </row>
    <row r="2431" spans="2:3" x14ac:dyDescent="0.3">
      <c r="B2431" s="3">
        <v>45505</v>
      </c>
      <c r="C2431" s="2">
        <v>9410.89</v>
      </c>
    </row>
    <row r="2432" spans="2:3" x14ac:dyDescent="0.3">
      <c r="B2432" s="3">
        <v>45870</v>
      </c>
      <c r="C2432" s="2">
        <v>25396.3</v>
      </c>
    </row>
    <row r="2433" spans="2:3" x14ac:dyDescent="0.3">
      <c r="B2433" s="3">
        <v>44440</v>
      </c>
      <c r="C2433" s="2">
        <v>5662.56</v>
      </c>
    </row>
    <row r="2434" spans="2:3" x14ac:dyDescent="0.3">
      <c r="B2434" s="3">
        <v>44805</v>
      </c>
      <c r="C2434" s="2">
        <v>-5055.5200000000004</v>
      </c>
    </row>
    <row r="2435" spans="2:3" x14ac:dyDescent="0.3">
      <c r="B2435" s="3">
        <v>45170</v>
      </c>
      <c r="C2435" s="2">
        <v>11748.98</v>
      </c>
    </row>
    <row r="2436" spans="2:3" x14ac:dyDescent="0.3">
      <c r="B2436" s="3">
        <v>45536</v>
      </c>
      <c r="C2436" s="2">
        <v>8879.84</v>
      </c>
    </row>
    <row r="2437" spans="2:3" x14ac:dyDescent="0.3">
      <c r="B2437" s="3">
        <v>45901</v>
      </c>
      <c r="C2437" s="2">
        <v>15789.56</v>
      </c>
    </row>
    <row r="2438" spans="2:3" x14ac:dyDescent="0.3">
      <c r="B2438" s="3">
        <v>44470</v>
      </c>
      <c r="C2438" s="2">
        <v>11711.48</v>
      </c>
    </row>
    <row r="2439" spans="2:3" x14ac:dyDescent="0.3">
      <c r="B2439" s="3">
        <v>44835</v>
      </c>
      <c r="C2439" s="2">
        <v>21235.040000000001</v>
      </c>
    </row>
    <row r="2440" spans="2:3" x14ac:dyDescent="0.3">
      <c r="B2440" s="3">
        <v>45200</v>
      </c>
      <c r="C2440" s="2">
        <v>12046.69</v>
      </c>
    </row>
    <row r="2441" spans="2:3" x14ac:dyDescent="0.3">
      <c r="B2441" s="3">
        <v>45566</v>
      </c>
      <c r="C2441" s="2">
        <v>6662.86</v>
      </c>
    </row>
    <row r="2442" spans="2:3" x14ac:dyDescent="0.3">
      <c r="B2442" s="3">
        <v>45931</v>
      </c>
      <c r="C2442" s="2">
        <v>16368.61</v>
      </c>
    </row>
    <row r="2443" spans="2:3" x14ac:dyDescent="0.3">
      <c r="B2443" s="3">
        <v>44501</v>
      </c>
      <c r="C2443" s="2">
        <v>37013.980000000003</v>
      </c>
    </row>
    <row r="2444" spans="2:3" x14ac:dyDescent="0.3">
      <c r="B2444" s="3">
        <v>44866</v>
      </c>
      <c r="C2444" s="2">
        <v>7619.37</v>
      </c>
    </row>
    <row r="2445" spans="2:3" x14ac:dyDescent="0.3">
      <c r="B2445" s="3">
        <v>45231</v>
      </c>
      <c r="C2445" s="2">
        <v>24070.11</v>
      </c>
    </row>
    <row r="2446" spans="2:3" x14ac:dyDescent="0.3">
      <c r="B2446" s="3">
        <v>45597</v>
      </c>
      <c r="C2446" s="2">
        <v>2976.28</v>
      </c>
    </row>
    <row r="2447" spans="2:3" x14ac:dyDescent="0.3">
      <c r="B2447" s="3">
        <v>45962</v>
      </c>
      <c r="C2447" s="2">
        <v>27228.41</v>
      </c>
    </row>
    <row r="2448" spans="2:3" x14ac:dyDescent="0.3">
      <c r="B2448" s="3">
        <v>44531</v>
      </c>
      <c r="C2448" s="2">
        <v>8404.31</v>
      </c>
    </row>
    <row r="2449" spans="2:3" x14ac:dyDescent="0.3">
      <c r="B2449" s="3">
        <v>44896</v>
      </c>
      <c r="C2449" s="2">
        <v>19416.009999999998</v>
      </c>
    </row>
    <row r="2450" spans="2:3" x14ac:dyDescent="0.3">
      <c r="B2450" s="3">
        <v>45261</v>
      </c>
      <c r="C2450" s="2">
        <v>20835.79</v>
      </c>
    </row>
    <row r="2451" spans="2:3" x14ac:dyDescent="0.3">
      <c r="B2451" s="3">
        <v>45627</v>
      </c>
      <c r="C2451" s="2">
        <v>5170.8599999999997</v>
      </c>
    </row>
    <row r="2452" spans="2:3" x14ac:dyDescent="0.3">
      <c r="B2452" s="3">
        <v>45992</v>
      </c>
      <c r="C2452" s="2">
        <v>23548.400000000001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 de Inadimplência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2026-02-11T21:25:13Z</dcterms:created>
  <dcterms:modified xsi:type="dcterms:W3CDTF">2026-03-03T18:54:53Z</dcterms:modified>
</cp:coreProperties>
</file>